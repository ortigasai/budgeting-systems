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clpholdings.sharepoint.com/sites/GAEFIles/Shared Documents/NPC/2026/"/>
    </mc:Choice>
  </mc:AlternateContent>
  <xr:revisionPtr revIDLastSave="1873" documentId="13_ncr:1_{CF723BD4-C579-4416-9D13-F87465C9681D}" xr6:coauthVersionLast="47" xr6:coauthVersionMax="47" xr10:uidLastSave="{08A901A6-8FE0-4715-88D8-496B90A03649}"/>
  <bookViews>
    <workbookView xWindow="-110" yWindow="-110" windowWidth="19420" windowHeight="10300" xr2:uid="{8370B753-CE8F-4C09-AA5E-D991C6B37070}"/>
  </bookViews>
  <sheets>
    <sheet name="Summary" sheetId="13" r:id="rId1"/>
    <sheet name="SAP Report" sheetId="16" r:id="rId2"/>
    <sheet name="Actual" sheetId="14" r:id="rId3"/>
    <sheet name="Open PR PO" sheetId="15" r:id="rId4"/>
    <sheet name="Monitoring" sheetId="1" r:id="rId5"/>
    <sheet name="Malls" sheetId="9" r:id="rId6"/>
    <sheet name="Estates" sheetId="7" r:id="rId7"/>
    <sheet name="Offices" sheetId="3" r:id="rId8"/>
    <sheet name="IT" sheetId="8" r:id="rId9"/>
    <sheet name="HR" sheetId="4" r:id="rId10"/>
    <sheet name="Admin" sheetId="5" r:id="rId11"/>
    <sheet name="Residential" sheetId="6" r:id="rId12"/>
    <sheet name="Additional Budget" sheetId="17" r:id="rId13"/>
  </sheets>
  <externalReferences>
    <externalReference r:id="rId14"/>
    <externalReference r:id="rId15"/>
  </externalReferences>
  <definedNames>
    <definedName name="_xlnm._FilterDatabase" localSheetId="2" hidden="1">Actual!$A$2:$N$406</definedName>
    <definedName name="_xlnm._FilterDatabase" localSheetId="6" hidden="1">Estates!$A$4:$L$29</definedName>
    <definedName name="_xlnm._FilterDatabase" localSheetId="8" hidden="1">IT!$A$2:$S$35</definedName>
    <definedName name="_xlnm._FilterDatabase" localSheetId="5" hidden="1">Malls!$A$2:$W$84</definedName>
    <definedName name="_xlnm._FilterDatabase" localSheetId="4" hidden="1">Monitoring!$A$6:$BH$185</definedName>
    <definedName name="_xlnm._FilterDatabase" localSheetId="7" hidden="1">Offices!$A$4:$Q$47</definedName>
    <definedName name="_xlnm._FilterDatabase" localSheetId="3" hidden="1">'Open PR PO'!$A$2:$N$852</definedName>
    <definedName name="_xlnm._FilterDatabase" localSheetId="1" hidden="1">'SAP Report'!$A$3:$I$178</definedName>
    <definedName name="HR">HR!$N$1</definedName>
    <definedName name="Monitoring">Monitoring!$A$1</definedName>
    <definedName name="SAP">'SAP Report'!$A$1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" i="9" l="1"/>
  <c r="W24" i="9"/>
  <c r="W15" i="9"/>
  <c r="W14" i="9"/>
  <c r="W13" i="9"/>
  <c r="W12" i="9"/>
  <c r="W9" i="9"/>
  <c r="W5" i="9"/>
  <c r="R140" i="1"/>
  <c r="R146" i="1"/>
  <c r="B185" i="1"/>
  <c r="B182" i="1"/>
  <c r="N185" i="1"/>
  <c r="V61" i="9"/>
  <c r="V71" i="9"/>
  <c r="R108" i="1"/>
  <c r="T181" i="1"/>
  <c r="T180" i="1"/>
  <c r="T16" i="9"/>
  <c r="T34" i="9"/>
  <c r="T39" i="9"/>
  <c r="R132" i="1"/>
  <c r="W4" i="9"/>
  <c r="K1" i="15"/>
  <c r="N937" i="15"/>
  <c r="N936" i="15"/>
  <c r="N935" i="15"/>
  <c r="N934" i="15"/>
  <c r="N933" i="15"/>
  <c r="N932" i="15"/>
  <c r="N931" i="15"/>
  <c r="N930" i="15"/>
  <c r="N929" i="15"/>
  <c r="N928" i="15"/>
  <c r="N927" i="15"/>
  <c r="N926" i="15"/>
  <c r="N925" i="15"/>
  <c r="N924" i="15"/>
  <c r="N923" i="15"/>
  <c r="N922" i="15"/>
  <c r="N921" i="15"/>
  <c r="N920" i="15"/>
  <c r="N919" i="15"/>
  <c r="N918" i="15"/>
  <c r="N917" i="15"/>
  <c r="N916" i="15"/>
  <c r="N915" i="15"/>
  <c r="N914" i="15"/>
  <c r="N913" i="15"/>
  <c r="N912" i="15"/>
  <c r="N911" i="15"/>
  <c r="N910" i="15"/>
  <c r="N909" i="15"/>
  <c r="N908" i="15"/>
  <c r="N907" i="15"/>
  <c r="N906" i="15"/>
  <c r="N905" i="15"/>
  <c r="N904" i="15"/>
  <c r="N903" i="15"/>
  <c r="N902" i="15"/>
  <c r="N901" i="15"/>
  <c r="N900" i="15"/>
  <c r="N899" i="15"/>
  <c r="N898" i="15"/>
  <c r="N897" i="15"/>
  <c r="N896" i="15"/>
  <c r="N895" i="15"/>
  <c r="N894" i="15"/>
  <c r="N893" i="15"/>
  <c r="N892" i="15"/>
  <c r="N891" i="15"/>
  <c r="N890" i="15"/>
  <c r="N889" i="15"/>
  <c r="N888" i="15"/>
  <c r="N887" i="15"/>
  <c r="N886" i="15"/>
  <c r="N885" i="15"/>
  <c r="N884" i="15"/>
  <c r="N883" i="15"/>
  <c r="N882" i="15"/>
  <c r="N881" i="15"/>
  <c r="N880" i="15"/>
  <c r="N879" i="15"/>
  <c r="N878" i="15"/>
  <c r="N877" i="15"/>
  <c r="N876" i="15"/>
  <c r="N875" i="15"/>
  <c r="N874" i="15"/>
  <c r="N873" i="15"/>
  <c r="N872" i="15"/>
  <c r="N871" i="15"/>
  <c r="N870" i="15"/>
  <c r="N869" i="15"/>
  <c r="N868" i="15"/>
  <c r="N867" i="15"/>
  <c r="N866" i="15"/>
  <c r="N865" i="15"/>
  <c r="N864" i="15"/>
  <c r="N863" i="15"/>
  <c r="N862" i="15"/>
  <c r="N861" i="15"/>
  <c r="N860" i="15"/>
  <c r="N859" i="15"/>
  <c r="N858" i="15"/>
  <c r="N857" i="15"/>
  <c r="N856" i="15"/>
  <c r="N855" i="15"/>
  <c r="N854" i="15"/>
  <c r="N853" i="15"/>
  <c r="N468" i="14"/>
  <c r="N467" i="14"/>
  <c r="N466" i="14"/>
  <c r="N465" i="14"/>
  <c r="N464" i="14"/>
  <c r="N463" i="14"/>
  <c r="N462" i="14"/>
  <c r="N461" i="14"/>
  <c r="N460" i="14"/>
  <c r="N459" i="14"/>
  <c r="N458" i="14"/>
  <c r="N457" i="14"/>
  <c r="N456" i="14"/>
  <c r="N455" i="14"/>
  <c r="N454" i="14"/>
  <c r="N453" i="14"/>
  <c r="N452" i="14"/>
  <c r="N451" i="14"/>
  <c r="N450" i="14"/>
  <c r="N449" i="14"/>
  <c r="N448" i="14"/>
  <c r="N447" i="14"/>
  <c r="N446" i="14"/>
  <c r="N445" i="14"/>
  <c r="N444" i="14"/>
  <c r="N443" i="14"/>
  <c r="N442" i="14"/>
  <c r="N441" i="14"/>
  <c r="N440" i="14"/>
  <c r="N439" i="14"/>
  <c r="N438" i="14"/>
  <c r="N437" i="14"/>
  <c r="N436" i="14"/>
  <c r="N435" i="14"/>
  <c r="N434" i="14"/>
  <c r="N433" i="14"/>
  <c r="N432" i="14"/>
  <c r="N431" i="14"/>
  <c r="N430" i="14"/>
  <c r="N429" i="14"/>
  <c r="N428" i="14"/>
  <c r="N427" i="14"/>
  <c r="N426" i="14"/>
  <c r="N425" i="14"/>
  <c r="N424" i="14"/>
  <c r="N423" i="14"/>
  <c r="N422" i="14"/>
  <c r="N421" i="14"/>
  <c r="N420" i="14"/>
  <c r="N419" i="14"/>
  <c r="N418" i="14"/>
  <c r="N417" i="14"/>
  <c r="N416" i="14"/>
  <c r="N415" i="14"/>
  <c r="N414" i="14"/>
  <c r="N413" i="14"/>
  <c r="N412" i="14"/>
  <c r="N411" i="14"/>
  <c r="N410" i="14"/>
  <c r="N409" i="14"/>
  <c r="N408" i="14"/>
  <c r="N407" i="14"/>
  <c r="N406" i="14"/>
  <c r="N405" i="14"/>
  <c r="N404" i="14"/>
  <c r="N403" i="14"/>
  <c r="N402" i="14"/>
  <c r="N401" i="14"/>
  <c r="N400" i="14"/>
  <c r="N399" i="14"/>
  <c r="N398" i="14"/>
  <c r="N397" i="14"/>
  <c r="N396" i="14"/>
  <c r="N395" i="14"/>
  <c r="N394" i="14"/>
  <c r="N393" i="14"/>
  <c r="N392" i="14"/>
  <c r="N391" i="14"/>
  <c r="N390" i="14"/>
  <c r="N389" i="14"/>
  <c r="N388" i="14"/>
  <c r="N387" i="14"/>
  <c r="N386" i="14"/>
  <c r="N385" i="14"/>
  <c r="N384" i="14"/>
  <c r="N383" i="14"/>
  <c r="N382" i="14"/>
  <c r="N381" i="14"/>
  <c r="N380" i="14"/>
  <c r="N379" i="14"/>
  <c r="N378" i="14"/>
  <c r="N377" i="14"/>
  <c r="N376" i="14"/>
  <c r="N375" i="14"/>
  <c r="N374" i="14"/>
  <c r="N373" i="14"/>
  <c r="N372" i="14"/>
  <c r="N371" i="14"/>
  <c r="N370" i="14"/>
  <c r="N369" i="14"/>
  <c r="N368" i="14"/>
  <c r="N367" i="14"/>
  <c r="N366" i="14"/>
  <c r="N365" i="14"/>
  <c r="N364" i="14"/>
  <c r="N363" i="14"/>
  <c r="N362" i="14"/>
  <c r="N361" i="14"/>
  <c r="N360" i="14"/>
  <c r="N359" i="14"/>
  <c r="N358" i="14"/>
  <c r="N357" i="14"/>
  <c r="N356" i="14"/>
  <c r="N355" i="14"/>
  <c r="N354" i="14"/>
  <c r="N353" i="14"/>
  <c r="N352" i="14"/>
  <c r="N351" i="14"/>
  <c r="N350" i="14"/>
  <c r="N349" i="14"/>
  <c r="N348" i="14"/>
  <c r="N347" i="14"/>
  <c r="N346" i="14"/>
  <c r="N345" i="14"/>
  <c r="N344" i="14"/>
  <c r="N343" i="14"/>
  <c r="N342" i="14"/>
  <c r="N341" i="14"/>
  <c r="N340" i="14"/>
  <c r="N339" i="14"/>
  <c r="N338" i="14"/>
  <c r="N337" i="14"/>
  <c r="N336" i="14"/>
  <c r="N335" i="14"/>
  <c r="N334" i="14"/>
  <c r="N333" i="14"/>
  <c r="N332" i="14"/>
  <c r="N331" i="14"/>
  <c r="N330" i="14"/>
  <c r="N329" i="14"/>
  <c r="N328" i="14"/>
  <c r="N327" i="14"/>
  <c r="N326" i="14"/>
  <c r="N325" i="14"/>
  <c r="N324" i="14"/>
  <c r="N323" i="14"/>
  <c r="N322" i="14"/>
  <c r="N321" i="14"/>
  <c r="N320" i="14"/>
  <c r="N319" i="14"/>
  <c r="N318" i="14"/>
  <c r="N317" i="14"/>
  <c r="N316" i="14"/>
  <c r="N315" i="14"/>
  <c r="N314" i="14"/>
  <c r="N313" i="14"/>
  <c r="N312" i="14"/>
  <c r="N311" i="14"/>
  <c r="N310" i="14"/>
  <c r="N309" i="14"/>
  <c r="N308" i="14"/>
  <c r="N307" i="14"/>
  <c r="N306" i="14"/>
  <c r="N305" i="14"/>
  <c r="N304" i="14"/>
  <c r="N303" i="14"/>
  <c r="N302" i="14"/>
  <c r="N301" i="14"/>
  <c r="N300" i="14"/>
  <c r="N299" i="14"/>
  <c r="N298" i="14"/>
  <c r="N297" i="14"/>
  <c r="N296" i="14"/>
  <c r="N295" i="14"/>
  <c r="N294" i="14"/>
  <c r="N293" i="14"/>
  <c r="N292" i="14"/>
  <c r="N291" i="14"/>
  <c r="N290" i="14"/>
  <c r="N289" i="14"/>
  <c r="N288" i="14"/>
  <c r="N287" i="14"/>
  <c r="N286" i="14"/>
  <c r="N285" i="14"/>
  <c r="N284" i="14"/>
  <c r="N283" i="14"/>
  <c r="N282" i="14"/>
  <c r="N281" i="14"/>
  <c r="N280" i="14"/>
  <c r="N279" i="14"/>
  <c r="N278" i="14"/>
  <c r="N277" i="14"/>
  <c r="N276" i="14"/>
  <c r="N275" i="14"/>
  <c r="N274" i="14"/>
  <c r="N273" i="14"/>
  <c r="N272" i="14"/>
  <c r="N271" i="14"/>
  <c r="N270" i="14"/>
  <c r="N269" i="14"/>
  <c r="N268" i="14"/>
  <c r="N267" i="14"/>
  <c r="N266" i="14"/>
  <c r="N265" i="14"/>
  <c r="N264" i="14"/>
  <c r="N263" i="14"/>
  <c r="N262" i="14"/>
  <c r="N261" i="14"/>
  <c r="N260" i="14"/>
  <c r="N259" i="14"/>
  <c r="N258" i="14"/>
  <c r="N257" i="14"/>
  <c r="N256" i="14"/>
  <c r="N255" i="14"/>
  <c r="N254" i="14"/>
  <c r="N253" i="14"/>
  <c r="N252" i="14"/>
  <c r="N251" i="14"/>
  <c r="N250" i="14"/>
  <c r="N249" i="14"/>
  <c r="N248" i="14"/>
  <c r="N247" i="14"/>
  <c r="N246" i="14"/>
  <c r="N245" i="14"/>
  <c r="N244" i="14"/>
  <c r="N243" i="14"/>
  <c r="N242" i="14"/>
  <c r="N241" i="14"/>
  <c r="N240" i="14"/>
  <c r="N239" i="14"/>
  <c r="N238" i="14"/>
  <c r="N237" i="14"/>
  <c r="N236" i="14"/>
  <c r="N235" i="14"/>
  <c r="N234" i="14"/>
  <c r="N233" i="14"/>
  <c r="N232" i="14"/>
  <c r="N231" i="14"/>
  <c r="N230" i="14"/>
  <c r="N229" i="14"/>
  <c r="N228" i="14"/>
  <c r="N227" i="14"/>
  <c r="N226" i="14"/>
  <c r="N225" i="14"/>
  <c r="N224" i="14"/>
  <c r="N223" i="14"/>
  <c r="N222" i="14"/>
  <c r="N221" i="14"/>
  <c r="N220" i="14"/>
  <c r="N219" i="14"/>
  <c r="N218" i="14"/>
  <c r="N217" i="14"/>
  <c r="N216" i="14"/>
  <c r="N215" i="14"/>
  <c r="N214" i="14"/>
  <c r="N213" i="14"/>
  <c r="N212" i="14"/>
  <c r="N211" i="14"/>
  <c r="N210" i="14"/>
  <c r="N209" i="14"/>
  <c r="N208" i="14"/>
  <c r="N207" i="14"/>
  <c r="N206" i="14"/>
  <c r="N205" i="14"/>
  <c r="N204" i="14"/>
  <c r="N203" i="14"/>
  <c r="N202" i="14"/>
  <c r="N201" i="14"/>
  <c r="N200" i="14"/>
  <c r="N199" i="14"/>
  <c r="N198" i="14"/>
  <c r="N197" i="14"/>
  <c r="N196" i="14"/>
  <c r="N195" i="14"/>
  <c r="N194" i="14"/>
  <c r="N193" i="14"/>
  <c r="N192" i="14"/>
  <c r="N191" i="14"/>
  <c r="N190" i="14"/>
  <c r="N189" i="14"/>
  <c r="N188" i="14"/>
  <c r="N187" i="14"/>
  <c r="N186" i="14"/>
  <c r="N185" i="14"/>
  <c r="N184" i="14"/>
  <c r="N183" i="14"/>
  <c r="N182" i="14"/>
  <c r="N181" i="14"/>
  <c r="N180" i="14"/>
  <c r="N179" i="14"/>
  <c r="N178" i="14"/>
  <c r="N177" i="14"/>
  <c r="N176" i="14"/>
  <c r="N175" i="14"/>
  <c r="N174" i="14"/>
  <c r="N173" i="14"/>
  <c r="N172" i="14"/>
  <c r="N171" i="14"/>
  <c r="N170" i="14"/>
  <c r="N169" i="14"/>
  <c r="N168" i="14"/>
  <c r="N167" i="14"/>
  <c r="N166" i="14"/>
  <c r="N165" i="14"/>
  <c r="N164" i="14"/>
  <c r="N163" i="14"/>
  <c r="N162" i="14"/>
  <c r="N161" i="14"/>
  <c r="N160" i="14"/>
  <c r="N159" i="14"/>
  <c r="N158" i="14"/>
  <c r="N157" i="14"/>
  <c r="N156" i="14"/>
  <c r="N155" i="14"/>
  <c r="N154" i="14"/>
  <c r="N153" i="14"/>
  <c r="N152" i="14"/>
  <c r="N151" i="14"/>
  <c r="N150" i="14"/>
  <c r="N149" i="14"/>
  <c r="N148" i="14"/>
  <c r="N147" i="14"/>
  <c r="N146" i="14"/>
  <c r="N145" i="14"/>
  <c r="N144" i="14"/>
  <c r="N143" i="14"/>
  <c r="N142" i="14"/>
  <c r="N141" i="14"/>
  <c r="N140" i="14"/>
  <c r="N139" i="14"/>
  <c r="N138" i="14"/>
  <c r="N137" i="14"/>
  <c r="N136" i="14"/>
  <c r="N135" i="14"/>
  <c r="N134" i="14"/>
  <c r="N133" i="14"/>
  <c r="N132" i="14"/>
  <c r="N131" i="14"/>
  <c r="N130" i="14"/>
  <c r="N129" i="14"/>
  <c r="N128" i="14"/>
  <c r="N127" i="14"/>
  <c r="N126" i="14"/>
  <c r="N125" i="14"/>
  <c r="N124" i="14"/>
  <c r="N123" i="14"/>
  <c r="N122" i="14"/>
  <c r="N121" i="14"/>
  <c r="N120" i="14"/>
  <c r="N119" i="14"/>
  <c r="N118" i="14"/>
  <c r="N117" i="14"/>
  <c r="N116" i="14"/>
  <c r="N115" i="14"/>
  <c r="N114" i="14"/>
  <c r="N113" i="14"/>
  <c r="N112" i="14"/>
  <c r="N111" i="14"/>
  <c r="N110" i="14"/>
  <c r="N109" i="14"/>
  <c r="N108" i="14"/>
  <c r="N107" i="14"/>
  <c r="N106" i="14"/>
  <c r="N105" i="14"/>
  <c r="N104" i="14"/>
  <c r="N103" i="14"/>
  <c r="N102" i="14"/>
  <c r="N101" i="14"/>
  <c r="N100" i="14"/>
  <c r="N99" i="14"/>
  <c r="N98" i="14"/>
  <c r="N97" i="14"/>
  <c r="N96" i="14"/>
  <c r="N95" i="14"/>
  <c r="N94" i="14"/>
  <c r="N93" i="14"/>
  <c r="N92" i="14"/>
  <c r="N91" i="14"/>
  <c r="N90" i="14"/>
  <c r="N89" i="14"/>
  <c r="N88" i="14"/>
  <c r="N87" i="14"/>
  <c r="N86" i="14"/>
  <c r="N85" i="14"/>
  <c r="N84" i="14"/>
  <c r="N83" i="14"/>
  <c r="N82" i="14"/>
  <c r="N81" i="14"/>
  <c r="N80" i="14"/>
  <c r="N79" i="14"/>
  <c r="N78" i="14"/>
  <c r="N77" i="14"/>
  <c r="N76" i="14"/>
  <c r="N75" i="14"/>
  <c r="N74" i="14"/>
  <c r="N73" i="14"/>
  <c r="N72" i="14"/>
  <c r="N71" i="14"/>
  <c r="N70" i="14"/>
  <c r="N69" i="14"/>
  <c r="N68" i="14"/>
  <c r="N67" i="14"/>
  <c r="N66" i="14"/>
  <c r="N65" i="14"/>
  <c r="N64" i="14"/>
  <c r="N63" i="14"/>
  <c r="N62" i="14"/>
  <c r="N61" i="14"/>
  <c r="N60" i="14"/>
  <c r="N59" i="14"/>
  <c r="N58" i="14"/>
  <c r="N57" i="14"/>
  <c r="N56" i="14"/>
  <c r="N55" i="14"/>
  <c r="N54" i="14"/>
  <c r="N53" i="14"/>
  <c r="N52" i="14"/>
  <c r="N51" i="14"/>
  <c r="N50" i="14"/>
  <c r="N49" i="14"/>
  <c r="N48" i="14"/>
  <c r="N47" i="14"/>
  <c r="N46" i="14"/>
  <c r="N45" i="14"/>
  <c r="N44" i="14"/>
  <c r="N43" i="14"/>
  <c r="N42" i="14"/>
  <c r="N41" i="14"/>
  <c r="N40" i="14"/>
  <c r="N39" i="14"/>
  <c r="N38" i="14"/>
  <c r="N37" i="14"/>
  <c r="N36" i="14"/>
  <c r="N35" i="14"/>
  <c r="N34" i="14"/>
  <c r="N33" i="14"/>
  <c r="N32" i="14"/>
  <c r="N31" i="14"/>
  <c r="N30" i="14"/>
  <c r="N29" i="14"/>
  <c r="N28" i="14"/>
  <c r="N27" i="14"/>
  <c r="N26" i="14"/>
  <c r="N25" i="14"/>
  <c r="N24" i="14"/>
  <c r="N23" i="14"/>
  <c r="N22" i="14"/>
  <c r="N21" i="14"/>
  <c r="N20" i="14"/>
  <c r="N19" i="14"/>
  <c r="N18" i="14"/>
  <c r="N17" i="14"/>
  <c r="N16" i="14"/>
  <c r="N15" i="14"/>
  <c r="N14" i="14"/>
  <c r="N13" i="14"/>
  <c r="N12" i="14"/>
  <c r="N11" i="14"/>
  <c r="N10" i="14"/>
  <c r="N9" i="14"/>
  <c r="N8" i="14"/>
  <c r="N7" i="14"/>
  <c r="N6" i="14"/>
  <c r="N5" i="14"/>
  <c r="Z179" i="1"/>
  <c r="AE179" i="1" s="1"/>
  <c r="Z178" i="1"/>
  <c r="Z177" i="1"/>
  <c r="Z176" i="1"/>
  <c r="V18" i="9" s="1"/>
  <c r="W18" i="9" s="1"/>
  <c r="Z175" i="1"/>
  <c r="V22" i="9" s="1"/>
  <c r="W22" i="9" s="1"/>
  <c r="Z174" i="1"/>
  <c r="Z173" i="1"/>
  <c r="Z172" i="1"/>
  <c r="V17" i="9" s="1"/>
  <c r="W17" i="9" s="1"/>
  <c r="Z171" i="1"/>
  <c r="Z170" i="1"/>
  <c r="V62" i="9" s="1"/>
  <c r="G178" i="16"/>
  <c r="G177" i="16"/>
  <c r="G176" i="16"/>
  <c r="G175" i="16"/>
  <c r="G174" i="16"/>
  <c r="G173" i="16"/>
  <c r="G172" i="16"/>
  <c r="G171" i="16"/>
  <c r="G170" i="16"/>
  <c r="G169" i="16"/>
  <c r="G4" i="16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G86" i="16"/>
  <c r="G87" i="16"/>
  <c r="G88" i="16"/>
  <c r="G89" i="16"/>
  <c r="G90" i="16"/>
  <c r="G91" i="16"/>
  <c r="G92" i="16"/>
  <c r="G93" i="16"/>
  <c r="G94" i="16"/>
  <c r="G95" i="16"/>
  <c r="G96" i="16"/>
  <c r="G97" i="16"/>
  <c r="G98" i="16"/>
  <c r="G99" i="16"/>
  <c r="G100" i="16"/>
  <c r="G101" i="16"/>
  <c r="G102" i="16"/>
  <c r="G103" i="16"/>
  <c r="G104" i="16"/>
  <c r="G105" i="16"/>
  <c r="G106" i="16"/>
  <c r="G107" i="16"/>
  <c r="G108" i="16"/>
  <c r="G109" i="16"/>
  <c r="G110" i="16"/>
  <c r="G111" i="16"/>
  <c r="G112" i="16"/>
  <c r="G113" i="16"/>
  <c r="G114" i="16"/>
  <c r="G115" i="16"/>
  <c r="G116" i="16"/>
  <c r="G117" i="16"/>
  <c r="G118" i="16"/>
  <c r="G119" i="16"/>
  <c r="G120" i="16"/>
  <c r="G121" i="16"/>
  <c r="G122" i="16"/>
  <c r="G123" i="16"/>
  <c r="G124" i="16"/>
  <c r="G125" i="16"/>
  <c r="G126" i="16"/>
  <c r="G127" i="16"/>
  <c r="G128" i="16"/>
  <c r="G129" i="16"/>
  <c r="G130" i="16"/>
  <c r="G131" i="16"/>
  <c r="G132" i="16"/>
  <c r="G133" i="16"/>
  <c r="G134" i="16"/>
  <c r="G135" i="16"/>
  <c r="G136" i="16"/>
  <c r="G137" i="16"/>
  <c r="G138" i="16"/>
  <c r="G139" i="16"/>
  <c r="G140" i="16"/>
  <c r="G141" i="16"/>
  <c r="G142" i="16"/>
  <c r="G143" i="16"/>
  <c r="G144" i="16"/>
  <c r="G145" i="16"/>
  <c r="G146" i="16"/>
  <c r="G147" i="16"/>
  <c r="G148" i="16"/>
  <c r="G149" i="16"/>
  <c r="G150" i="16"/>
  <c r="G151" i="16"/>
  <c r="G152" i="16"/>
  <c r="G153" i="16"/>
  <c r="G154" i="16"/>
  <c r="G155" i="16"/>
  <c r="G156" i="16"/>
  <c r="G157" i="16"/>
  <c r="G158" i="16"/>
  <c r="G159" i="16"/>
  <c r="G160" i="16"/>
  <c r="G161" i="16"/>
  <c r="G162" i="16"/>
  <c r="G163" i="16"/>
  <c r="G164" i="16"/>
  <c r="G165" i="16"/>
  <c r="G166" i="16"/>
  <c r="G167" i="16"/>
  <c r="G168" i="16"/>
  <c r="R98" i="1"/>
  <c r="R92" i="1"/>
  <c r="L185" i="1"/>
  <c r="K185" i="1"/>
  <c r="T179" i="1"/>
  <c r="R179" i="1"/>
  <c r="R72" i="1"/>
  <c r="R178" i="1"/>
  <c r="T178" i="1"/>
  <c r="T177" i="1"/>
  <c r="AE184" i="1"/>
  <c r="AB184" i="1"/>
  <c r="AP184" i="1" s="1"/>
  <c r="N184" i="1"/>
  <c r="L184" i="1"/>
  <c r="K184" i="1"/>
  <c r="B184" i="1"/>
  <c r="AE183" i="1"/>
  <c r="AB183" i="1"/>
  <c r="AP183" i="1" s="1"/>
  <c r="N183" i="1"/>
  <c r="L183" i="1"/>
  <c r="K183" i="1"/>
  <c r="B183" i="1"/>
  <c r="AE182" i="1"/>
  <c r="AB182" i="1"/>
  <c r="AP182" i="1" s="1"/>
  <c r="N182" i="1"/>
  <c r="L182" i="1"/>
  <c r="K182" i="1"/>
  <c r="AE181" i="1"/>
  <c r="AB181" i="1"/>
  <c r="AP181" i="1" s="1"/>
  <c r="N181" i="1"/>
  <c r="L181" i="1"/>
  <c r="K181" i="1"/>
  <c r="B181" i="1"/>
  <c r="AE180" i="1"/>
  <c r="AB180" i="1"/>
  <c r="AP180" i="1" s="1"/>
  <c r="N180" i="1"/>
  <c r="L180" i="1"/>
  <c r="K180" i="1"/>
  <c r="B180" i="1"/>
  <c r="AB179" i="1"/>
  <c r="AP179" i="1" s="1"/>
  <c r="N179" i="1"/>
  <c r="L179" i="1"/>
  <c r="K179" i="1"/>
  <c r="B179" i="1"/>
  <c r="R118" i="1"/>
  <c r="R119" i="1"/>
  <c r="R62" i="1"/>
  <c r="T176" i="1"/>
  <c r="T175" i="1"/>
  <c r="T174" i="1"/>
  <c r="T173" i="1"/>
  <c r="R173" i="1"/>
  <c r="R71" i="1"/>
  <c r="R67" i="1"/>
  <c r="R109" i="1"/>
  <c r="T172" i="1"/>
  <c r="T171" i="1"/>
  <c r="R171" i="1"/>
  <c r="T170" i="1"/>
  <c r="F2" i="16"/>
  <c r="E2" i="16"/>
  <c r="D2" i="16"/>
  <c r="C2" i="16"/>
  <c r="N852" i="15"/>
  <c r="N851" i="15"/>
  <c r="N850" i="15"/>
  <c r="N849" i="15"/>
  <c r="N848" i="15"/>
  <c r="N847" i="15"/>
  <c r="N846" i="15"/>
  <c r="N845" i="15"/>
  <c r="N844" i="15"/>
  <c r="N843" i="15"/>
  <c r="N842" i="15"/>
  <c r="N841" i="15"/>
  <c r="N840" i="15"/>
  <c r="N839" i="15"/>
  <c r="N838" i="15"/>
  <c r="N837" i="15"/>
  <c r="N836" i="15"/>
  <c r="N835" i="15"/>
  <c r="N834" i="15"/>
  <c r="N833" i="15"/>
  <c r="N832" i="15"/>
  <c r="N831" i="15"/>
  <c r="N830" i="15"/>
  <c r="N829" i="15"/>
  <c r="N828" i="15"/>
  <c r="N827" i="15"/>
  <c r="N826" i="15"/>
  <c r="N825" i="15"/>
  <c r="N824" i="15"/>
  <c r="F1" i="14"/>
  <c r="F181" i="16"/>
  <c r="E181" i="16"/>
  <c r="D181" i="16"/>
  <c r="C181" i="16"/>
  <c r="Z169" i="1"/>
  <c r="T169" i="1"/>
  <c r="R169" i="1"/>
  <c r="Z168" i="1"/>
  <c r="T168" i="1"/>
  <c r="Z167" i="1"/>
  <c r="N823" i="15"/>
  <c r="N822" i="15"/>
  <c r="N821" i="15"/>
  <c r="N820" i="15"/>
  <c r="N819" i="15"/>
  <c r="N818" i="15"/>
  <c r="N817" i="15"/>
  <c r="N816" i="15"/>
  <c r="N815" i="15"/>
  <c r="N814" i="15"/>
  <c r="N813" i="15"/>
  <c r="N812" i="15"/>
  <c r="N811" i="15"/>
  <c r="N810" i="15"/>
  <c r="N809" i="15"/>
  <c r="N808" i="15"/>
  <c r="N807" i="15"/>
  <c r="N806" i="15"/>
  <c r="N805" i="15"/>
  <c r="N804" i="15"/>
  <c r="N803" i="15"/>
  <c r="N802" i="15"/>
  <c r="N801" i="15"/>
  <c r="N800" i="15"/>
  <c r="N799" i="15"/>
  <c r="N798" i="15"/>
  <c r="N797" i="15"/>
  <c r="N796" i="15"/>
  <c r="N795" i="15"/>
  <c r="N794" i="15"/>
  <c r="N793" i="15"/>
  <c r="N792" i="15"/>
  <c r="N791" i="15"/>
  <c r="N790" i="15"/>
  <c r="N789" i="15"/>
  <c r="N788" i="15"/>
  <c r="N787" i="15"/>
  <c r="N786" i="15"/>
  <c r="N785" i="15"/>
  <c r="N784" i="15"/>
  <c r="N783" i="15"/>
  <c r="N782" i="15"/>
  <c r="N781" i="15"/>
  <c r="N780" i="15"/>
  <c r="N779" i="15"/>
  <c r="N778" i="15"/>
  <c r="N777" i="15"/>
  <c r="N776" i="15"/>
  <c r="N775" i="15"/>
  <c r="N774" i="15"/>
  <c r="N773" i="15"/>
  <c r="N772" i="15"/>
  <c r="N771" i="15"/>
  <c r="N770" i="15"/>
  <c r="N769" i="15"/>
  <c r="N768" i="15"/>
  <c r="N767" i="15"/>
  <c r="N766" i="15"/>
  <c r="N765" i="15"/>
  <c r="N764" i="15"/>
  <c r="N763" i="15"/>
  <c r="N762" i="15"/>
  <c r="N761" i="15"/>
  <c r="N760" i="15"/>
  <c r="N759" i="15"/>
  <c r="N758" i="15"/>
  <c r="N757" i="15"/>
  <c r="N756" i="15"/>
  <c r="N755" i="15"/>
  <c r="N754" i="15"/>
  <c r="N753" i="15"/>
  <c r="N752" i="15"/>
  <c r="N751" i="15"/>
  <c r="N750" i="15"/>
  <c r="N749" i="15"/>
  <c r="N748" i="15"/>
  <c r="N747" i="15"/>
  <c r="N746" i="15"/>
  <c r="N745" i="15"/>
  <c r="N744" i="15"/>
  <c r="N743" i="15"/>
  <c r="N742" i="15"/>
  <c r="N741" i="15"/>
  <c r="N740" i="15"/>
  <c r="N739" i="15"/>
  <c r="N738" i="15"/>
  <c r="N737" i="15"/>
  <c r="N736" i="15"/>
  <c r="N735" i="15"/>
  <c r="N734" i="15"/>
  <c r="N733" i="15"/>
  <c r="N732" i="15"/>
  <c r="N731" i="15"/>
  <c r="N730" i="15"/>
  <c r="N729" i="15"/>
  <c r="N728" i="15"/>
  <c r="N727" i="15"/>
  <c r="N726" i="15"/>
  <c r="N725" i="15"/>
  <c r="N724" i="15"/>
  <c r="N723" i="15"/>
  <c r="N722" i="15"/>
  <c r="N721" i="15"/>
  <c r="R167" i="1"/>
  <c r="T167" i="1"/>
  <c r="Z166" i="1"/>
  <c r="N720" i="15"/>
  <c r="N719" i="15"/>
  <c r="N718" i="15"/>
  <c r="N717" i="15"/>
  <c r="N716" i="15"/>
  <c r="N715" i="15"/>
  <c r="N714" i="15"/>
  <c r="N713" i="15"/>
  <c r="N712" i="15"/>
  <c r="AB165" i="1"/>
  <c r="AP165" i="1" s="1"/>
  <c r="Z165" i="1"/>
  <c r="AB164" i="1"/>
  <c r="AP164" i="1" s="1"/>
  <c r="Z164" i="1"/>
  <c r="AB163" i="1"/>
  <c r="AP163" i="1" s="1"/>
  <c r="Z163" i="1"/>
  <c r="AB162" i="1"/>
  <c r="AP162" i="1" s="1"/>
  <c r="Z162" i="1"/>
  <c r="AB161" i="1"/>
  <c r="AP161" i="1" s="1"/>
  <c r="Z161" i="1"/>
  <c r="AB160" i="1"/>
  <c r="AP160" i="1" s="1"/>
  <c r="Z160" i="1"/>
  <c r="AB159" i="1"/>
  <c r="AP159" i="1" s="1"/>
  <c r="Z159" i="1"/>
  <c r="AB158" i="1"/>
  <c r="AP158" i="1" s="1"/>
  <c r="Z158" i="1"/>
  <c r="AB157" i="1"/>
  <c r="AP157" i="1" s="1"/>
  <c r="Z157" i="1"/>
  <c r="AB156" i="1"/>
  <c r="AP156" i="1" s="1"/>
  <c r="Z156" i="1"/>
  <c r="AB155" i="1"/>
  <c r="AP155" i="1" s="1"/>
  <c r="Z155" i="1"/>
  <c r="V84" i="9" s="1"/>
  <c r="W84" i="9" s="1"/>
  <c r="AB154" i="1"/>
  <c r="AP154" i="1" s="1"/>
  <c r="Z154" i="1"/>
  <c r="V50" i="9" s="1"/>
  <c r="AB153" i="1"/>
  <c r="AP153" i="1" s="1"/>
  <c r="Z153" i="1"/>
  <c r="AB152" i="1"/>
  <c r="AP152" i="1" s="1"/>
  <c r="Z152" i="1"/>
  <c r="AB151" i="1"/>
  <c r="AP151" i="1" s="1"/>
  <c r="Z151" i="1"/>
  <c r="AB150" i="1"/>
  <c r="AP150" i="1" s="1"/>
  <c r="Z150" i="1"/>
  <c r="AB149" i="1"/>
  <c r="AP149" i="1" s="1"/>
  <c r="Z149" i="1"/>
  <c r="AB148" i="1"/>
  <c r="AP148" i="1" s="1"/>
  <c r="Z148" i="1"/>
  <c r="AB147" i="1"/>
  <c r="AP147" i="1" s="1"/>
  <c r="Z147" i="1"/>
  <c r="V83" i="9" s="1"/>
  <c r="W83" i="9" s="1"/>
  <c r="AB146" i="1"/>
  <c r="AP146" i="1" s="1"/>
  <c r="Z146" i="1"/>
  <c r="V48" i="9" s="1"/>
  <c r="AB145" i="1"/>
  <c r="AP145" i="1" s="1"/>
  <c r="Z145" i="1"/>
  <c r="V33" i="9" s="1"/>
  <c r="W33" i="9" s="1"/>
  <c r="AB144" i="1"/>
  <c r="AP144" i="1" s="1"/>
  <c r="Z144" i="1"/>
  <c r="V82" i="9" s="1"/>
  <c r="W82" i="9" s="1"/>
  <c r="AB143" i="1"/>
  <c r="AP143" i="1" s="1"/>
  <c r="Z143" i="1"/>
  <c r="AB142" i="1"/>
  <c r="AP142" i="1" s="1"/>
  <c r="Z142" i="1"/>
  <c r="AB141" i="1"/>
  <c r="AP141" i="1" s="1"/>
  <c r="Z141" i="1"/>
  <c r="V42" i="9" s="1"/>
  <c r="AB140" i="1"/>
  <c r="AP140" i="1" s="1"/>
  <c r="Z140" i="1"/>
  <c r="V80" i="9" s="1"/>
  <c r="W80" i="9" s="1"/>
  <c r="AB139" i="1"/>
  <c r="AP139" i="1" s="1"/>
  <c r="Z139" i="1"/>
  <c r="AB138" i="1"/>
  <c r="AP138" i="1" s="1"/>
  <c r="Z138" i="1"/>
  <c r="V81" i="9" s="1"/>
  <c r="W81" i="9" s="1"/>
  <c r="AB137" i="1"/>
  <c r="AP137" i="1" s="1"/>
  <c r="Z137" i="1"/>
  <c r="AB136" i="1"/>
  <c r="AP136" i="1" s="1"/>
  <c r="Z136" i="1"/>
  <c r="AB135" i="1"/>
  <c r="AP135" i="1" s="1"/>
  <c r="Z135" i="1"/>
  <c r="V45" i="9" s="1"/>
  <c r="AB134" i="1"/>
  <c r="AP134" i="1" s="1"/>
  <c r="Z134" i="1"/>
  <c r="V41" i="9" s="1"/>
  <c r="AB133" i="1"/>
  <c r="AP133" i="1" s="1"/>
  <c r="Z133" i="1"/>
  <c r="V47" i="9" s="1"/>
  <c r="AB132" i="1"/>
  <c r="AP132" i="1" s="1"/>
  <c r="Z132" i="1"/>
  <c r="V39" i="9" s="1"/>
  <c r="AB131" i="1"/>
  <c r="AP131" i="1" s="1"/>
  <c r="Z131" i="1"/>
  <c r="AB130" i="1"/>
  <c r="AP130" i="1" s="1"/>
  <c r="Z130" i="1"/>
  <c r="AB129" i="1"/>
  <c r="AP129" i="1" s="1"/>
  <c r="Z129" i="1"/>
  <c r="AB128" i="1"/>
  <c r="AP128" i="1" s="1"/>
  <c r="Z128" i="1"/>
  <c r="V54" i="9" s="1"/>
  <c r="AB127" i="1"/>
  <c r="AP127" i="1" s="1"/>
  <c r="Z127" i="1"/>
  <c r="V52" i="9" s="1"/>
  <c r="AB126" i="1"/>
  <c r="AP126" i="1" s="1"/>
  <c r="Z126" i="1"/>
  <c r="AB125" i="1"/>
  <c r="AP125" i="1" s="1"/>
  <c r="Z125" i="1"/>
  <c r="V58" i="9" s="1"/>
  <c r="AB124" i="1"/>
  <c r="AP124" i="1" s="1"/>
  <c r="Z124" i="1"/>
  <c r="V79" i="9" s="1"/>
  <c r="W79" i="9" s="1"/>
  <c r="AB123" i="1"/>
  <c r="AP123" i="1" s="1"/>
  <c r="Z123" i="1"/>
  <c r="V55" i="9" s="1"/>
  <c r="AB122" i="1"/>
  <c r="AP122" i="1" s="1"/>
  <c r="Z122" i="1"/>
  <c r="AB121" i="1"/>
  <c r="AP121" i="1" s="1"/>
  <c r="Z121" i="1"/>
  <c r="AB120" i="1"/>
  <c r="AP120" i="1" s="1"/>
  <c r="Z120" i="1"/>
  <c r="AB119" i="1"/>
  <c r="AP119" i="1" s="1"/>
  <c r="Z119" i="1"/>
  <c r="V16" i="9" s="1"/>
  <c r="AB118" i="1"/>
  <c r="AP118" i="1" s="1"/>
  <c r="Z118" i="1"/>
  <c r="V21" i="9" s="1"/>
  <c r="AB117" i="1"/>
  <c r="AP117" i="1" s="1"/>
  <c r="Z117" i="1"/>
  <c r="AB116" i="1"/>
  <c r="AP116" i="1" s="1"/>
  <c r="Z116" i="1"/>
  <c r="AB115" i="1"/>
  <c r="AP115" i="1" s="1"/>
  <c r="Z115" i="1"/>
  <c r="AB114" i="1"/>
  <c r="AP114" i="1" s="1"/>
  <c r="Z114" i="1"/>
  <c r="AB113" i="1"/>
  <c r="AP113" i="1" s="1"/>
  <c r="Z113" i="1"/>
  <c r="V30" i="9" s="1"/>
  <c r="AB112" i="1"/>
  <c r="AP112" i="1" s="1"/>
  <c r="Z112" i="1"/>
  <c r="V23" i="9" s="1"/>
  <c r="AB111" i="1"/>
  <c r="AP111" i="1" s="1"/>
  <c r="Z111" i="1"/>
  <c r="V20" i="9" s="1"/>
  <c r="AB110" i="1"/>
  <c r="AP110" i="1" s="1"/>
  <c r="Z110" i="1"/>
  <c r="AB109" i="1"/>
  <c r="AP109" i="1" s="1"/>
  <c r="Z109" i="1"/>
  <c r="AB108" i="1"/>
  <c r="AP108" i="1" s="1"/>
  <c r="Z108" i="1"/>
  <c r="AB107" i="1"/>
  <c r="AP107" i="1" s="1"/>
  <c r="Z107" i="1"/>
  <c r="AB106" i="1"/>
  <c r="AP106" i="1" s="1"/>
  <c r="Z106" i="1"/>
  <c r="AB105" i="1"/>
  <c r="AP105" i="1" s="1"/>
  <c r="Z105" i="1"/>
  <c r="AB104" i="1"/>
  <c r="AP104" i="1" s="1"/>
  <c r="Z104" i="1"/>
  <c r="AB103" i="1"/>
  <c r="AP103" i="1" s="1"/>
  <c r="Z103" i="1"/>
  <c r="AB102" i="1"/>
  <c r="AP102" i="1" s="1"/>
  <c r="Z102" i="1"/>
  <c r="AB101" i="1"/>
  <c r="AP101" i="1" s="1"/>
  <c r="Z101" i="1"/>
  <c r="AB100" i="1"/>
  <c r="AP100" i="1" s="1"/>
  <c r="Z100" i="1"/>
  <c r="AB99" i="1"/>
  <c r="AP99" i="1" s="1"/>
  <c r="Z99" i="1"/>
  <c r="AB98" i="1"/>
  <c r="AP98" i="1" s="1"/>
  <c r="Z98" i="1"/>
  <c r="AB97" i="1"/>
  <c r="AP97" i="1" s="1"/>
  <c r="Z97" i="1"/>
  <c r="AB96" i="1"/>
  <c r="AP96" i="1" s="1"/>
  <c r="Z96" i="1"/>
  <c r="AB95" i="1"/>
  <c r="AP95" i="1" s="1"/>
  <c r="Z95" i="1"/>
  <c r="AB94" i="1"/>
  <c r="AP94" i="1" s="1"/>
  <c r="Z94" i="1"/>
  <c r="AB93" i="1"/>
  <c r="AP93" i="1" s="1"/>
  <c r="Z93" i="1"/>
  <c r="AB92" i="1"/>
  <c r="AP92" i="1" s="1"/>
  <c r="Z92" i="1"/>
  <c r="AB91" i="1"/>
  <c r="AP91" i="1" s="1"/>
  <c r="Z91" i="1"/>
  <c r="AB90" i="1"/>
  <c r="AP90" i="1" s="1"/>
  <c r="Z90" i="1"/>
  <c r="AB89" i="1"/>
  <c r="AP89" i="1" s="1"/>
  <c r="Z89" i="1"/>
  <c r="AB88" i="1"/>
  <c r="AP88" i="1" s="1"/>
  <c r="Z88" i="1"/>
  <c r="AB87" i="1"/>
  <c r="AP87" i="1" s="1"/>
  <c r="Z87" i="1"/>
  <c r="AB86" i="1"/>
  <c r="AP86" i="1" s="1"/>
  <c r="Z86" i="1"/>
  <c r="AB85" i="1"/>
  <c r="AP85" i="1" s="1"/>
  <c r="Z85" i="1"/>
  <c r="AB84" i="1"/>
  <c r="AP84" i="1" s="1"/>
  <c r="Z84" i="1"/>
  <c r="AB83" i="1"/>
  <c r="AP83" i="1" s="1"/>
  <c r="Z83" i="1"/>
  <c r="AB82" i="1"/>
  <c r="AP82" i="1" s="1"/>
  <c r="Z82" i="1"/>
  <c r="AB81" i="1"/>
  <c r="AP81" i="1" s="1"/>
  <c r="Z81" i="1"/>
  <c r="AB80" i="1"/>
  <c r="AP80" i="1" s="1"/>
  <c r="Z80" i="1"/>
  <c r="AB79" i="1"/>
  <c r="AP79" i="1" s="1"/>
  <c r="Z79" i="1"/>
  <c r="AB78" i="1"/>
  <c r="AP78" i="1" s="1"/>
  <c r="Z78" i="1"/>
  <c r="AB77" i="1"/>
  <c r="AP77" i="1" s="1"/>
  <c r="Z77" i="1"/>
  <c r="AB76" i="1"/>
  <c r="AP76" i="1" s="1"/>
  <c r="Z76" i="1"/>
  <c r="AB75" i="1"/>
  <c r="AP75" i="1" s="1"/>
  <c r="Z75" i="1"/>
  <c r="AB74" i="1"/>
  <c r="AP74" i="1" s="1"/>
  <c r="Z74" i="1"/>
  <c r="AB73" i="1"/>
  <c r="AP73" i="1" s="1"/>
  <c r="Z73" i="1"/>
  <c r="AB72" i="1"/>
  <c r="AP72" i="1" s="1"/>
  <c r="Z72" i="1"/>
  <c r="V34" i="9" s="1"/>
  <c r="AB71" i="1"/>
  <c r="AP71" i="1" s="1"/>
  <c r="Z71" i="1"/>
  <c r="V10" i="9" s="1"/>
  <c r="AB70" i="1"/>
  <c r="AP70" i="1" s="1"/>
  <c r="Z70" i="1"/>
  <c r="V3" i="9" s="1"/>
  <c r="AB69" i="1"/>
  <c r="AP69" i="1" s="1"/>
  <c r="Z69" i="1"/>
  <c r="V32" i="9" s="1"/>
  <c r="AB68" i="1"/>
  <c r="AP68" i="1" s="1"/>
  <c r="Z68" i="1"/>
  <c r="V31" i="9" s="1"/>
  <c r="AB67" i="1"/>
  <c r="AP67" i="1" s="1"/>
  <c r="Z67" i="1"/>
  <c r="V29" i="9" s="1"/>
  <c r="AB66" i="1"/>
  <c r="AP66" i="1" s="1"/>
  <c r="Z66" i="1"/>
  <c r="V28" i="9" s="1"/>
  <c r="AB65" i="1"/>
  <c r="AP65" i="1" s="1"/>
  <c r="Z65" i="1"/>
  <c r="V27" i="9" s="1"/>
  <c r="AB64" i="1"/>
  <c r="AP64" i="1" s="1"/>
  <c r="Z64" i="1"/>
  <c r="V26" i="9" s="1"/>
  <c r="AB63" i="1"/>
  <c r="AP63" i="1" s="1"/>
  <c r="Z63" i="1"/>
  <c r="V8" i="9" s="1"/>
  <c r="AB62" i="1"/>
  <c r="AP62" i="1" s="1"/>
  <c r="Z62" i="1"/>
  <c r="AB61" i="1"/>
  <c r="AP61" i="1" s="1"/>
  <c r="Z61" i="1"/>
  <c r="AB60" i="1"/>
  <c r="AP60" i="1" s="1"/>
  <c r="Z60" i="1"/>
  <c r="AB59" i="1"/>
  <c r="AP59" i="1" s="1"/>
  <c r="Z59" i="1"/>
  <c r="AB58" i="1"/>
  <c r="AP58" i="1" s="1"/>
  <c r="Z58" i="1"/>
  <c r="AB57" i="1"/>
  <c r="AP57" i="1" s="1"/>
  <c r="Z57" i="1"/>
  <c r="AB56" i="1"/>
  <c r="AP56" i="1" s="1"/>
  <c r="Z56" i="1"/>
  <c r="AB55" i="1"/>
  <c r="AP55" i="1" s="1"/>
  <c r="Z55" i="1"/>
  <c r="AB54" i="1"/>
  <c r="AP54" i="1" s="1"/>
  <c r="Z54" i="1"/>
  <c r="AB53" i="1"/>
  <c r="AP53" i="1" s="1"/>
  <c r="Z53" i="1"/>
  <c r="AB52" i="1"/>
  <c r="AP52" i="1" s="1"/>
  <c r="Z52" i="1"/>
  <c r="AB51" i="1"/>
  <c r="AP51" i="1" s="1"/>
  <c r="Z51" i="1"/>
  <c r="AB50" i="1"/>
  <c r="AP50" i="1" s="1"/>
  <c r="Z50" i="1"/>
  <c r="AB49" i="1"/>
  <c r="AP49" i="1" s="1"/>
  <c r="Z49" i="1"/>
  <c r="AB48" i="1"/>
  <c r="AP48" i="1" s="1"/>
  <c r="Z48" i="1"/>
  <c r="AB47" i="1"/>
  <c r="AP47" i="1" s="1"/>
  <c r="Z47" i="1"/>
  <c r="AB46" i="1"/>
  <c r="AP46" i="1" s="1"/>
  <c r="Z46" i="1"/>
  <c r="AB45" i="1"/>
  <c r="AP45" i="1" s="1"/>
  <c r="Z45" i="1"/>
  <c r="AB44" i="1"/>
  <c r="AP44" i="1" s="1"/>
  <c r="Z44" i="1"/>
  <c r="AB43" i="1"/>
  <c r="AP43" i="1" s="1"/>
  <c r="Z43" i="1"/>
  <c r="AB42" i="1"/>
  <c r="AP42" i="1" s="1"/>
  <c r="Z42" i="1"/>
  <c r="AB41" i="1"/>
  <c r="AP41" i="1" s="1"/>
  <c r="Z41" i="1"/>
  <c r="AB40" i="1"/>
  <c r="AP40" i="1" s="1"/>
  <c r="Z40" i="1"/>
  <c r="AB39" i="1"/>
  <c r="AP39" i="1" s="1"/>
  <c r="Z39" i="1"/>
  <c r="AB38" i="1"/>
  <c r="AP38" i="1" s="1"/>
  <c r="Z38" i="1"/>
  <c r="AB37" i="1"/>
  <c r="AP37" i="1" s="1"/>
  <c r="Z37" i="1"/>
  <c r="AB36" i="1"/>
  <c r="AP36" i="1" s="1"/>
  <c r="Z36" i="1"/>
  <c r="AB35" i="1"/>
  <c r="AP35" i="1" s="1"/>
  <c r="Z35" i="1"/>
  <c r="AB34" i="1"/>
  <c r="AP34" i="1" s="1"/>
  <c r="Z34" i="1"/>
  <c r="AB33" i="1"/>
  <c r="AP33" i="1" s="1"/>
  <c r="Z33" i="1"/>
  <c r="AB32" i="1"/>
  <c r="AP32" i="1" s="1"/>
  <c r="Z32" i="1"/>
  <c r="AB31" i="1"/>
  <c r="AP31" i="1" s="1"/>
  <c r="Z31" i="1"/>
  <c r="AB30" i="1"/>
  <c r="AP30" i="1" s="1"/>
  <c r="Z30" i="1"/>
  <c r="AB29" i="1"/>
  <c r="AP29" i="1" s="1"/>
  <c r="Z29" i="1"/>
  <c r="AB28" i="1"/>
  <c r="AP28" i="1" s="1"/>
  <c r="Z28" i="1"/>
  <c r="AB27" i="1"/>
  <c r="AP27" i="1" s="1"/>
  <c r="Z27" i="1"/>
  <c r="AB26" i="1"/>
  <c r="AP26" i="1" s="1"/>
  <c r="Z26" i="1"/>
  <c r="AB25" i="1"/>
  <c r="AP25" i="1" s="1"/>
  <c r="Z25" i="1"/>
  <c r="AB24" i="1"/>
  <c r="AP24" i="1" s="1"/>
  <c r="Z24" i="1"/>
  <c r="AB23" i="1"/>
  <c r="AP23" i="1" s="1"/>
  <c r="Z23" i="1"/>
  <c r="AB22" i="1"/>
  <c r="AP22" i="1" s="1"/>
  <c r="Z22" i="1"/>
  <c r="AB21" i="1"/>
  <c r="AP21" i="1" s="1"/>
  <c r="Z21" i="1"/>
  <c r="V78" i="9" s="1"/>
  <c r="AB20" i="1"/>
  <c r="AP20" i="1" s="1"/>
  <c r="Z20" i="1"/>
  <c r="V77" i="9" s="1"/>
  <c r="AB19" i="1"/>
  <c r="AP19" i="1" s="1"/>
  <c r="Z19" i="1"/>
  <c r="V76" i="9" s="1"/>
  <c r="AB18" i="1"/>
  <c r="AP18" i="1" s="1"/>
  <c r="Z18" i="1"/>
  <c r="V75" i="9" s="1"/>
  <c r="AB17" i="1"/>
  <c r="AP17" i="1" s="1"/>
  <c r="Z17" i="1"/>
  <c r="V74" i="9" s="1"/>
  <c r="AB16" i="1"/>
  <c r="AP16" i="1" s="1"/>
  <c r="Z16" i="1"/>
  <c r="V73" i="9" s="1"/>
  <c r="AB15" i="1"/>
  <c r="AP15" i="1" s="1"/>
  <c r="Z15" i="1"/>
  <c r="V72" i="9" s="1"/>
  <c r="AB14" i="1"/>
  <c r="AP14" i="1" s="1"/>
  <c r="Z14" i="1"/>
  <c r="V70" i="9" s="1"/>
  <c r="AB13" i="1"/>
  <c r="AP13" i="1" s="1"/>
  <c r="Z13" i="1"/>
  <c r="V69" i="9" s="1"/>
  <c r="AB12" i="1"/>
  <c r="AP12" i="1" s="1"/>
  <c r="Z12" i="1"/>
  <c r="V68" i="9" s="1"/>
  <c r="AB11" i="1"/>
  <c r="AP11" i="1" s="1"/>
  <c r="Z11" i="1"/>
  <c r="V67" i="9" s="1"/>
  <c r="AB10" i="1"/>
  <c r="AP10" i="1" s="1"/>
  <c r="Z10" i="1"/>
  <c r="V66" i="9" s="1"/>
  <c r="AB9" i="1"/>
  <c r="AP9" i="1" s="1"/>
  <c r="Z9" i="1"/>
  <c r="V65" i="9" s="1"/>
  <c r="AB166" i="1"/>
  <c r="AP166" i="1" s="1"/>
  <c r="N711" i="15"/>
  <c r="N710" i="15"/>
  <c r="N709" i="15"/>
  <c r="N708" i="15"/>
  <c r="N707" i="15"/>
  <c r="N706" i="15"/>
  <c r="N705" i="15"/>
  <c r="N704" i="15"/>
  <c r="N703" i="15"/>
  <c r="N702" i="15"/>
  <c r="N701" i="15"/>
  <c r="N700" i="15"/>
  <c r="N699" i="15"/>
  <c r="N698" i="15"/>
  <c r="N697" i="15"/>
  <c r="N696" i="15"/>
  <c r="N695" i="15"/>
  <c r="N694" i="15"/>
  <c r="N693" i="15"/>
  <c r="N692" i="15"/>
  <c r="N691" i="15"/>
  <c r="N690" i="15"/>
  <c r="N689" i="15"/>
  <c r="N688" i="15"/>
  <c r="N687" i="15"/>
  <c r="N686" i="15"/>
  <c r="N685" i="15"/>
  <c r="N684" i="15"/>
  <c r="N683" i="15"/>
  <c r="N682" i="15"/>
  <c r="N681" i="15"/>
  <c r="N680" i="15"/>
  <c r="N679" i="15"/>
  <c r="N678" i="15"/>
  <c r="N677" i="15"/>
  <c r="N676" i="15"/>
  <c r="N675" i="15"/>
  <c r="N674" i="15"/>
  <c r="N673" i="15"/>
  <c r="N672" i="15"/>
  <c r="N671" i="15"/>
  <c r="N670" i="15"/>
  <c r="N669" i="15"/>
  <c r="N668" i="15"/>
  <c r="N667" i="15"/>
  <c r="N666" i="15"/>
  <c r="N665" i="15"/>
  <c r="N664" i="15"/>
  <c r="N663" i="15"/>
  <c r="N662" i="15"/>
  <c r="N661" i="15"/>
  <c r="N660" i="15"/>
  <c r="N659" i="15"/>
  <c r="N658" i="15"/>
  <c r="N657" i="15"/>
  <c r="N656" i="15"/>
  <c r="N655" i="15"/>
  <c r="N654" i="15"/>
  <c r="N653" i="15"/>
  <c r="N652" i="15"/>
  <c r="N651" i="15"/>
  <c r="N650" i="15"/>
  <c r="N649" i="15"/>
  <c r="N648" i="15"/>
  <c r="N647" i="15"/>
  <c r="N646" i="15"/>
  <c r="N645" i="15"/>
  <c r="N644" i="15"/>
  <c r="N643" i="15"/>
  <c r="N642" i="15"/>
  <c r="N641" i="15"/>
  <c r="N640" i="15"/>
  <c r="N639" i="15"/>
  <c r="N638" i="15"/>
  <c r="N637" i="15"/>
  <c r="N636" i="15"/>
  <c r="N635" i="15"/>
  <c r="N634" i="15"/>
  <c r="N633" i="15"/>
  <c r="N632" i="15"/>
  <c r="N631" i="15"/>
  <c r="N630" i="15"/>
  <c r="N629" i="15"/>
  <c r="N628" i="15"/>
  <c r="N627" i="15"/>
  <c r="N626" i="15"/>
  <c r="N625" i="15"/>
  <c r="N624" i="15"/>
  <c r="N623" i="15"/>
  <c r="N622" i="15"/>
  <c r="N621" i="15"/>
  <c r="N620" i="15"/>
  <c r="N619" i="15"/>
  <c r="N618" i="15"/>
  <c r="N617" i="15"/>
  <c r="N616" i="15"/>
  <c r="N615" i="15"/>
  <c r="N614" i="15"/>
  <c r="T166" i="1"/>
  <c r="S19" i="8"/>
  <c r="S17" i="8"/>
  <c r="S16" i="8"/>
  <c r="S11" i="8"/>
  <c r="S9" i="8"/>
  <c r="S8" i="8"/>
  <c r="S34" i="8"/>
  <c r="S33" i="8"/>
  <c r="S31" i="8"/>
  <c r="S30" i="8"/>
  <c r="S29" i="8"/>
  <c r="S21" i="8"/>
  <c r="S35" i="8"/>
  <c r="R149" i="1"/>
  <c r="T165" i="1"/>
  <c r="R116" i="1"/>
  <c r="T164" i="1"/>
  <c r="T163" i="1"/>
  <c r="T162" i="1"/>
  <c r="T161" i="1"/>
  <c r="T160" i="1"/>
  <c r="T159" i="1"/>
  <c r="R141" i="1"/>
  <c r="T157" i="1"/>
  <c r="T156" i="1"/>
  <c r="R93" i="1"/>
  <c r="T155" i="1"/>
  <c r="R64" i="1"/>
  <c r="N613" i="15"/>
  <c r="N612" i="15"/>
  <c r="N611" i="15"/>
  <c r="N610" i="15"/>
  <c r="N609" i="15"/>
  <c r="N608" i="15"/>
  <c r="N607" i="15"/>
  <c r="N606" i="15"/>
  <c r="N605" i="15"/>
  <c r="N604" i="15"/>
  <c r="N603" i="15"/>
  <c r="N602" i="15"/>
  <c r="Z8" i="1"/>
  <c r="V64" i="9" s="1"/>
  <c r="AB8" i="1"/>
  <c r="AP8" i="1" s="1"/>
  <c r="N601" i="15"/>
  <c r="N600" i="15"/>
  <c r="N599" i="15"/>
  <c r="N598" i="15"/>
  <c r="N597" i="15"/>
  <c r="N596" i="15"/>
  <c r="N595" i="15"/>
  <c r="N594" i="15"/>
  <c r="N593" i="15"/>
  <c r="N592" i="15"/>
  <c r="N591" i="15"/>
  <c r="N590" i="15"/>
  <c r="N589" i="15"/>
  <c r="N588" i="15"/>
  <c r="N587" i="15"/>
  <c r="N586" i="15"/>
  <c r="N585" i="15"/>
  <c r="N584" i="15"/>
  <c r="N583" i="15"/>
  <c r="N582" i="15"/>
  <c r="N581" i="15"/>
  <c r="N580" i="15"/>
  <c r="N579" i="15"/>
  <c r="N578" i="15"/>
  <c r="N577" i="15"/>
  <c r="N576" i="15"/>
  <c r="N575" i="15"/>
  <c r="N574" i="15"/>
  <c r="N573" i="15"/>
  <c r="N572" i="15"/>
  <c r="N571" i="15"/>
  <c r="N570" i="15"/>
  <c r="N569" i="15"/>
  <c r="N568" i="15"/>
  <c r="N567" i="15"/>
  <c r="N566" i="15"/>
  <c r="N565" i="15"/>
  <c r="N564" i="15"/>
  <c r="N563" i="15"/>
  <c r="N562" i="15"/>
  <c r="N561" i="15"/>
  <c r="N560" i="15"/>
  <c r="N559" i="15"/>
  <c r="N558" i="15"/>
  <c r="N557" i="15"/>
  <c r="N556" i="15"/>
  <c r="N555" i="15"/>
  <c r="N554" i="15"/>
  <c r="N553" i="15"/>
  <c r="N552" i="15"/>
  <c r="N551" i="15"/>
  <c r="N550" i="15"/>
  <c r="N549" i="15"/>
  <c r="N548" i="15"/>
  <c r="N547" i="15"/>
  <c r="N546" i="15"/>
  <c r="N545" i="15"/>
  <c r="N544" i="15"/>
  <c r="N543" i="15"/>
  <c r="N542" i="15"/>
  <c r="N541" i="15"/>
  <c r="N540" i="15"/>
  <c r="N539" i="15"/>
  <c r="N538" i="15"/>
  <c r="N537" i="15"/>
  <c r="N536" i="15"/>
  <c r="N535" i="15"/>
  <c r="N534" i="15"/>
  <c r="N533" i="15"/>
  <c r="N532" i="15"/>
  <c r="N531" i="15"/>
  <c r="N530" i="15"/>
  <c r="N529" i="15"/>
  <c r="N528" i="15"/>
  <c r="N527" i="15"/>
  <c r="N526" i="15"/>
  <c r="N525" i="15"/>
  <c r="N524" i="15"/>
  <c r="N523" i="15"/>
  <c r="N522" i="15"/>
  <c r="N521" i="15"/>
  <c r="N520" i="15"/>
  <c r="N519" i="15"/>
  <c r="N518" i="15"/>
  <c r="N517" i="15"/>
  <c r="N516" i="15"/>
  <c r="N515" i="15"/>
  <c r="N514" i="15"/>
  <c r="N513" i="15"/>
  <c r="N512" i="15"/>
  <c r="N511" i="15"/>
  <c r="N510" i="15"/>
  <c r="N509" i="15"/>
  <c r="N508" i="15"/>
  <c r="N507" i="15"/>
  <c r="N506" i="15"/>
  <c r="N505" i="15"/>
  <c r="N504" i="15"/>
  <c r="N503" i="15"/>
  <c r="N502" i="15"/>
  <c r="N501" i="15"/>
  <c r="N500" i="15"/>
  <c r="N499" i="15"/>
  <c r="N498" i="15"/>
  <c r="N497" i="15"/>
  <c r="N496" i="15"/>
  <c r="N495" i="15"/>
  <c r="N494" i="15"/>
  <c r="N493" i="15"/>
  <c r="N492" i="15"/>
  <c r="N491" i="15"/>
  <c r="N490" i="15"/>
  <c r="N489" i="15"/>
  <c r="N488" i="15"/>
  <c r="N487" i="15"/>
  <c r="N486" i="15"/>
  <c r="N485" i="15"/>
  <c r="N484" i="15"/>
  <c r="N483" i="15"/>
  <c r="N482" i="15"/>
  <c r="N481" i="15"/>
  <c r="N480" i="15"/>
  <c r="N479" i="15"/>
  <c r="N478" i="15"/>
  <c r="N477" i="15"/>
  <c r="N476" i="15"/>
  <c r="N475" i="15"/>
  <c r="N474" i="15"/>
  <c r="N473" i="15"/>
  <c r="N472" i="15"/>
  <c r="N471" i="15"/>
  <c r="N470" i="15"/>
  <c r="N469" i="15"/>
  <c r="N468" i="15"/>
  <c r="N467" i="15"/>
  <c r="N466" i="15"/>
  <c r="N465" i="15"/>
  <c r="N464" i="15"/>
  <c r="N463" i="15"/>
  <c r="N462" i="15"/>
  <c r="N461" i="15"/>
  <c r="N460" i="15"/>
  <c r="N459" i="15"/>
  <c r="N458" i="15"/>
  <c r="N457" i="15"/>
  <c r="N456" i="15"/>
  <c r="N455" i="15"/>
  <c r="N454" i="15"/>
  <c r="N453" i="15"/>
  <c r="N452" i="15"/>
  <c r="N451" i="15"/>
  <c r="N450" i="15"/>
  <c r="N449" i="15"/>
  <c r="N448" i="15"/>
  <c r="N447" i="15"/>
  <c r="N446" i="15"/>
  <c r="N445" i="15"/>
  <c r="N444" i="15"/>
  <c r="N443" i="15"/>
  <c r="N442" i="15"/>
  <c r="N441" i="15"/>
  <c r="N440" i="15"/>
  <c r="N439" i="15"/>
  <c r="N438" i="15"/>
  <c r="N437" i="15"/>
  <c r="N436" i="15"/>
  <c r="N435" i="15"/>
  <c r="N434" i="15"/>
  <c r="N433" i="15"/>
  <c r="N432" i="15"/>
  <c r="N431" i="15"/>
  <c r="T154" i="1"/>
  <c r="T153" i="1"/>
  <c r="V49" i="9" l="1"/>
  <c r="G181" i="16"/>
  <c r="G2" i="16"/>
  <c r="AC184" i="1"/>
  <c r="AD184" i="1" s="1"/>
  <c r="AQ184" i="1" s="1"/>
  <c r="AR184" i="1" s="1"/>
  <c r="AC183" i="1"/>
  <c r="AD183" i="1" s="1"/>
  <c r="AQ183" i="1" s="1"/>
  <c r="AR183" i="1" s="1"/>
  <c r="AC182" i="1"/>
  <c r="AD182" i="1" s="1"/>
  <c r="AQ182" i="1" s="1"/>
  <c r="AR182" i="1" s="1"/>
  <c r="AC181" i="1"/>
  <c r="AD181" i="1" s="1"/>
  <c r="AQ181" i="1" s="1"/>
  <c r="AR181" i="1" s="1"/>
  <c r="AC180" i="1"/>
  <c r="AD180" i="1" s="1"/>
  <c r="AQ180" i="1" s="1"/>
  <c r="AR180" i="1" s="1"/>
  <c r="AC179" i="1"/>
  <c r="AD179" i="1" s="1"/>
  <c r="AQ179" i="1" s="1"/>
  <c r="AR179" i="1" s="1"/>
  <c r="S1" i="8"/>
  <c r="B153" i="1"/>
  <c r="T152" i="1"/>
  <c r="T151" i="1"/>
  <c r="T150" i="1"/>
  <c r="T149" i="1"/>
  <c r="T148" i="1"/>
  <c r="T147" i="1" l="1"/>
  <c r="N147" i="1"/>
  <c r="L147" i="1"/>
  <c r="K147" i="1"/>
  <c r="B147" i="1"/>
  <c r="N430" i="15"/>
  <c r="N429" i="15"/>
  <c r="N428" i="15"/>
  <c r="N427" i="15"/>
  <c r="N426" i="15"/>
  <c r="N425" i="15"/>
  <c r="N424" i="15"/>
  <c r="N423" i="15"/>
  <c r="N422" i="15"/>
  <c r="N421" i="15"/>
  <c r="N420" i="15"/>
  <c r="N419" i="15"/>
  <c r="N418" i="15"/>
  <c r="N417" i="15"/>
  <c r="N416" i="15"/>
  <c r="N415" i="15"/>
  <c r="N414" i="15"/>
  <c r="N413" i="15"/>
  <c r="T146" i="1"/>
  <c r="T145" i="1"/>
  <c r="T144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R142" i="1"/>
  <c r="L143" i="1"/>
  <c r="K143" i="1"/>
  <c r="B143" i="1"/>
  <c r="N412" i="15" l="1"/>
  <c r="N411" i="15"/>
  <c r="N410" i="15"/>
  <c r="N409" i="15"/>
  <c r="N408" i="15"/>
  <c r="N407" i="15"/>
  <c r="N406" i="15"/>
  <c r="N405" i="15"/>
  <c r="N404" i="15"/>
  <c r="N403" i="15"/>
  <c r="N402" i="15"/>
  <c r="N401" i="15"/>
  <c r="N400" i="15"/>
  <c r="N399" i="15"/>
  <c r="N398" i="15"/>
  <c r="N397" i="15"/>
  <c r="N396" i="15"/>
  <c r="N395" i="15"/>
  <c r="N394" i="15"/>
  <c r="N393" i="15"/>
  <c r="N392" i="15"/>
  <c r="N391" i="15"/>
  <c r="N390" i="15"/>
  <c r="N389" i="15"/>
  <c r="N388" i="15"/>
  <c r="N387" i="15"/>
  <c r="N386" i="15"/>
  <c r="N385" i="15"/>
  <c r="N384" i="15"/>
  <c r="N383" i="15"/>
  <c r="N382" i="15"/>
  <c r="N381" i="15"/>
  <c r="N380" i="15"/>
  <c r="N379" i="15"/>
  <c r="N378" i="15"/>
  <c r="N377" i="15"/>
  <c r="N376" i="15"/>
  <c r="N375" i="15"/>
  <c r="N374" i="15"/>
  <c r="N373" i="15"/>
  <c r="N372" i="15"/>
  <c r="N371" i="15"/>
  <c r="N370" i="15"/>
  <c r="N369" i="15"/>
  <c r="N368" i="15"/>
  <c r="N367" i="15"/>
  <c r="N366" i="15"/>
  <c r="N365" i="15"/>
  <c r="N364" i="15"/>
  <c r="N363" i="15"/>
  <c r="N362" i="15"/>
  <c r="N361" i="15"/>
  <c r="N360" i="15"/>
  <c r="N359" i="15"/>
  <c r="N358" i="15"/>
  <c r="N357" i="15"/>
  <c r="N356" i="15"/>
  <c r="N355" i="15"/>
  <c r="N354" i="15"/>
  <c r="N353" i="15"/>
  <c r="N352" i="15"/>
  <c r="N4" i="14"/>
  <c r="N3" i="14"/>
  <c r="R130" i="1"/>
  <c r="R61" i="1"/>
  <c r="R69" i="1"/>
  <c r="AO184" i="1" l="1"/>
  <c r="AO183" i="1"/>
  <c r="AO182" i="1"/>
  <c r="AO181" i="1"/>
  <c r="AO180" i="1"/>
  <c r="AO179" i="1"/>
  <c r="AO178" i="1"/>
  <c r="AO177" i="1"/>
  <c r="AO176" i="1"/>
  <c r="AO175" i="1"/>
  <c r="AO174" i="1"/>
  <c r="AO173" i="1"/>
  <c r="AO172" i="1"/>
  <c r="AO171" i="1"/>
  <c r="AO170" i="1"/>
  <c r="AO169" i="1"/>
  <c r="AO168" i="1"/>
  <c r="AO167" i="1"/>
  <c r="AO166" i="1"/>
  <c r="AO165" i="1"/>
  <c r="AO164" i="1"/>
  <c r="AO163" i="1"/>
  <c r="AO162" i="1"/>
  <c r="AO161" i="1"/>
  <c r="AO160" i="1"/>
  <c r="AO159" i="1"/>
  <c r="AO158" i="1"/>
  <c r="AO157" i="1"/>
  <c r="AO156" i="1"/>
  <c r="AO155" i="1"/>
  <c r="AO154" i="1"/>
  <c r="AO153" i="1"/>
  <c r="AO152" i="1"/>
  <c r="AO151" i="1"/>
  <c r="AO149" i="1"/>
  <c r="AO148" i="1"/>
  <c r="AO146" i="1"/>
  <c r="AO145" i="1"/>
  <c r="AO143" i="1"/>
  <c r="AO141" i="1"/>
  <c r="AO139" i="1"/>
  <c r="AO137" i="1"/>
  <c r="AO135" i="1"/>
  <c r="AO133" i="1"/>
  <c r="AO131" i="1"/>
  <c r="AO129" i="1"/>
  <c r="AO126" i="1"/>
  <c r="AO124" i="1"/>
  <c r="AO121" i="1"/>
  <c r="AO119" i="1"/>
  <c r="AO114" i="1"/>
  <c r="AO112" i="1"/>
  <c r="AO108" i="1"/>
  <c r="AO104" i="1"/>
  <c r="AO102" i="1"/>
  <c r="AO98" i="1"/>
  <c r="AO94" i="1"/>
  <c r="AO92" i="1"/>
  <c r="AO88" i="1"/>
  <c r="AO84" i="1"/>
  <c r="AO81" i="1"/>
  <c r="AO77" i="1"/>
  <c r="AO74" i="1"/>
  <c r="AO71" i="1"/>
  <c r="AO67" i="1"/>
  <c r="AO64" i="1"/>
  <c r="AO61" i="1"/>
  <c r="AO57" i="1"/>
  <c r="AO52" i="1"/>
  <c r="AO49" i="1"/>
  <c r="AO46" i="1"/>
  <c r="AO42" i="1"/>
  <c r="AO39" i="1"/>
  <c r="AO36" i="1"/>
  <c r="AO31" i="1"/>
  <c r="AO27" i="1"/>
  <c r="AO24" i="1"/>
  <c r="AO21" i="1"/>
  <c r="AO17" i="1"/>
  <c r="AO14" i="1"/>
  <c r="AO10" i="1"/>
  <c r="AN36" i="1"/>
  <c r="AN31" i="1"/>
  <c r="AN26" i="1"/>
  <c r="AN19" i="1"/>
  <c r="AN12" i="1"/>
  <c r="AN184" i="1"/>
  <c r="AK184" i="1"/>
  <c r="AN183" i="1"/>
  <c r="AM183" i="1"/>
  <c r="AL183" i="1"/>
  <c r="AK183" i="1"/>
  <c r="AJ183" i="1"/>
  <c r="AI183" i="1"/>
  <c r="AG183" i="1"/>
  <c r="AL182" i="1"/>
  <c r="AH182" i="1"/>
  <c r="AL181" i="1"/>
  <c r="AH181" i="1"/>
  <c r="AM180" i="1"/>
  <c r="AL180" i="1"/>
  <c r="AK180" i="1"/>
  <c r="AI180" i="1"/>
  <c r="AM179" i="1"/>
  <c r="AI179" i="1"/>
  <c r="AN177" i="1"/>
  <c r="AN173" i="1"/>
  <c r="AN169" i="1"/>
  <c r="AN166" i="1"/>
  <c r="AN157" i="1"/>
  <c r="AN153" i="1"/>
  <c r="AN150" i="1"/>
  <c r="AN146" i="1"/>
  <c r="AN144" i="1"/>
  <c r="AN140" i="1"/>
  <c r="AN136" i="1"/>
  <c r="AN132" i="1"/>
  <c r="AN128" i="1"/>
  <c r="AN124" i="1"/>
  <c r="AN120" i="1"/>
  <c r="AN117" i="1"/>
  <c r="AN113" i="1"/>
  <c r="AN109" i="1"/>
  <c r="AN105" i="1"/>
  <c r="AN101" i="1"/>
  <c r="AN97" i="1"/>
  <c r="AN93" i="1"/>
  <c r="AN89" i="1"/>
  <c r="AN85" i="1"/>
  <c r="AN81" i="1"/>
  <c r="AN77" i="1"/>
  <c r="AN73" i="1"/>
  <c r="U9" i="13" s="1"/>
  <c r="AN69" i="1"/>
  <c r="AN66" i="1"/>
  <c r="AN61" i="1"/>
  <c r="AN57" i="1"/>
  <c r="AN53" i="1"/>
  <c r="AN50" i="1"/>
  <c r="AN46" i="1"/>
  <c r="AN42" i="1"/>
  <c r="AN38" i="1"/>
  <c r="AN30" i="1"/>
  <c r="AN22" i="1"/>
  <c r="AN14" i="1"/>
  <c r="AM184" i="1"/>
  <c r="AL184" i="1"/>
  <c r="AJ184" i="1"/>
  <c r="AI184" i="1"/>
  <c r="AH184" i="1"/>
  <c r="AG184" i="1"/>
  <c r="AH183" i="1"/>
  <c r="AN182" i="1"/>
  <c r="AM182" i="1"/>
  <c r="AK182" i="1"/>
  <c r="AJ182" i="1"/>
  <c r="AI182" i="1"/>
  <c r="AG182" i="1"/>
  <c r="AN181" i="1"/>
  <c r="AM181" i="1"/>
  <c r="AK181" i="1"/>
  <c r="AJ181" i="1"/>
  <c r="AI181" i="1"/>
  <c r="AG181" i="1"/>
  <c r="AN180" i="1"/>
  <c r="AJ180" i="1"/>
  <c r="AH180" i="1"/>
  <c r="AG180" i="1"/>
  <c r="AN179" i="1"/>
  <c r="AL179" i="1"/>
  <c r="AK179" i="1"/>
  <c r="AJ179" i="1"/>
  <c r="AH179" i="1"/>
  <c r="AG179" i="1"/>
  <c r="AN178" i="1"/>
  <c r="AN176" i="1"/>
  <c r="AN175" i="1"/>
  <c r="AN174" i="1"/>
  <c r="AN172" i="1"/>
  <c r="AN171" i="1"/>
  <c r="AN170" i="1"/>
  <c r="AN168" i="1"/>
  <c r="AN167" i="1"/>
  <c r="AN165" i="1"/>
  <c r="AN164" i="1"/>
  <c r="AN163" i="1"/>
  <c r="AN162" i="1"/>
  <c r="AN161" i="1"/>
  <c r="AN160" i="1"/>
  <c r="AN159" i="1"/>
  <c r="AN158" i="1"/>
  <c r="AN156" i="1"/>
  <c r="AN155" i="1"/>
  <c r="AN154" i="1"/>
  <c r="AN152" i="1"/>
  <c r="AN151" i="1"/>
  <c r="AN149" i="1"/>
  <c r="AN148" i="1"/>
  <c r="AN147" i="1"/>
  <c r="AN145" i="1"/>
  <c r="AN143" i="1"/>
  <c r="AN142" i="1"/>
  <c r="AN141" i="1"/>
  <c r="AN139" i="1"/>
  <c r="AN138" i="1"/>
  <c r="AN137" i="1"/>
  <c r="AN135" i="1"/>
  <c r="AN134" i="1"/>
  <c r="AN133" i="1"/>
  <c r="AN131" i="1"/>
  <c r="AN130" i="1"/>
  <c r="AN129" i="1"/>
  <c r="AN127" i="1"/>
  <c r="AN126" i="1"/>
  <c r="AN125" i="1"/>
  <c r="AN123" i="1"/>
  <c r="AN122" i="1"/>
  <c r="AN121" i="1"/>
  <c r="AN119" i="1"/>
  <c r="AN118" i="1"/>
  <c r="AN116" i="1"/>
  <c r="AN115" i="1"/>
  <c r="AN114" i="1"/>
  <c r="AN112" i="1"/>
  <c r="AN111" i="1"/>
  <c r="AN110" i="1"/>
  <c r="AN108" i="1"/>
  <c r="AN107" i="1"/>
  <c r="AN106" i="1"/>
  <c r="AN104" i="1"/>
  <c r="AN103" i="1"/>
  <c r="AN102" i="1"/>
  <c r="AN100" i="1"/>
  <c r="AN99" i="1"/>
  <c r="AN98" i="1"/>
  <c r="AN96" i="1"/>
  <c r="AN95" i="1"/>
  <c r="AN94" i="1"/>
  <c r="AN92" i="1"/>
  <c r="AN91" i="1"/>
  <c r="AN90" i="1"/>
  <c r="AN88" i="1"/>
  <c r="AN87" i="1"/>
  <c r="AN86" i="1"/>
  <c r="AN84" i="1"/>
  <c r="AN83" i="1"/>
  <c r="AN82" i="1"/>
  <c r="AN80" i="1"/>
  <c r="AN79" i="1"/>
  <c r="AN78" i="1"/>
  <c r="AN76" i="1"/>
  <c r="AN75" i="1"/>
  <c r="AN74" i="1"/>
  <c r="AN72" i="1"/>
  <c r="AN71" i="1"/>
  <c r="AN70" i="1"/>
  <c r="AN68" i="1"/>
  <c r="AN67" i="1"/>
  <c r="AN65" i="1"/>
  <c r="AN64" i="1"/>
  <c r="AN63" i="1"/>
  <c r="AN62" i="1"/>
  <c r="AN60" i="1"/>
  <c r="AN59" i="1"/>
  <c r="AN58" i="1"/>
  <c r="AN56" i="1"/>
  <c r="AN55" i="1"/>
  <c r="AN54" i="1"/>
  <c r="AN52" i="1"/>
  <c r="AN51" i="1"/>
  <c r="AN49" i="1"/>
  <c r="AN48" i="1"/>
  <c r="AN47" i="1"/>
  <c r="AN45" i="1"/>
  <c r="AN44" i="1"/>
  <c r="AN43" i="1"/>
  <c r="AN41" i="1"/>
  <c r="AN40" i="1"/>
  <c r="AN39" i="1"/>
  <c r="AN37" i="1"/>
  <c r="AN35" i="1"/>
  <c r="AN33" i="1"/>
  <c r="AN29" i="1"/>
  <c r="AN25" i="1"/>
  <c r="AN21" i="1"/>
  <c r="AN18" i="1"/>
  <c r="AN16" i="1"/>
  <c r="AN11" i="1"/>
  <c r="AN9" i="1"/>
  <c r="AO150" i="1"/>
  <c r="AO142" i="1"/>
  <c r="AO140" i="1"/>
  <c r="AO138" i="1"/>
  <c r="AO136" i="1"/>
  <c r="AO134" i="1"/>
  <c r="AO132" i="1"/>
  <c r="AO130" i="1"/>
  <c r="AO127" i="1"/>
  <c r="AO125" i="1"/>
  <c r="AO122" i="1"/>
  <c r="AO118" i="1"/>
  <c r="AO115" i="1"/>
  <c r="AO113" i="1"/>
  <c r="AO109" i="1"/>
  <c r="AO106" i="1"/>
  <c r="AO103" i="1"/>
  <c r="AO99" i="1"/>
  <c r="AO97" i="1"/>
  <c r="AO93" i="1"/>
  <c r="AO89" i="1"/>
  <c r="AO87" i="1"/>
  <c r="AO83" i="1"/>
  <c r="AO82" i="1"/>
  <c r="AO78" i="1"/>
  <c r="AO76" i="1"/>
  <c r="AO72" i="1"/>
  <c r="AO69" i="1"/>
  <c r="AO66" i="1"/>
  <c r="AO62" i="1"/>
  <c r="AO59" i="1"/>
  <c r="AO56" i="1"/>
  <c r="AO54" i="1"/>
  <c r="AO51" i="1"/>
  <c r="AO47" i="1"/>
  <c r="AO44" i="1"/>
  <c r="AO41" i="1"/>
  <c r="AO37" i="1"/>
  <c r="AO35" i="1"/>
  <c r="AO32" i="1"/>
  <c r="AO28" i="1"/>
  <c r="AO26" i="1"/>
  <c r="AO22" i="1"/>
  <c r="AO19" i="1"/>
  <c r="AO16" i="1"/>
  <c r="AO12" i="1"/>
  <c r="AO9" i="1"/>
  <c r="AO7" i="1"/>
  <c r="AN34" i="1"/>
  <c r="AN27" i="1"/>
  <c r="AN24" i="1"/>
  <c r="AN17" i="1"/>
  <c r="AN13" i="1"/>
  <c r="AN8" i="1"/>
  <c r="AO147" i="1"/>
  <c r="AO128" i="1"/>
  <c r="AO120" i="1"/>
  <c r="AO116" i="1"/>
  <c r="AO110" i="1"/>
  <c r="AO105" i="1"/>
  <c r="AO100" i="1"/>
  <c r="AO95" i="1"/>
  <c r="AO91" i="1"/>
  <c r="AO85" i="1"/>
  <c r="AO79" i="1"/>
  <c r="AO73" i="1"/>
  <c r="AO68" i="1"/>
  <c r="AO63" i="1"/>
  <c r="AO58" i="1"/>
  <c r="AO53" i="1"/>
  <c r="AO48" i="1"/>
  <c r="AO43" i="1"/>
  <c r="AO38" i="1"/>
  <c r="AO33" i="1"/>
  <c r="AO29" i="1"/>
  <c r="AO23" i="1"/>
  <c r="AO18" i="1"/>
  <c r="AO13" i="1"/>
  <c r="AO8" i="1"/>
  <c r="AN28" i="1"/>
  <c r="AN20" i="1"/>
  <c r="AN10" i="1"/>
  <c r="AO144" i="1"/>
  <c r="AO123" i="1"/>
  <c r="AO117" i="1"/>
  <c r="AO111" i="1"/>
  <c r="AO107" i="1"/>
  <c r="AO101" i="1"/>
  <c r="AO96" i="1"/>
  <c r="AO90" i="1"/>
  <c r="AO86" i="1"/>
  <c r="AO80" i="1"/>
  <c r="AO75" i="1"/>
  <c r="AO70" i="1"/>
  <c r="AO65" i="1"/>
  <c r="AO60" i="1"/>
  <c r="AO55" i="1"/>
  <c r="AO50" i="1"/>
  <c r="AO45" i="1"/>
  <c r="AO40" i="1"/>
  <c r="AO34" i="1"/>
  <c r="AO30" i="1"/>
  <c r="AO25" i="1"/>
  <c r="AO20" i="1"/>
  <c r="AO15" i="1"/>
  <c r="AO11" i="1"/>
  <c r="AN32" i="1"/>
  <c r="AN23" i="1"/>
  <c r="AN15" i="1"/>
  <c r="AN7" i="1"/>
  <c r="AM123" i="1"/>
  <c r="AM109" i="1"/>
  <c r="AM106" i="1"/>
  <c r="AM103" i="1"/>
  <c r="AM100" i="1"/>
  <c r="AM96" i="1"/>
  <c r="AM94" i="1"/>
  <c r="AM91" i="1"/>
  <c r="AM85" i="1"/>
  <c r="AM83" i="1"/>
  <c r="AM79" i="1"/>
  <c r="AM76" i="1"/>
  <c r="AM73" i="1"/>
  <c r="T9" i="13" s="1"/>
  <c r="AM69" i="1"/>
  <c r="AM64" i="1"/>
  <c r="AM59" i="1"/>
  <c r="AM55" i="1"/>
  <c r="AM52" i="1"/>
  <c r="AM48" i="1"/>
  <c r="AM42" i="1"/>
  <c r="AM38" i="1"/>
  <c r="AM35" i="1"/>
  <c r="AM30" i="1"/>
  <c r="AM25" i="1"/>
  <c r="AM20" i="1"/>
  <c r="AM16" i="1"/>
  <c r="AM10" i="1"/>
  <c r="AM88" i="1"/>
  <c r="AM45" i="1"/>
  <c r="AM27" i="1"/>
  <c r="AM13" i="1"/>
  <c r="AM99" i="1"/>
  <c r="AM86" i="1"/>
  <c r="AM81" i="1"/>
  <c r="AM77" i="1"/>
  <c r="AM74" i="1"/>
  <c r="AM70" i="1"/>
  <c r="AM67" i="1"/>
  <c r="AM62" i="1"/>
  <c r="AM56" i="1"/>
  <c r="AM51" i="1"/>
  <c r="AM46" i="1"/>
  <c r="AM41" i="1"/>
  <c r="AM36" i="1"/>
  <c r="AM32" i="1"/>
  <c r="AM26" i="1"/>
  <c r="AM21" i="1"/>
  <c r="AM15" i="1"/>
  <c r="AM9" i="1"/>
  <c r="AM178" i="1"/>
  <c r="AM177" i="1"/>
  <c r="AM176" i="1"/>
  <c r="AM175" i="1"/>
  <c r="AM174" i="1"/>
  <c r="AM173" i="1"/>
  <c r="AM172" i="1"/>
  <c r="AM171" i="1"/>
  <c r="AM170" i="1"/>
  <c r="AM169" i="1"/>
  <c r="AM168" i="1"/>
  <c r="AM167" i="1"/>
  <c r="AM166" i="1"/>
  <c r="AM165" i="1"/>
  <c r="AM164" i="1"/>
  <c r="AM163" i="1"/>
  <c r="AM162" i="1"/>
  <c r="AM161" i="1"/>
  <c r="AM160" i="1"/>
  <c r="AM159" i="1"/>
  <c r="AM158" i="1"/>
  <c r="AM157" i="1"/>
  <c r="AM156" i="1"/>
  <c r="AM155" i="1"/>
  <c r="AM154" i="1"/>
  <c r="AM153" i="1"/>
  <c r="AM152" i="1"/>
  <c r="AM151" i="1"/>
  <c r="AM150" i="1"/>
  <c r="AM149" i="1"/>
  <c r="AM148" i="1"/>
  <c r="AM147" i="1"/>
  <c r="AM146" i="1"/>
  <c r="AM145" i="1"/>
  <c r="AM144" i="1"/>
  <c r="AM143" i="1"/>
  <c r="AM142" i="1"/>
  <c r="AM141" i="1"/>
  <c r="AM140" i="1"/>
  <c r="AM139" i="1"/>
  <c r="AM138" i="1"/>
  <c r="AM137" i="1"/>
  <c r="AM136" i="1"/>
  <c r="AM135" i="1"/>
  <c r="AM134" i="1"/>
  <c r="AM133" i="1"/>
  <c r="AM132" i="1"/>
  <c r="AM131" i="1"/>
  <c r="AM130" i="1"/>
  <c r="AM129" i="1"/>
  <c r="AM128" i="1"/>
  <c r="AM127" i="1"/>
  <c r="AM126" i="1"/>
  <c r="AM125" i="1"/>
  <c r="AM124" i="1"/>
  <c r="AM122" i="1"/>
  <c r="AM121" i="1"/>
  <c r="AM120" i="1"/>
  <c r="AM119" i="1"/>
  <c r="AM118" i="1"/>
  <c r="AM117" i="1"/>
  <c r="AM116" i="1"/>
  <c r="AM115" i="1"/>
  <c r="AM114" i="1"/>
  <c r="AM113" i="1"/>
  <c r="AM112" i="1"/>
  <c r="AM111" i="1"/>
  <c r="AM110" i="1"/>
  <c r="AM108" i="1"/>
  <c r="AM107" i="1"/>
  <c r="AM105" i="1"/>
  <c r="AM104" i="1"/>
  <c r="AM102" i="1"/>
  <c r="AM101" i="1"/>
  <c r="AM98" i="1"/>
  <c r="AM97" i="1"/>
  <c r="AM95" i="1"/>
  <c r="AM93" i="1"/>
  <c r="AM92" i="1"/>
  <c r="AM90" i="1"/>
  <c r="AM87" i="1"/>
  <c r="AM84" i="1"/>
  <c r="AM82" i="1"/>
  <c r="AM80" i="1"/>
  <c r="AM78" i="1"/>
  <c r="AM75" i="1"/>
  <c r="AM71" i="1"/>
  <c r="AM68" i="1"/>
  <c r="AM66" i="1"/>
  <c r="AM63" i="1"/>
  <c r="AM60" i="1"/>
  <c r="AM58" i="1"/>
  <c r="AM54" i="1"/>
  <c r="AM50" i="1"/>
  <c r="AM47" i="1"/>
  <c r="AM44" i="1"/>
  <c r="AM40" i="1"/>
  <c r="AM37" i="1"/>
  <c r="AM34" i="1"/>
  <c r="AM31" i="1"/>
  <c r="AM28" i="1"/>
  <c r="AM23" i="1"/>
  <c r="AM22" i="1"/>
  <c r="AM18" i="1"/>
  <c r="AM14" i="1"/>
  <c r="AM12" i="1"/>
  <c r="AM8" i="1"/>
  <c r="AM89" i="1"/>
  <c r="AM72" i="1"/>
  <c r="AM65" i="1"/>
  <c r="AM61" i="1"/>
  <c r="AM57" i="1"/>
  <c r="AM53" i="1"/>
  <c r="AM49" i="1"/>
  <c r="AM43" i="1"/>
  <c r="AM39" i="1"/>
  <c r="AM33" i="1"/>
  <c r="AM29" i="1"/>
  <c r="AM24" i="1"/>
  <c r="AM19" i="1"/>
  <c r="AM17" i="1"/>
  <c r="AM11" i="1"/>
  <c r="AM7" i="1"/>
  <c r="AL178" i="1"/>
  <c r="AL177" i="1"/>
  <c r="AL176" i="1"/>
  <c r="AL175" i="1"/>
  <c r="AL174" i="1"/>
  <c r="AL173" i="1"/>
  <c r="AL169" i="1"/>
  <c r="AL168" i="1"/>
  <c r="AL167" i="1"/>
  <c r="AL165" i="1"/>
  <c r="AL163" i="1"/>
  <c r="AL160" i="1"/>
  <c r="AL157" i="1"/>
  <c r="AL153" i="1"/>
  <c r="AL149" i="1"/>
  <c r="AL146" i="1"/>
  <c r="AL141" i="1"/>
  <c r="AL137" i="1"/>
  <c r="AL133" i="1"/>
  <c r="AL129" i="1"/>
  <c r="AL124" i="1"/>
  <c r="AL121" i="1"/>
  <c r="AL117" i="1"/>
  <c r="AL113" i="1"/>
  <c r="AL109" i="1"/>
  <c r="AL105" i="1"/>
  <c r="AL101" i="1"/>
  <c r="AL97" i="1"/>
  <c r="AL93" i="1"/>
  <c r="AL89" i="1"/>
  <c r="AL56" i="1"/>
  <c r="AL55" i="1"/>
  <c r="AL54" i="1"/>
  <c r="AL53" i="1"/>
  <c r="AL52" i="1"/>
  <c r="AL51" i="1"/>
  <c r="AL50" i="1"/>
  <c r="AL49" i="1"/>
  <c r="AL48" i="1"/>
  <c r="AL47" i="1"/>
  <c r="AL46" i="1"/>
  <c r="AL45" i="1"/>
  <c r="AL44" i="1"/>
  <c r="AL43" i="1"/>
  <c r="AL42" i="1"/>
  <c r="AL41" i="1"/>
  <c r="AL40" i="1"/>
  <c r="AL39" i="1"/>
  <c r="AL38" i="1"/>
  <c r="AL37" i="1"/>
  <c r="AL36" i="1"/>
  <c r="AL35" i="1"/>
  <c r="AL34" i="1"/>
  <c r="AL33" i="1"/>
  <c r="AL32" i="1"/>
  <c r="AL31" i="1"/>
  <c r="AL30" i="1"/>
  <c r="AL29" i="1"/>
  <c r="AL28" i="1"/>
  <c r="AL27" i="1"/>
  <c r="AL26" i="1"/>
  <c r="AL25" i="1"/>
  <c r="AL24" i="1"/>
  <c r="AL23" i="1"/>
  <c r="AL22" i="1"/>
  <c r="AL21" i="1"/>
  <c r="AL20" i="1"/>
  <c r="AL19" i="1"/>
  <c r="AL18" i="1"/>
  <c r="AL17" i="1"/>
  <c r="AL15" i="1"/>
  <c r="AL12" i="1"/>
  <c r="AL7" i="1"/>
  <c r="AL171" i="1"/>
  <c r="AL156" i="1"/>
  <c r="AL151" i="1"/>
  <c r="AL147" i="1"/>
  <c r="AL143" i="1"/>
  <c r="AL139" i="1"/>
  <c r="AL136" i="1"/>
  <c r="AL132" i="1"/>
  <c r="AL128" i="1"/>
  <c r="AL125" i="1"/>
  <c r="AL122" i="1"/>
  <c r="AL118" i="1"/>
  <c r="AL114" i="1"/>
  <c r="AL110" i="1"/>
  <c r="AL107" i="1"/>
  <c r="AL104" i="1"/>
  <c r="AL100" i="1"/>
  <c r="AL96" i="1"/>
  <c r="AL92" i="1"/>
  <c r="AL87" i="1"/>
  <c r="AL84" i="1"/>
  <c r="AL83" i="1"/>
  <c r="AL80" i="1"/>
  <c r="AL77" i="1"/>
  <c r="AL74" i="1"/>
  <c r="AL72" i="1"/>
  <c r="AL69" i="1"/>
  <c r="AL66" i="1"/>
  <c r="AL65" i="1"/>
  <c r="AL62" i="1"/>
  <c r="AL59" i="1"/>
  <c r="AL57" i="1"/>
  <c r="AL13" i="1"/>
  <c r="AL9" i="1"/>
  <c r="AL170" i="1"/>
  <c r="AL162" i="1"/>
  <c r="AL158" i="1"/>
  <c r="AL154" i="1"/>
  <c r="AL150" i="1"/>
  <c r="AL144" i="1"/>
  <c r="AL140" i="1"/>
  <c r="AL135" i="1"/>
  <c r="AL131" i="1"/>
  <c r="AL126" i="1"/>
  <c r="AL120" i="1"/>
  <c r="AL116" i="1"/>
  <c r="AL112" i="1"/>
  <c r="AL106" i="1"/>
  <c r="AL102" i="1"/>
  <c r="AL98" i="1"/>
  <c r="AL94" i="1"/>
  <c r="AL90" i="1"/>
  <c r="AL86" i="1"/>
  <c r="AL81" i="1"/>
  <c r="AL78" i="1"/>
  <c r="AL75" i="1"/>
  <c r="AL71" i="1"/>
  <c r="AL67" i="1"/>
  <c r="AL63" i="1"/>
  <c r="AL60" i="1"/>
  <c r="AL16" i="1"/>
  <c r="AL10" i="1"/>
  <c r="AL172" i="1"/>
  <c r="AL166" i="1"/>
  <c r="AL164" i="1"/>
  <c r="AL161" i="1"/>
  <c r="AL159" i="1"/>
  <c r="AL155" i="1"/>
  <c r="AL152" i="1"/>
  <c r="AL148" i="1"/>
  <c r="AL145" i="1"/>
  <c r="AL142" i="1"/>
  <c r="AL138" i="1"/>
  <c r="AL134" i="1"/>
  <c r="AL130" i="1"/>
  <c r="AL127" i="1"/>
  <c r="AL123" i="1"/>
  <c r="AL119" i="1"/>
  <c r="AL115" i="1"/>
  <c r="AL111" i="1"/>
  <c r="AL108" i="1"/>
  <c r="AL103" i="1"/>
  <c r="AL99" i="1"/>
  <c r="AL95" i="1"/>
  <c r="AL91" i="1"/>
  <c r="AL88" i="1"/>
  <c r="AL85" i="1"/>
  <c r="AL82" i="1"/>
  <c r="AL79" i="1"/>
  <c r="AL76" i="1"/>
  <c r="AL73" i="1"/>
  <c r="S9" i="13" s="1"/>
  <c r="AL70" i="1"/>
  <c r="AL68" i="1"/>
  <c r="AL64" i="1"/>
  <c r="AL61" i="1"/>
  <c r="AL58" i="1"/>
  <c r="AL14" i="1"/>
  <c r="AL11" i="1"/>
  <c r="AL8" i="1"/>
  <c r="AJ152" i="1"/>
  <c r="AJ151" i="1"/>
  <c r="AJ90" i="1"/>
  <c r="AJ57" i="1"/>
  <c r="AJ56" i="1"/>
  <c r="AJ31" i="1"/>
  <c r="AJ30" i="1"/>
  <c r="AJ82" i="1"/>
  <c r="AJ116" i="1"/>
  <c r="AJ115" i="1"/>
  <c r="AJ163" i="1"/>
  <c r="AK168" i="1"/>
  <c r="AK161" i="1"/>
  <c r="AK159" i="1"/>
  <c r="AK158" i="1"/>
  <c r="AK156" i="1"/>
  <c r="AK154" i="1"/>
  <c r="AK153" i="1"/>
  <c r="AK151" i="1"/>
  <c r="AK150" i="1"/>
  <c r="AK148" i="1"/>
  <c r="AK147" i="1"/>
  <c r="AK145" i="1"/>
  <c r="AK143" i="1"/>
  <c r="AK142" i="1"/>
  <c r="AK140" i="1"/>
  <c r="AK138" i="1"/>
  <c r="AK120" i="1"/>
  <c r="AK117" i="1"/>
  <c r="AK116" i="1"/>
  <c r="AK114" i="1"/>
  <c r="AK112" i="1"/>
  <c r="AK110" i="1"/>
  <c r="AK108" i="1"/>
  <c r="AK105" i="1"/>
  <c r="AK102" i="1"/>
  <c r="AK101" i="1"/>
  <c r="AK97" i="1"/>
  <c r="AK74" i="1"/>
  <c r="AK70" i="1"/>
  <c r="AK68" i="1"/>
  <c r="AK66" i="1"/>
  <c r="AK62" i="1"/>
  <c r="AK60" i="1"/>
  <c r="AK56" i="1"/>
  <c r="AK53" i="1"/>
  <c r="AK52" i="1"/>
  <c r="AK47" i="1"/>
  <c r="AK45" i="1"/>
  <c r="AK42" i="1"/>
  <c r="AK39" i="1"/>
  <c r="AK37" i="1"/>
  <c r="AK33" i="1"/>
  <c r="AK32" i="1"/>
  <c r="AK27" i="1"/>
  <c r="AK25" i="1"/>
  <c r="AK21" i="1"/>
  <c r="AK19" i="1"/>
  <c r="AK18" i="1"/>
  <c r="AK13" i="1"/>
  <c r="AK12" i="1"/>
  <c r="AK10" i="1"/>
  <c r="AJ143" i="1"/>
  <c r="AH143" i="1"/>
  <c r="AK137" i="1"/>
  <c r="AK136" i="1"/>
  <c r="AK135" i="1"/>
  <c r="AK134" i="1"/>
  <c r="AK133" i="1"/>
  <c r="AK132" i="1"/>
  <c r="AK131" i="1"/>
  <c r="AK130" i="1"/>
  <c r="AK129" i="1"/>
  <c r="AK128" i="1"/>
  <c r="AK127" i="1"/>
  <c r="AK126" i="1"/>
  <c r="AK125" i="1"/>
  <c r="AK124" i="1"/>
  <c r="AK123" i="1"/>
  <c r="AK122" i="1"/>
  <c r="AK118" i="1"/>
  <c r="AK113" i="1"/>
  <c r="AK109" i="1"/>
  <c r="AK103" i="1"/>
  <c r="AK98" i="1"/>
  <c r="AK71" i="1"/>
  <c r="AK64" i="1"/>
  <c r="AK58" i="1"/>
  <c r="AK51" i="1"/>
  <c r="AK44" i="1"/>
  <c r="AK38" i="1"/>
  <c r="AK29" i="1"/>
  <c r="AK23" i="1"/>
  <c r="AK16" i="1"/>
  <c r="AK9" i="1"/>
  <c r="AG143" i="1"/>
  <c r="AV143" i="1" s="1"/>
  <c r="AK96" i="1"/>
  <c r="AK95" i="1"/>
  <c r="AK94" i="1"/>
  <c r="AK93" i="1"/>
  <c r="AK92" i="1"/>
  <c r="AK91" i="1"/>
  <c r="AK90" i="1"/>
  <c r="AK89" i="1"/>
  <c r="AK88" i="1"/>
  <c r="AK87" i="1"/>
  <c r="AK86" i="1"/>
  <c r="AK85" i="1"/>
  <c r="AK84" i="1"/>
  <c r="AK83" i="1"/>
  <c r="AK82" i="1"/>
  <c r="AK81" i="1"/>
  <c r="AK80" i="1"/>
  <c r="AK79" i="1"/>
  <c r="AK78" i="1"/>
  <c r="AK77" i="1"/>
  <c r="AK76" i="1"/>
  <c r="AK73" i="1"/>
  <c r="R9" i="13" s="1"/>
  <c r="AK67" i="1"/>
  <c r="AK61" i="1"/>
  <c r="AK55" i="1"/>
  <c r="AK48" i="1"/>
  <c r="AK41" i="1"/>
  <c r="AK34" i="1"/>
  <c r="AK28" i="1"/>
  <c r="AK22" i="1"/>
  <c r="AK15" i="1"/>
  <c r="AK7" i="1"/>
  <c r="AK139" i="1"/>
  <c r="AK106" i="1"/>
  <c r="AK99" i="1"/>
  <c r="AK72" i="1"/>
  <c r="AK63" i="1"/>
  <c r="AK57" i="1"/>
  <c r="AK50" i="1"/>
  <c r="AK43" i="1"/>
  <c r="AK36" i="1"/>
  <c r="AK30" i="1"/>
  <c r="AK24" i="1"/>
  <c r="AK17" i="1"/>
  <c r="AK8" i="1"/>
  <c r="AK178" i="1"/>
  <c r="AK177" i="1"/>
  <c r="AK176" i="1"/>
  <c r="AK175" i="1"/>
  <c r="AK174" i="1"/>
  <c r="AK173" i="1"/>
  <c r="AK172" i="1"/>
  <c r="AK171" i="1"/>
  <c r="AK170" i="1"/>
  <c r="AK169" i="1"/>
  <c r="AK167" i="1"/>
  <c r="AK166" i="1"/>
  <c r="AK165" i="1"/>
  <c r="AK164" i="1"/>
  <c r="AK163" i="1"/>
  <c r="AK162" i="1"/>
  <c r="AK160" i="1"/>
  <c r="AK157" i="1"/>
  <c r="AK155" i="1"/>
  <c r="AK152" i="1"/>
  <c r="AK149" i="1"/>
  <c r="AK146" i="1"/>
  <c r="AK144" i="1"/>
  <c r="AK141" i="1"/>
  <c r="AK121" i="1"/>
  <c r="AK119" i="1"/>
  <c r="AK115" i="1"/>
  <c r="AK111" i="1"/>
  <c r="AK107" i="1"/>
  <c r="AK104" i="1"/>
  <c r="AK100" i="1"/>
  <c r="AK75" i="1"/>
  <c r="AK69" i="1"/>
  <c r="AK65" i="1"/>
  <c r="AK59" i="1"/>
  <c r="AK54" i="1"/>
  <c r="AK49" i="1"/>
  <c r="AK46" i="1"/>
  <c r="AK40" i="1"/>
  <c r="AK35" i="1"/>
  <c r="AK31" i="1"/>
  <c r="AK26" i="1"/>
  <c r="AK20" i="1"/>
  <c r="AK14" i="1"/>
  <c r="AK11" i="1"/>
  <c r="AI143" i="1"/>
  <c r="AJ32" i="1"/>
  <c r="AJ58" i="1"/>
  <c r="AJ117" i="1"/>
  <c r="AJ7" i="1"/>
  <c r="AJ66" i="1"/>
  <c r="AJ92" i="1"/>
  <c r="AJ118" i="1"/>
  <c r="AJ154" i="1"/>
  <c r="AJ8" i="1"/>
  <c r="AJ67" i="1"/>
  <c r="AJ126" i="1"/>
  <c r="AJ174" i="1"/>
  <c r="AJ162" i="1"/>
  <c r="AJ150" i="1"/>
  <c r="AJ137" i="1"/>
  <c r="AJ125" i="1"/>
  <c r="AJ113" i="1"/>
  <c r="AJ101" i="1"/>
  <c r="AJ89" i="1"/>
  <c r="AJ77" i="1"/>
  <c r="AJ65" i="1"/>
  <c r="AJ53" i="1"/>
  <c r="AJ41" i="1"/>
  <c r="AJ29" i="1"/>
  <c r="AJ17" i="1"/>
  <c r="AJ173" i="1"/>
  <c r="AJ161" i="1"/>
  <c r="AJ149" i="1"/>
  <c r="AJ136" i="1"/>
  <c r="AJ124" i="1"/>
  <c r="AJ112" i="1"/>
  <c r="AJ100" i="1"/>
  <c r="AJ88" i="1"/>
  <c r="AJ76" i="1"/>
  <c r="AJ64" i="1"/>
  <c r="AJ52" i="1"/>
  <c r="AJ40" i="1"/>
  <c r="AJ28" i="1"/>
  <c r="AJ16" i="1"/>
  <c r="AJ172" i="1"/>
  <c r="AJ160" i="1"/>
  <c r="AJ148" i="1"/>
  <c r="AJ135" i="1"/>
  <c r="AJ123" i="1"/>
  <c r="AJ111" i="1"/>
  <c r="AJ99" i="1"/>
  <c r="AJ87" i="1"/>
  <c r="AJ75" i="1"/>
  <c r="AJ63" i="1"/>
  <c r="AJ51" i="1"/>
  <c r="AJ39" i="1"/>
  <c r="AJ27" i="1"/>
  <c r="AJ15" i="1"/>
  <c r="AJ171" i="1"/>
  <c r="AJ159" i="1"/>
  <c r="AJ147" i="1"/>
  <c r="AJ134" i="1"/>
  <c r="AJ122" i="1"/>
  <c r="AJ110" i="1"/>
  <c r="AJ98" i="1"/>
  <c r="AJ86" i="1"/>
  <c r="AJ74" i="1"/>
  <c r="AJ62" i="1"/>
  <c r="AJ50" i="1"/>
  <c r="AJ38" i="1"/>
  <c r="AJ26" i="1"/>
  <c r="AJ14" i="1"/>
  <c r="AJ158" i="1"/>
  <c r="AJ146" i="1"/>
  <c r="AJ133" i="1"/>
  <c r="AJ121" i="1"/>
  <c r="AJ109" i="1"/>
  <c r="AJ97" i="1"/>
  <c r="AJ73" i="1"/>
  <c r="Q9" i="13" s="1"/>
  <c r="AJ61" i="1"/>
  <c r="AJ49" i="1"/>
  <c r="AJ37" i="1"/>
  <c r="AJ13" i="1"/>
  <c r="AJ169" i="1"/>
  <c r="AJ145" i="1"/>
  <c r="AJ132" i="1"/>
  <c r="AJ108" i="1"/>
  <c r="AJ84" i="1"/>
  <c r="AJ60" i="1"/>
  <c r="AJ36" i="1"/>
  <c r="AJ12" i="1"/>
  <c r="AJ168" i="1"/>
  <c r="AJ144" i="1"/>
  <c r="AJ119" i="1"/>
  <c r="AJ95" i="1"/>
  <c r="AJ71" i="1"/>
  <c r="AJ59" i="1"/>
  <c r="AJ35" i="1"/>
  <c r="AJ11" i="1"/>
  <c r="AJ167" i="1"/>
  <c r="AJ142" i="1"/>
  <c r="AJ170" i="1"/>
  <c r="AJ85" i="1"/>
  <c r="AJ25" i="1"/>
  <c r="AJ157" i="1"/>
  <c r="AJ120" i="1"/>
  <c r="AJ96" i="1"/>
  <c r="AJ72" i="1"/>
  <c r="AJ48" i="1"/>
  <c r="AJ24" i="1"/>
  <c r="AJ156" i="1"/>
  <c r="AJ131" i="1"/>
  <c r="AJ107" i="1"/>
  <c r="AJ83" i="1"/>
  <c r="AJ47" i="1"/>
  <c r="AJ23" i="1"/>
  <c r="AJ155" i="1"/>
  <c r="AJ130" i="1"/>
  <c r="AJ42" i="1"/>
  <c r="AJ94" i="1"/>
  <c r="AJ164" i="1"/>
  <c r="AJ10" i="1"/>
  <c r="AJ43" i="1"/>
  <c r="AJ69" i="1"/>
  <c r="AJ102" i="1"/>
  <c r="AJ128" i="1"/>
  <c r="AJ165" i="1"/>
  <c r="AJ18" i="1"/>
  <c r="AJ44" i="1"/>
  <c r="AJ70" i="1"/>
  <c r="AJ103" i="1"/>
  <c r="AJ129" i="1"/>
  <c r="AJ166" i="1"/>
  <c r="AJ91" i="1"/>
  <c r="AJ153" i="1"/>
  <c r="AJ33" i="1"/>
  <c r="AJ34" i="1"/>
  <c r="AJ93" i="1"/>
  <c r="AJ9" i="1"/>
  <c r="AJ68" i="1"/>
  <c r="AJ127" i="1"/>
  <c r="AJ19" i="1"/>
  <c r="AJ45" i="1"/>
  <c r="AJ78" i="1"/>
  <c r="AJ104" i="1"/>
  <c r="AJ138" i="1"/>
  <c r="AJ175" i="1"/>
  <c r="AJ20" i="1"/>
  <c r="AJ46" i="1"/>
  <c r="AJ79" i="1"/>
  <c r="AJ105" i="1"/>
  <c r="AJ139" i="1"/>
  <c r="AJ176" i="1"/>
  <c r="AJ21" i="1"/>
  <c r="AJ54" i="1"/>
  <c r="AJ80" i="1"/>
  <c r="AJ106" i="1"/>
  <c r="AJ140" i="1"/>
  <c r="AJ177" i="1"/>
  <c r="AJ22" i="1"/>
  <c r="AJ55" i="1"/>
  <c r="AJ81" i="1"/>
  <c r="AJ114" i="1"/>
  <c r="AJ141" i="1"/>
  <c r="AJ178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F23" i="13"/>
  <c r="D28" i="13"/>
  <c r="E27" i="13"/>
  <c r="E26" i="13"/>
  <c r="E24" i="13"/>
  <c r="E23" i="13"/>
  <c r="E22" i="13"/>
  <c r="E21" i="13"/>
  <c r="AW143" i="1" l="1"/>
  <c r="AX143" i="1" s="1"/>
  <c r="AY143" i="1" s="1"/>
  <c r="AZ143" i="1" s="1"/>
  <c r="BA143" i="1" s="1"/>
  <c r="BB143" i="1" s="1"/>
  <c r="BC143" i="1" s="1"/>
  <c r="BD143" i="1" s="1"/>
  <c r="BE143" i="1" s="1"/>
  <c r="AS183" i="1"/>
  <c r="AT183" i="1" s="1"/>
  <c r="AV183" i="1"/>
  <c r="AW183" i="1" s="1"/>
  <c r="AX183" i="1" s="1"/>
  <c r="AY183" i="1" s="1"/>
  <c r="AZ183" i="1" s="1"/>
  <c r="BA183" i="1" s="1"/>
  <c r="BB183" i="1" s="1"/>
  <c r="BC183" i="1" s="1"/>
  <c r="BD183" i="1" s="1"/>
  <c r="BE183" i="1" s="1"/>
  <c r="BF183" i="1" s="1"/>
  <c r="BG183" i="1" s="1"/>
  <c r="AS184" i="1"/>
  <c r="AT184" i="1" s="1"/>
  <c r="AV184" i="1"/>
  <c r="AW184" i="1" s="1"/>
  <c r="AX184" i="1" s="1"/>
  <c r="AY184" i="1" s="1"/>
  <c r="AZ184" i="1" s="1"/>
  <c r="BA184" i="1" s="1"/>
  <c r="BB184" i="1" s="1"/>
  <c r="BC184" i="1" s="1"/>
  <c r="BD184" i="1" s="1"/>
  <c r="BE184" i="1" s="1"/>
  <c r="BF184" i="1" s="1"/>
  <c r="BG184" i="1" s="1"/>
  <c r="AS182" i="1"/>
  <c r="AT182" i="1" s="1"/>
  <c r="AV182" i="1"/>
  <c r="AW182" i="1" s="1"/>
  <c r="AX182" i="1" s="1"/>
  <c r="AY182" i="1" s="1"/>
  <c r="AZ182" i="1" s="1"/>
  <c r="BA182" i="1" s="1"/>
  <c r="BB182" i="1" s="1"/>
  <c r="BC182" i="1" s="1"/>
  <c r="BD182" i="1" s="1"/>
  <c r="BE182" i="1" s="1"/>
  <c r="BF182" i="1" s="1"/>
  <c r="BG182" i="1" s="1"/>
  <c r="AS181" i="1"/>
  <c r="AT181" i="1" s="1"/>
  <c r="AV181" i="1"/>
  <c r="AW181" i="1" s="1"/>
  <c r="AX181" i="1" s="1"/>
  <c r="AY181" i="1" s="1"/>
  <c r="AZ181" i="1" s="1"/>
  <c r="BA181" i="1" s="1"/>
  <c r="BB181" i="1" s="1"/>
  <c r="BC181" i="1" s="1"/>
  <c r="BD181" i="1" s="1"/>
  <c r="BE181" i="1" s="1"/>
  <c r="BF181" i="1" s="1"/>
  <c r="BG181" i="1" s="1"/>
  <c r="AS180" i="1"/>
  <c r="AT180" i="1" s="1"/>
  <c r="AV180" i="1"/>
  <c r="AW180" i="1" s="1"/>
  <c r="AX180" i="1" s="1"/>
  <c r="AY180" i="1" s="1"/>
  <c r="AZ180" i="1" s="1"/>
  <c r="BA180" i="1" s="1"/>
  <c r="BB180" i="1" s="1"/>
  <c r="BC180" i="1" s="1"/>
  <c r="BD180" i="1" s="1"/>
  <c r="BE180" i="1" s="1"/>
  <c r="BF180" i="1" s="1"/>
  <c r="BG180" i="1" s="1"/>
  <c r="AS179" i="1"/>
  <c r="AT179" i="1" s="1"/>
  <c r="AV179" i="1"/>
  <c r="AW179" i="1" s="1"/>
  <c r="AX179" i="1" s="1"/>
  <c r="AY179" i="1" s="1"/>
  <c r="AZ179" i="1" s="1"/>
  <c r="BA179" i="1" s="1"/>
  <c r="BB179" i="1" s="1"/>
  <c r="BC179" i="1" s="1"/>
  <c r="BD179" i="1" s="1"/>
  <c r="BE179" i="1" s="1"/>
  <c r="BF179" i="1" s="1"/>
  <c r="BG179" i="1" s="1"/>
  <c r="V10" i="13"/>
  <c r="W10" i="13"/>
  <c r="V9" i="13"/>
  <c r="W9" i="13"/>
  <c r="U7" i="13"/>
  <c r="U13" i="13"/>
  <c r="U11" i="13"/>
  <c r="U8" i="13"/>
  <c r="U10" i="13"/>
  <c r="U12" i="13"/>
  <c r="R13" i="13"/>
  <c r="T7" i="13"/>
  <c r="T13" i="13"/>
  <c r="S7" i="13"/>
  <c r="T11" i="13"/>
  <c r="T8" i="13"/>
  <c r="T10" i="13"/>
  <c r="S13" i="13"/>
  <c r="S8" i="13"/>
  <c r="S12" i="13"/>
  <c r="R11" i="13"/>
  <c r="S10" i="13"/>
  <c r="S11" i="13"/>
  <c r="R8" i="13"/>
  <c r="R12" i="13"/>
  <c r="R7" i="13"/>
  <c r="R10" i="13"/>
  <c r="T12" i="13"/>
  <c r="Q12" i="13"/>
  <c r="Q10" i="13"/>
  <c r="Q8" i="13"/>
  <c r="Q7" i="13"/>
  <c r="Q13" i="13"/>
  <c r="Q11" i="13"/>
  <c r="G23" i="13"/>
  <c r="R129" i="1"/>
  <c r="F21" i="13" s="1"/>
  <c r="H21" i="13" s="1"/>
  <c r="W12" i="4"/>
  <c r="AB178" i="1"/>
  <c r="AP178" i="1" s="1"/>
  <c r="AB177" i="1"/>
  <c r="AP177" i="1" s="1"/>
  <c r="AB176" i="1"/>
  <c r="AP176" i="1" s="1"/>
  <c r="AB175" i="1"/>
  <c r="AP175" i="1" s="1"/>
  <c r="AB174" i="1"/>
  <c r="AP174" i="1" s="1"/>
  <c r="AB173" i="1"/>
  <c r="AP173" i="1" s="1"/>
  <c r="AB172" i="1"/>
  <c r="AP172" i="1" s="1"/>
  <c r="AB171" i="1"/>
  <c r="AP171" i="1" s="1"/>
  <c r="AB170" i="1"/>
  <c r="AP170" i="1" s="1"/>
  <c r="AB169" i="1"/>
  <c r="AP169" i="1" s="1"/>
  <c r="AB168" i="1"/>
  <c r="AP168" i="1" s="1"/>
  <c r="AB167" i="1"/>
  <c r="AP167" i="1" s="1"/>
  <c r="AB7" i="1"/>
  <c r="AP7" i="1" s="1"/>
  <c r="N351" i="15"/>
  <c r="N350" i="15"/>
  <c r="N349" i="15"/>
  <c r="N348" i="15"/>
  <c r="N347" i="15"/>
  <c r="N346" i="15"/>
  <c r="N345" i="15"/>
  <c r="N344" i="15"/>
  <c r="N343" i="15"/>
  <c r="N342" i="15"/>
  <c r="N341" i="15"/>
  <c r="N340" i="15"/>
  <c r="N339" i="15"/>
  <c r="N338" i="15"/>
  <c r="N337" i="15"/>
  <c r="N336" i="15"/>
  <c r="N335" i="15"/>
  <c r="N334" i="15"/>
  <c r="N333" i="15"/>
  <c r="N332" i="15"/>
  <c r="N331" i="15"/>
  <c r="N330" i="15"/>
  <c r="N329" i="15"/>
  <c r="N328" i="15"/>
  <c r="N327" i="15"/>
  <c r="N326" i="15"/>
  <c r="N325" i="15"/>
  <c r="N324" i="15"/>
  <c r="N323" i="15"/>
  <c r="N322" i="15"/>
  <c r="N321" i="15"/>
  <c r="N320" i="15"/>
  <c r="N319" i="15"/>
  <c r="N318" i="15"/>
  <c r="N317" i="15"/>
  <c r="N316" i="15"/>
  <c r="N315" i="15"/>
  <c r="N314" i="15"/>
  <c r="N313" i="15"/>
  <c r="N312" i="15"/>
  <c r="N311" i="15"/>
  <c r="N310" i="15"/>
  <c r="N309" i="15"/>
  <c r="N308" i="15"/>
  <c r="N307" i="15"/>
  <c r="N306" i="15"/>
  <c r="N305" i="15"/>
  <c r="N304" i="15"/>
  <c r="N303" i="15"/>
  <c r="N302" i="15"/>
  <c r="N301" i="15"/>
  <c r="N300" i="15"/>
  <c r="N299" i="15"/>
  <c r="N298" i="15"/>
  <c r="N297" i="15"/>
  <c r="N296" i="15"/>
  <c r="N295" i="15"/>
  <c r="N294" i="15"/>
  <c r="N293" i="15"/>
  <c r="N292" i="15"/>
  <c r="N291" i="15"/>
  <c r="N290" i="15"/>
  <c r="N289" i="15"/>
  <c r="N288" i="15"/>
  <c r="N287" i="15"/>
  <c r="N286" i="15"/>
  <c r="N285" i="15"/>
  <c r="N284" i="15"/>
  <c r="N283" i="15"/>
  <c r="N282" i="15"/>
  <c r="N281" i="15"/>
  <c r="N280" i="15"/>
  <c r="N279" i="15"/>
  <c r="N278" i="15"/>
  <c r="N277" i="15"/>
  <c r="N276" i="15"/>
  <c r="N275" i="15"/>
  <c r="N274" i="15"/>
  <c r="N273" i="15"/>
  <c r="N272" i="15"/>
  <c r="N271" i="15"/>
  <c r="N270" i="15"/>
  <c r="N269" i="15"/>
  <c r="N268" i="15"/>
  <c r="N267" i="15"/>
  <c r="N266" i="15"/>
  <c r="N265" i="15"/>
  <c r="N264" i="15"/>
  <c r="N263" i="15"/>
  <c r="N262" i="15"/>
  <c r="N261" i="15"/>
  <c r="N260" i="15"/>
  <c r="N259" i="15"/>
  <c r="N258" i="15"/>
  <c r="N257" i="15"/>
  <c r="N256" i="15"/>
  <c r="N255" i="15"/>
  <c r="N254" i="15"/>
  <c r="N253" i="15"/>
  <c r="N252" i="15"/>
  <c r="N251" i="15"/>
  <c r="N250" i="15"/>
  <c r="N249" i="15"/>
  <c r="N248" i="15"/>
  <c r="N247" i="15"/>
  <c r="N246" i="15"/>
  <c r="N245" i="15"/>
  <c r="N244" i="15"/>
  <c r="N243" i="15"/>
  <c r="N242" i="15"/>
  <c r="N241" i="15"/>
  <c r="N240" i="15"/>
  <c r="N239" i="15"/>
  <c r="N238" i="15"/>
  <c r="N237" i="15"/>
  <c r="N236" i="15"/>
  <c r="N235" i="15"/>
  <c r="N234" i="15"/>
  <c r="N233" i="15"/>
  <c r="N232" i="15"/>
  <c r="N231" i="15"/>
  <c r="N230" i="15"/>
  <c r="N229" i="15"/>
  <c r="N228" i="15"/>
  <c r="N227" i="15"/>
  <c r="N226" i="15"/>
  <c r="N225" i="15"/>
  <c r="N224" i="15"/>
  <c r="N223" i="15"/>
  <c r="N222" i="15"/>
  <c r="N221" i="15"/>
  <c r="N220" i="15"/>
  <c r="N219" i="15"/>
  <c r="N218" i="15"/>
  <c r="N217" i="15"/>
  <c r="N216" i="15"/>
  <c r="N215" i="15"/>
  <c r="N214" i="15"/>
  <c r="N213" i="15"/>
  <c r="N212" i="15"/>
  <c r="N211" i="15"/>
  <c r="N210" i="15"/>
  <c r="N209" i="15"/>
  <c r="N208" i="15"/>
  <c r="N207" i="15"/>
  <c r="N206" i="15"/>
  <c r="N205" i="15"/>
  <c r="N204" i="15"/>
  <c r="N203" i="15"/>
  <c r="N202" i="15"/>
  <c r="N201" i="15"/>
  <c r="N200" i="15"/>
  <c r="N199" i="15"/>
  <c r="N198" i="15"/>
  <c r="N197" i="15"/>
  <c r="N196" i="15"/>
  <c r="N195" i="15"/>
  <c r="N194" i="15"/>
  <c r="N193" i="15"/>
  <c r="N192" i="15"/>
  <c r="N191" i="15"/>
  <c r="N190" i="15"/>
  <c r="N189" i="15"/>
  <c r="N188" i="15"/>
  <c r="N187" i="15"/>
  <c r="N186" i="15"/>
  <c r="N185" i="15"/>
  <c r="N184" i="15"/>
  <c r="N183" i="15"/>
  <c r="N182" i="15"/>
  <c r="N181" i="15"/>
  <c r="N180" i="15"/>
  <c r="N179" i="15"/>
  <c r="N178" i="15"/>
  <c r="N177" i="15"/>
  <c r="N176" i="15"/>
  <c r="N175" i="15"/>
  <c r="N174" i="15"/>
  <c r="N173" i="15"/>
  <c r="N172" i="15"/>
  <c r="N171" i="15"/>
  <c r="N170" i="15"/>
  <c r="N169" i="15"/>
  <c r="N168" i="15"/>
  <c r="N167" i="15"/>
  <c r="N166" i="15"/>
  <c r="N165" i="15"/>
  <c r="N164" i="15"/>
  <c r="N163" i="15"/>
  <c r="N162" i="15"/>
  <c r="N161" i="15"/>
  <c r="N160" i="15"/>
  <c r="N159" i="15"/>
  <c r="N158" i="15"/>
  <c r="N157" i="15"/>
  <c r="N156" i="15"/>
  <c r="N155" i="15"/>
  <c r="N154" i="15"/>
  <c r="N153" i="15"/>
  <c r="N152" i="15"/>
  <c r="N151" i="15"/>
  <c r="N150" i="15"/>
  <c r="N149" i="15"/>
  <c r="N148" i="15"/>
  <c r="N147" i="15"/>
  <c r="N146" i="15"/>
  <c r="N145" i="15"/>
  <c r="N144" i="15"/>
  <c r="N143" i="15"/>
  <c r="N142" i="15"/>
  <c r="N141" i="15"/>
  <c r="N140" i="15"/>
  <c r="N139" i="15"/>
  <c r="N138" i="15"/>
  <c r="N137" i="15"/>
  <c r="N136" i="15"/>
  <c r="N135" i="15"/>
  <c r="N134" i="15"/>
  <c r="N133" i="15"/>
  <c r="N132" i="15"/>
  <c r="N131" i="15"/>
  <c r="N130" i="15"/>
  <c r="N129" i="15"/>
  <c r="N128" i="15"/>
  <c r="N127" i="15"/>
  <c r="N126" i="15"/>
  <c r="N125" i="15"/>
  <c r="N124" i="15"/>
  <c r="N123" i="15"/>
  <c r="N122" i="15"/>
  <c r="N121" i="15"/>
  <c r="N120" i="15"/>
  <c r="N119" i="15"/>
  <c r="N118" i="15"/>
  <c r="N117" i="15"/>
  <c r="N116" i="15"/>
  <c r="N115" i="15"/>
  <c r="N114" i="15"/>
  <c r="N113" i="15"/>
  <c r="N112" i="15"/>
  <c r="N111" i="15"/>
  <c r="N110" i="15"/>
  <c r="N109" i="15"/>
  <c r="N108" i="15"/>
  <c r="N107" i="15"/>
  <c r="N106" i="15"/>
  <c r="N105" i="15"/>
  <c r="N104" i="15"/>
  <c r="N103" i="15"/>
  <c r="N102" i="15"/>
  <c r="N101" i="15"/>
  <c r="N100" i="15"/>
  <c r="N99" i="15"/>
  <c r="N98" i="15"/>
  <c r="N97" i="15"/>
  <c r="N96" i="15"/>
  <c r="N95" i="15"/>
  <c r="N94" i="15"/>
  <c r="N93" i="15"/>
  <c r="N92" i="15"/>
  <c r="N91" i="15"/>
  <c r="N90" i="15"/>
  <c r="N89" i="15"/>
  <c r="N88" i="15"/>
  <c r="N87" i="15"/>
  <c r="N86" i="15"/>
  <c r="N85" i="15"/>
  <c r="N84" i="15"/>
  <c r="N83" i="15"/>
  <c r="N82" i="15"/>
  <c r="N81" i="15"/>
  <c r="N80" i="15"/>
  <c r="N79" i="15"/>
  <c r="N78" i="15"/>
  <c r="N77" i="15"/>
  <c r="N76" i="15"/>
  <c r="N75" i="15"/>
  <c r="N74" i="15"/>
  <c r="N73" i="15"/>
  <c r="N72" i="15"/>
  <c r="N71" i="15"/>
  <c r="N70" i="15"/>
  <c r="N69" i="15"/>
  <c r="N68" i="15"/>
  <c r="N67" i="15"/>
  <c r="N66" i="15"/>
  <c r="N65" i="15"/>
  <c r="N64" i="15"/>
  <c r="N63" i="15"/>
  <c r="N62" i="15"/>
  <c r="N61" i="15"/>
  <c r="N60" i="15"/>
  <c r="N59" i="15"/>
  <c r="N58" i="15"/>
  <c r="N57" i="15"/>
  <c r="N56" i="15"/>
  <c r="N55" i="15"/>
  <c r="N54" i="15"/>
  <c r="N53" i="15"/>
  <c r="N52" i="15"/>
  <c r="N51" i="15"/>
  <c r="N50" i="15"/>
  <c r="N49" i="15"/>
  <c r="N48" i="15"/>
  <c r="N47" i="15"/>
  <c r="N46" i="15"/>
  <c r="N45" i="15"/>
  <c r="N44" i="15"/>
  <c r="N43" i="15"/>
  <c r="N42" i="15"/>
  <c r="N41" i="15"/>
  <c r="N40" i="15"/>
  <c r="N39" i="15"/>
  <c r="N38" i="15"/>
  <c r="N37" i="15"/>
  <c r="N36" i="15"/>
  <c r="N35" i="15"/>
  <c r="N34" i="15"/>
  <c r="N33" i="15"/>
  <c r="N32" i="15"/>
  <c r="N31" i="15"/>
  <c r="N30" i="15"/>
  <c r="N29" i="15"/>
  <c r="N28" i="15"/>
  <c r="N27" i="15"/>
  <c r="N26" i="15"/>
  <c r="N25" i="15"/>
  <c r="N24" i="15"/>
  <c r="N23" i="15"/>
  <c r="N22" i="15"/>
  <c r="N21" i="15"/>
  <c r="N20" i="15"/>
  <c r="N19" i="15"/>
  <c r="N18" i="15"/>
  <c r="N17" i="15"/>
  <c r="N16" i="15"/>
  <c r="N15" i="15"/>
  <c r="N14" i="15"/>
  <c r="N13" i="15"/>
  <c r="N12" i="15"/>
  <c r="N11" i="15"/>
  <c r="N10" i="15"/>
  <c r="N9" i="15"/>
  <c r="N8" i="15"/>
  <c r="N7" i="15"/>
  <c r="N6" i="15"/>
  <c r="N5" i="15"/>
  <c r="N4" i="15"/>
  <c r="N3" i="15"/>
  <c r="AI178" i="1"/>
  <c r="AH178" i="1"/>
  <c r="AG178" i="1"/>
  <c r="AV178" i="1" s="1"/>
  <c r="AI177" i="1"/>
  <c r="AH177" i="1"/>
  <c r="AG177" i="1"/>
  <c r="AV177" i="1" s="1"/>
  <c r="AI176" i="1"/>
  <c r="AH176" i="1"/>
  <c r="AG176" i="1"/>
  <c r="AV176" i="1" s="1"/>
  <c r="AI175" i="1"/>
  <c r="AH175" i="1"/>
  <c r="AG175" i="1"/>
  <c r="AV175" i="1" s="1"/>
  <c r="AI174" i="1"/>
  <c r="AH174" i="1"/>
  <c r="AG174" i="1"/>
  <c r="AV174" i="1" s="1"/>
  <c r="AI173" i="1"/>
  <c r="AH173" i="1"/>
  <c r="AG173" i="1"/>
  <c r="AV173" i="1" s="1"/>
  <c r="AI172" i="1"/>
  <c r="AH172" i="1"/>
  <c r="AG172" i="1"/>
  <c r="AV172" i="1" s="1"/>
  <c r="AI171" i="1"/>
  <c r="AH171" i="1"/>
  <c r="AG171" i="1"/>
  <c r="AV171" i="1" s="1"/>
  <c r="AI170" i="1"/>
  <c r="AH170" i="1"/>
  <c r="AG170" i="1"/>
  <c r="AV170" i="1" s="1"/>
  <c r="AI169" i="1"/>
  <c r="AH169" i="1"/>
  <c r="AG169" i="1"/>
  <c r="AV169" i="1" s="1"/>
  <c r="AI168" i="1"/>
  <c r="AH168" i="1"/>
  <c r="AG168" i="1"/>
  <c r="AV168" i="1" s="1"/>
  <c r="AI167" i="1"/>
  <c r="AH167" i="1"/>
  <c r="AG167" i="1"/>
  <c r="AV167" i="1" s="1"/>
  <c r="AI166" i="1"/>
  <c r="AH166" i="1"/>
  <c r="AG166" i="1"/>
  <c r="AV166" i="1" s="1"/>
  <c r="AI165" i="1"/>
  <c r="AH165" i="1"/>
  <c r="AG165" i="1"/>
  <c r="AV165" i="1" s="1"/>
  <c r="AI164" i="1"/>
  <c r="AH164" i="1"/>
  <c r="AG164" i="1"/>
  <c r="AV164" i="1" s="1"/>
  <c r="AI163" i="1"/>
  <c r="AH163" i="1"/>
  <c r="AG163" i="1"/>
  <c r="AV163" i="1" s="1"/>
  <c r="AI162" i="1"/>
  <c r="AH162" i="1"/>
  <c r="AG162" i="1"/>
  <c r="AV162" i="1" s="1"/>
  <c r="AI161" i="1"/>
  <c r="AH161" i="1"/>
  <c r="AG161" i="1"/>
  <c r="AV161" i="1" s="1"/>
  <c r="AI160" i="1"/>
  <c r="AH160" i="1"/>
  <c r="AG160" i="1"/>
  <c r="AV160" i="1" s="1"/>
  <c r="AI159" i="1"/>
  <c r="AH159" i="1"/>
  <c r="AG159" i="1"/>
  <c r="AV159" i="1" s="1"/>
  <c r="AI158" i="1"/>
  <c r="AH158" i="1"/>
  <c r="AG158" i="1"/>
  <c r="AV158" i="1" s="1"/>
  <c r="AI157" i="1"/>
  <c r="AH157" i="1"/>
  <c r="AG157" i="1"/>
  <c r="AV157" i="1" s="1"/>
  <c r="AI156" i="1"/>
  <c r="AH156" i="1"/>
  <c r="AG156" i="1"/>
  <c r="AV156" i="1" s="1"/>
  <c r="AI155" i="1"/>
  <c r="AH155" i="1"/>
  <c r="AG155" i="1"/>
  <c r="AV155" i="1" s="1"/>
  <c r="AI154" i="1"/>
  <c r="AH154" i="1"/>
  <c r="AG154" i="1"/>
  <c r="AV154" i="1" s="1"/>
  <c r="AI153" i="1"/>
  <c r="AH153" i="1"/>
  <c r="AG153" i="1"/>
  <c r="AV153" i="1" s="1"/>
  <c r="AW153" i="1" s="1"/>
  <c r="AX153" i="1" s="1"/>
  <c r="AY153" i="1" s="1"/>
  <c r="AZ153" i="1" s="1"/>
  <c r="BA153" i="1" s="1"/>
  <c r="BB153" i="1" s="1"/>
  <c r="BC153" i="1" s="1"/>
  <c r="BD153" i="1" s="1"/>
  <c r="BE153" i="1" s="1"/>
  <c r="AI152" i="1"/>
  <c r="AH152" i="1"/>
  <c r="AG152" i="1"/>
  <c r="AV152" i="1" s="1"/>
  <c r="AI151" i="1"/>
  <c r="AH151" i="1"/>
  <c r="AG151" i="1"/>
  <c r="AV151" i="1" s="1"/>
  <c r="AI150" i="1"/>
  <c r="AH150" i="1"/>
  <c r="AG150" i="1"/>
  <c r="AV150" i="1" s="1"/>
  <c r="AI149" i="1"/>
  <c r="AH149" i="1"/>
  <c r="AG149" i="1"/>
  <c r="AV149" i="1" s="1"/>
  <c r="AI148" i="1"/>
  <c r="AH148" i="1"/>
  <c r="AG148" i="1"/>
  <c r="AV148" i="1" s="1"/>
  <c r="AI147" i="1"/>
  <c r="AH147" i="1"/>
  <c r="AG147" i="1"/>
  <c r="AV147" i="1" s="1"/>
  <c r="AI146" i="1"/>
  <c r="AH146" i="1"/>
  <c r="AG146" i="1"/>
  <c r="AV146" i="1" s="1"/>
  <c r="AI145" i="1"/>
  <c r="AH145" i="1"/>
  <c r="AG145" i="1"/>
  <c r="AV145" i="1" s="1"/>
  <c r="AI144" i="1"/>
  <c r="AH144" i="1"/>
  <c r="AG144" i="1"/>
  <c r="AV144" i="1" s="1"/>
  <c r="AI142" i="1"/>
  <c r="AH142" i="1"/>
  <c r="AG142" i="1"/>
  <c r="AV142" i="1" s="1"/>
  <c r="AI141" i="1"/>
  <c r="AH141" i="1"/>
  <c r="AG141" i="1"/>
  <c r="AV141" i="1" s="1"/>
  <c r="AI140" i="1"/>
  <c r="AH140" i="1"/>
  <c r="AG140" i="1"/>
  <c r="AV140" i="1" s="1"/>
  <c r="AI139" i="1"/>
  <c r="AH139" i="1"/>
  <c r="AG139" i="1"/>
  <c r="AV139" i="1" s="1"/>
  <c r="AI138" i="1"/>
  <c r="AH138" i="1"/>
  <c r="AG138" i="1"/>
  <c r="AV138" i="1" s="1"/>
  <c r="AI137" i="1"/>
  <c r="AH137" i="1"/>
  <c r="AG137" i="1"/>
  <c r="AV137" i="1" s="1"/>
  <c r="AI136" i="1"/>
  <c r="AH136" i="1"/>
  <c r="AG136" i="1"/>
  <c r="AV136" i="1" s="1"/>
  <c r="AI135" i="1"/>
  <c r="AH135" i="1"/>
  <c r="AG135" i="1"/>
  <c r="AV135" i="1" s="1"/>
  <c r="AI134" i="1"/>
  <c r="AH134" i="1"/>
  <c r="AG134" i="1"/>
  <c r="AV134" i="1" s="1"/>
  <c r="AI133" i="1"/>
  <c r="AH133" i="1"/>
  <c r="AG133" i="1"/>
  <c r="AV133" i="1" s="1"/>
  <c r="AI132" i="1"/>
  <c r="AH132" i="1"/>
  <c r="AG132" i="1"/>
  <c r="AV132" i="1" s="1"/>
  <c r="AI131" i="1"/>
  <c r="AH131" i="1"/>
  <c r="AG131" i="1"/>
  <c r="AV131" i="1" s="1"/>
  <c r="AI130" i="1"/>
  <c r="AH130" i="1"/>
  <c r="AG130" i="1"/>
  <c r="AV130" i="1" s="1"/>
  <c r="AI129" i="1"/>
  <c r="AH129" i="1"/>
  <c r="AG129" i="1"/>
  <c r="AV129" i="1" s="1"/>
  <c r="AI128" i="1"/>
  <c r="AH128" i="1"/>
  <c r="AG128" i="1"/>
  <c r="AV128" i="1" s="1"/>
  <c r="AI127" i="1"/>
  <c r="AH127" i="1"/>
  <c r="AG127" i="1"/>
  <c r="AV127" i="1" s="1"/>
  <c r="AI126" i="1"/>
  <c r="AH126" i="1"/>
  <c r="AG126" i="1"/>
  <c r="AV126" i="1" s="1"/>
  <c r="AI125" i="1"/>
  <c r="AH125" i="1"/>
  <c r="AG125" i="1"/>
  <c r="AV125" i="1" s="1"/>
  <c r="AI124" i="1"/>
  <c r="AH124" i="1"/>
  <c r="AG124" i="1"/>
  <c r="AV124" i="1" s="1"/>
  <c r="AI123" i="1"/>
  <c r="AH123" i="1"/>
  <c r="AG123" i="1"/>
  <c r="AV123" i="1" s="1"/>
  <c r="AI122" i="1"/>
  <c r="AH122" i="1"/>
  <c r="AG122" i="1"/>
  <c r="AV122" i="1" s="1"/>
  <c r="AI121" i="1"/>
  <c r="AH121" i="1"/>
  <c r="AG121" i="1"/>
  <c r="AV121" i="1" s="1"/>
  <c r="AI120" i="1"/>
  <c r="AH120" i="1"/>
  <c r="AG120" i="1"/>
  <c r="AV120" i="1" s="1"/>
  <c r="AI119" i="1"/>
  <c r="AH119" i="1"/>
  <c r="AG119" i="1"/>
  <c r="AV119" i="1" s="1"/>
  <c r="AI118" i="1"/>
  <c r="AH118" i="1"/>
  <c r="AG118" i="1"/>
  <c r="AV118" i="1" s="1"/>
  <c r="AI117" i="1"/>
  <c r="AH117" i="1"/>
  <c r="AG117" i="1"/>
  <c r="AV117" i="1" s="1"/>
  <c r="AI116" i="1"/>
  <c r="AH116" i="1"/>
  <c r="AG116" i="1"/>
  <c r="AV116" i="1" s="1"/>
  <c r="AI115" i="1"/>
  <c r="AH115" i="1"/>
  <c r="AG115" i="1"/>
  <c r="AV115" i="1" s="1"/>
  <c r="AI114" i="1"/>
  <c r="AH114" i="1"/>
  <c r="AG114" i="1"/>
  <c r="AV114" i="1" s="1"/>
  <c r="AI113" i="1"/>
  <c r="AH113" i="1"/>
  <c r="AG113" i="1"/>
  <c r="AV113" i="1" s="1"/>
  <c r="AI112" i="1"/>
  <c r="AH112" i="1"/>
  <c r="AG112" i="1"/>
  <c r="AV112" i="1" s="1"/>
  <c r="AI111" i="1"/>
  <c r="AH111" i="1"/>
  <c r="AG111" i="1"/>
  <c r="AV111" i="1" s="1"/>
  <c r="AI110" i="1"/>
  <c r="AH110" i="1"/>
  <c r="AG110" i="1"/>
  <c r="AV110" i="1" s="1"/>
  <c r="AI109" i="1"/>
  <c r="AH109" i="1"/>
  <c r="AG109" i="1"/>
  <c r="AV109" i="1" s="1"/>
  <c r="AI108" i="1"/>
  <c r="AH108" i="1"/>
  <c r="AG108" i="1"/>
  <c r="AV108" i="1" s="1"/>
  <c r="AI107" i="1"/>
  <c r="AH107" i="1"/>
  <c r="AG107" i="1"/>
  <c r="AV107" i="1" s="1"/>
  <c r="AI106" i="1"/>
  <c r="AH106" i="1"/>
  <c r="AG106" i="1"/>
  <c r="AV106" i="1" s="1"/>
  <c r="AI105" i="1"/>
  <c r="AH105" i="1"/>
  <c r="AG105" i="1"/>
  <c r="AV105" i="1" s="1"/>
  <c r="AI104" i="1"/>
  <c r="AH104" i="1"/>
  <c r="AG104" i="1"/>
  <c r="AV104" i="1" s="1"/>
  <c r="AI103" i="1"/>
  <c r="AH103" i="1"/>
  <c r="AG103" i="1"/>
  <c r="AV103" i="1" s="1"/>
  <c r="AI102" i="1"/>
  <c r="AH102" i="1"/>
  <c r="AG102" i="1"/>
  <c r="AV102" i="1" s="1"/>
  <c r="AI101" i="1"/>
  <c r="AH101" i="1"/>
  <c r="AG101" i="1"/>
  <c r="AV101" i="1" s="1"/>
  <c r="AI100" i="1"/>
  <c r="AH100" i="1"/>
  <c r="AG100" i="1"/>
  <c r="AV100" i="1" s="1"/>
  <c r="AI99" i="1"/>
  <c r="AH99" i="1"/>
  <c r="AG99" i="1"/>
  <c r="AV99" i="1" s="1"/>
  <c r="AI98" i="1"/>
  <c r="AH98" i="1"/>
  <c r="AG98" i="1"/>
  <c r="AV98" i="1" s="1"/>
  <c r="AI97" i="1"/>
  <c r="AH97" i="1"/>
  <c r="AG97" i="1"/>
  <c r="AV97" i="1" s="1"/>
  <c r="AI96" i="1"/>
  <c r="AH96" i="1"/>
  <c r="AG96" i="1"/>
  <c r="AV96" i="1" s="1"/>
  <c r="AI95" i="1"/>
  <c r="AH95" i="1"/>
  <c r="AG95" i="1"/>
  <c r="AV95" i="1" s="1"/>
  <c r="AI94" i="1"/>
  <c r="AH94" i="1"/>
  <c r="AG94" i="1"/>
  <c r="AV94" i="1" s="1"/>
  <c r="AI93" i="1"/>
  <c r="AH93" i="1"/>
  <c r="AG93" i="1"/>
  <c r="AV93" i="1" s="1"/>
  <c r="AI92" i="1"/>
  <c r="AH92" i="1"/>
  <c r="AG92" i="1"/>
  <c r="AV92" i="1" s="1"/>
  <c r="AI91" i="1"/>
  <c r="AH91" i="1"/>
  <c r="AG91" i="1"/>
  <c r="AV91" i="1" s="1"/>
  <c r="AI90" i="1"/>
  <c r="AH90" i="1"/>
  <c r="AG90" i="1"/>
  <c r="AV90" i="1" s="1"/>
  <c r="AI89" i="1"/>
  <c r="AH89" i="1"/>
  <c r="AG89" i="1"/>
  <c r="AV89" i="1" s="1"/>
  <c r="AI88" i="1"/>
  <c r="AH88" i="1"/>
  <c r="AG88" i="1"/>
  <c r="AV88" i="1" s="1"/>
  <c r="AI87" i="1"/>
  <c r="AH87" i="1"/>
  <c r="AG87" i="1"/>
  <c r="AV87" i="1" s="1"/>
  <c r="AI86" i="1"/>
  <c r="AH86" i="1"/>
  <c r="AG86" i="1"/>
  <c r="AV86" i="1" s="1"/>
  <c r="AI85" i="1"/>
  <c r="AH85" i="1"/>
  <c r="AG85" i="1"/>
  <c r="AV85" i="1" s="1"/>
  <c r="AI84" i="1"/>
  <c r="AH84" i="1"/>
  <c r="AG84" i="1"/>
  <c r="AV84" i="1" s="1"/>
  <c r="AI83" i="1"/>
  <c r="AH83" i="1"/>
  <c r="AG83" i="1"/>
  <c r="AV83" i="1" s="1"/>
  <c r="AI82" i="1"/>
  <c r="AH82" i="1"/>
  <c r="AG82" i="1"/>
  <c r="AV82" i="1" s="1"/>
  <c r="AI81" i="1"/>
  <c r="AH81" i="1"/>
  <c r="AG81" i="1"/>
  <c r="AV81" i="1" s="1"/>
  <c r="AI80" i="1"/>
  <c r="AH80" i="1"/>
  <c r="AG80" i="1"/>
  <c r="AV80" i="1" s="1"/>
  <c r="AI79" i="1"/>
  <c r="AH79" i="1"/>
  <c r="AG79" i="1"/>
  <c r="AV79" i="1" s="1"/>
  <c r="AI78" i="1"/>
  <c r="AH78" i="1"/>
  <c r="AG78" i="1"/>
  <c r="AV78" i="1" s="1"/>
  <c r="AI77" i="1"/>
  <c r="AH77" i="1"/>
  <c r="AG77" i="1"/>
  <c r="AV77" i="1" s="1"/>
  <c r="AI76" i="1"/>
  <c r="AH76" i="1"/>
  <c r="AG76" i="1"/>
  <c r="AV76" i="1" s="1"/>
  <c r="AI75" i="1"/>
  <c r="AH75" i="1"/>
  <c r="AG75" i="1"/>
  <c r="AV75" i="1" s="1"/>
  <c r="AI74" i="1"/>
  <c r="AH74" i="1"/>
  <c r="AG74" i="1"/>
  <c r="AV74" i="1" s="1"/>
  <c r="AI73" i="1"/>
  <c r="P9" i="13" s="1"/>
  <c r="AH73" i="1"/>
  <c r="O9" i="13" s="1"/>
  <c r="AG73" i="1"/>
  <c r="AV73" i="1" s="1"/>
  <c r="AI72" i="1"/>
  <c r="AH72" i="1"/>
  <c r="AG72" i="1"/>
  <c r="AV72" i="1" s="1"/>
  <c r="AI71" i="1"/>
  <c r="AH71" i="1"/>
  <c r="AG71" i="1"/>
  <c r="AV71" i="1" s="1"/>
  <c r="AI70" i="1"/>
  <c r="AH70" i="1"/>
  <c r="AG70" i="1"/>
  <c r="AV70" i="1" s="1"/>
  <c r="AI69" i="1"/>
  <c r="AH69" i="1"/>
  <c r="AG69" i="1"/>
  <c r="AV69" i="1" s="1"/>
  <c r="AI68" i="1"/>
  <c r="AH68" i="1"/>
  <c r="AG68" i="1"/>
  <c r="AV68" i="1" s="1"/>
  <c r="AI67" i="1"/>
  <c r="AH67" i="1"/>
  <c r="AG67" i="1"/>
  <c r="AV67" i="1" s="1"/>
  <c r="AI66" i="1"/>
  <c r="AH66" i="1"/>
  <c r="AG66" i="1"/>
  <c r="AV66" i="1" s="1"/>
  <c r="AI65" i="1"/>
  <c r="AH65" i="1"/>
  <c r="AG65" i="1"/>
  <c r="AV65" i="1" s="1"/>
  <c r="AI64" i="1"/>
  <c r="AH64" i="1"/>
  <c r="AG64" i="1"/>
  <c r="AV64" i="1" s="1"/>
  <c r="AI63" i="1"/>
  <c r="AH63" i="1"/>
  <c r="AG63" i="1"/>
  <c r="AV63" i="1" s="1"/>
  <c r="AI62" i="1"/>
  <c r="AH62" i="1"/>
  <c r="AG62" i="1"/>
  <c r="AV62" i="1" s="1"/>
  <c r="AI61" i="1"/>
  <c r="AH61" i="1"/>
  <c r="AG61" i="1"/>
  <c r="AV61" i="1" s="1"/>
  <c r="AI60" i="1"/>
  <c r="AH60" i="1"/>
  <c r="AG60" i="1"/>
  <c r="AV60" i="1" s="1"/>
  <c r="R60" i="1"/>
  <c r="AI59" i="1"/>
  <c r="AH59" i="1"/>
  <c r="AG59" i="1"/>
  <c r="AV59" i="1" s="1"/>
  <c r="R59" i="1"/>
  <c r="AI58" i="1"/>
  <c r="AH58" i="1"/>
  <c r="AG58" i="1"/>
  <c r="AV58" i="1" s="1"/>
  <c r="R58" i="1"/>
  <c r="AI57" i="1"/>
  <c r="AH57" i="1"/>
  <c r="AG57" i="1"/>
  <c r="AV57" i="1" s="1"/>
  <c r="R57" i="1"/>
  <c r="AI56" i="1"/>
  <c r="AH56" i="1"/>
  <c r="AG56" i="1"/>
  <c r="AV56" i="1" s="1"/>
  <c r="R56" i="1"/>
  <c r="AI55" i="1"/>
  <c r="AH55" i="1"/>
  <c r="AG55" i="1"/>
  <c r="AV55" i="1" s="1"/>
  <c r="R55" i="1"/>
  <c r="AI54" i="1"/>
  <c r="AH54" i="1"/>
  <c r="AG54" i="1"/>
  <c r="AV54" i="1" s="1"/>
  <c r="R54" i="1"/>
  <c r="AI53" i="1"/>
  <c r="AH53" i="1"/>
  <c r="AG53" i="1"/>
  <c r="AV53" i="1" s="1"/>
  <c r="R53" i="1"/>
  <c r="AI52" i="1"/>
  <c r="AH52" i="1"/>
  <c r="AG52" i="1"/>
  <c r="AV52" i="1" s="1"/>
  <c r="R52" i="1"/>
  <c r="AI51" i="1"/>
  <c r="AH51" i="1"/>
  <c r="AG51" i="1"/>
  <c r="AV51" i="1" s="1"/>
  <c r="R51" i="1"/>
  <c r="AI50" i="1"/>
  <c r="AH50" i="1"/>
  <c r="AG50" i="1"/>
  <c r="AV50" i="1" s="1"/>
  <c r="R50" i="1"/>
  <c r="AI49" i="1"/>
  <c r="AH49" i="1"/>
  <c r="AG49" i="1"/>
  <c r="AV49" i="1" s="1"/>
  <c r="R49" i="1"/>
  <c r="AI48" i="1"/>
  <c r="AH48" i="1"/>
  <c r="AG48" i="1"/>
  <c r="AV48" i="1" s="1"/>
  <c r="R48" i="1"/>
  <c r="AI47" i="1"/>
  <c r="AH47" i="1"/>
  <c r="AG47" i="1"/>
  <c r="AV47" i="1" s="1"/>
  <c r="R47" i="1"/>
  <c r="AI46" i="1"/>
  <c r="AH46" i="1"/>
  <c r="AG46" i="1"/>
  <c r="AV46" i="1" s="1"/>
  <c r="R46" i="1"/>
  <c r="AI45" i="1"/>
  <c r="AH45" i="1"/>
  <c r="AG45" i="1"/>
  <c r="AV45" i="1" s="1"/>
  <c r="R45" i="1"/>
  <c r="AI44" i="1"/>
  <c r="AH44" i="1"/>
  <c r="AG44" i="1"/>
  <c r="AV44" i="1" s="1"/>
  <c r="R44" i="1"/>
  <c r="AI43" i="1"/>
  <c r="AH43" i="1"/>
  <c r="AG43" i="1"/>
  <c r="AV43" i="1" s="1"/>
  <c r="R43" i="1"/>
  <c r="AI42" i="1"/>
  <c r="AH42" i="1"/>
  <c r="AG42" i="1"/>
  <c r="AV42" i="1" s="1"/>
  <c r="R42" i="1"/>
  <c r="AI41" i="1"/>
  <c r="AH41" i="1"/>
  <c r="AG41" i="1"/>
  <c r="AV41" i="1" s="1"/>
  <c r="R41" i="1"/>
  <c r="AI40" i="1"/>
  <c r="AH40" i="1"/>
  <c r="AG40" i="1"/>
  <c r="AV40" i="1" s="1"/>
  <c r="R40" i="1"/>
  <c r="AI39" i="1"/>
  <c r="AH39" i="1"/>
  <c r="AG39" i="1"/>
  <c r="AV39" i="1" s="1"/>
  <c r="R39" i="1"/>
  <c r="AI38" i="1"/>
  <c r="AH38" i="1"/>
  <c r="AG38" i="1"/>
  <c r="AV38" i="1" s="1"/>
  <c r="R38" i="1"/>
  <c r="AI37" i="1"/>
  <c r="AH37" i="1"/>
  <c r="AG37" i="1"/>
  <c r="AV37" i="1" s="1"/>
  <c r="R37" i="1"/>
  <c r="AI36" i="1"/>
  <c r="AH36" i="1"/>
  <c r="AG36" i="1"/>
  <c r="AV36" i="1" s="1"/>
  <c r="R36" i="1"/>
  <c r="AI35" i="1"/>
  <c r="AH35" i="1"/>
  <c r="AG35" i="1"/>
  <c r="AV35" i="1" s="1"/>
  <c r="R35" i="1"/>
  <c r="AI34" i="1"/>
  <c r="AH34" i="1"/>
  <c r="AG34" i="1"/>
  <c r="AV34" i="1" s="1"/>
  <c r="R34" i="1"/>
  <c r="AI33" i="1"/>
  <c r="AH33" i="1"/>
  <c r="AG33" i="1"/>
  <c r="AV33" i="1" s="1"/>
  <c r="R33" i="1"/>
  <c r="AI32" i="1"/>
  <c r="AH32" i="1"/>
  <c r="AG32" i="1"/>
  <c r="AV32" i="1" s="1"/>
  <c r="R32" i="1"/>
  <c r="AI31" i="1"/>
  <c r="AH31" i="1"/>
  <c r="AG31" i="1"/>
  <c r="AV31" i="1" s="1"/>
  <c r="R31" i="1"/>
  <c r="AI30" i="1"/>
  <c r="AH30" i="1"/>
  <c r="AG30" i="1"/>
  <c r="AV30" i="1" s="1"/>
  <c r="R30" i="1"/>
  <c r="AI29" i="1"/>
  <c r="AH29" i="1"/>
  <c r="AG29" i="1"/>
  <c r="AV29" i="1" s="1"/>
  <c r="R29" i="1"/>
  <c r="AI28" i="1"/>
  <c r="AH28" i="1"/>
  <c r="AG28" i="1"/>
  <c r="AV28" i="1" s="1"/>
  <c r="R28" i="1"/>
  <c r="AI27" i="1"/>
  <c r="AH27" i="1"/>
  <c r="AG27" i="1"/>
  <c r="AV27" i="1" s="1"/>
  <c r="R27" i="1"/>
  <c r="AI26" i="1"/>
  <c r="AH26" i="1"/>
  <c r="AG26" i="1"/>
  <c r="AV26" i="1" s="1"/>
  <c r="R26" i="1"/>
  <c r="AI25" i="1"/>
  <c r="AH25" i="1"/>
  <c r="AG25" i="1"/>
  <c r="AV25" i="1" s="1"/>
  <c r="R25" i="1"/>
  <c r="AI24" i="1"/>
  <c r="AH24" i="1"/>
  <c r="AG24" i="1"/>
  <c r="AV24" i="1" s="1"/>
  <c r="R24" i="1"/>
  <c r="AI23" i="1"/>
  <c r="AH23" i="1"/>
  <c r="AG23" i="1"/>
  <c r="AV23" i="1" s="1"/>
  <c r="R23" i="1"/>
  <c r="AI22" i="1"/>
  <c r="AH22" i="1"/>
  <c r="AG22" i="1"/>
  <c r="AV22" i="1" s="1"/>
  <c r="R22" i="1"/>
  <c r="AI21" i="1"/>
  <c r="AH21" i="1"/>
  <c r="AG21" i="1"/>
  <c r="AV21" i="1" s="1"/>
  <c r="AI20" i="1"/>
  <c r="AH20" i="1"/>
  <c r="AG20" i="1"/>
  <c r="AV20" i="1" s="1"/>
  <c r="AI19" i="1"/>
  <c r="AH19" i="1"/>
  <c r="AG19" i="1"/>
  <c r="AV19" i="1" s="1"/>
  <c r="AI18" i="1"/>
  <c r="AH18" i="1"/>
  <c r="AG18" i="1"/>
  <c r="AV18" i="1" s="1"/>
  <c r="AI17" i="1"/>
  <c r="AH17" i="1"/>
  <c r="AG17" i="1"/>
  <c r="AV17" i="1" s="1"/>
  <c r="AI16" i="1"/>
  <c r="AH16" i="1"/>
  <c r="AG16" i="1"/>
  <c r="AV16" i="1" s="1"/>
  <c r="AI15" i="1"/>
  <c r="AH15" i="1"/>
  <c r="AG15" i="1"/>
  <c r="AV15" i="1" s="1"/>
  <c r="AI14" i="1"/>
  <c r="AH14" i="1"/>
  <c r="AG14" i="1"/>
  <c r="AV14" i="1" s="1"/>
  <c r="AW37" i="1" l="1"/>
  <c r="AX37" i="1" s="1"/>
  <c r="AY37" i="1" s="1"/>
  <c r="AZ37" i="1" s="1"/>
  <c r="BA37" i="1" s="1"/>
  <c r="BB37" i="1" s="1"/>
  <c r="BC37" i="1" s="1"/>
  <c r="BD37" i="1" s="1"/>
  <c r="BE37" i="1" s="1"/>
  <c r="AW69" i="1"/>
  <c r="AX69" i="1" s="1"/>
  <c r="AY69" i="1" s="1"/>
  <c r="AZ69" i="1" s="1"/>
  <c r="BA69" i="1" s="1"/>
  <c r="BB69" i="1" s="1"/>
  <c r="BC69" i="1" s="1"/>
  <c r="BD69" i="1" s="1"/>
  <c r="BE69" i="1" s="1"/>
  <c r="AW82" i="1"/>
  <c r="AX82" i="1" s="1"/>
  <c r="AY82" i="1" s="1"/>
  <c r="AZ82" i="1" s="1"/>
  <c r="BA82" i="1" s="1"/>
  <c r="BB82" i="1" s="1"/>
  <c r="BC82" i="1" s="1"/>
  <c r="BD82" i="1" s="1"/>
  <c r="BE82" i="1" s="1"/>
  <c r="AW29" i="1"/>
  <c r="AX29" i="1" s="1"/>
  <c r="AY29" i="1" s="1"/>
  <c r="AZ29" i="1" s="1"/>
  <c r="BA29" i="1" s="1"/>
  <c r="BB29" i="1" s="1"/>
  <c r="BC29" i="1" s="1"/>
  <c r="BD29" i="1" s="1"/>
  <c r="BE29" i="1" s="1"/>
  <c r="AW39" i="1"/>
  <c r="AX39" i="1" s="1"/>
  <c r="AY39" i="1" s="1"/>
  <c r="AZ39" i="1" s="1"/>
  <c r="BA39" i="1" s="1"/>
  <c r="BB39" i="1" s="1"/>
  <c r="BC39" i="1" s="1"/>
  <c r="BD39" i="1" s="1"/>
  <c r="BE39" i="1" s="1"/>
  <c r="AW174" i="1"/>
  <c r="AX174" i="1" s="1"/>
  <c r="AY174" i="1" s="1"/>
  <c r="AZ174" i="1" s="1"/>
  <c r="BA174" i="1" s="1"/>
  <c r="BB174" i="1" s="1"/>
  <c r="BC174" i="1" s="1"/>
  <c r="BD174" i="1" s="1"/>
  <c r="BE174" i="1" s="1"/>
  <c r="AW169" i="1"/>
  <c r="AX169" i="1" s="1"/>
  <c r="AY169" i="1" s="1"/>
  <c r="AZ169" i="1" s="1"/>
  <c r="BA169" i="1" s="1"/>
  <c r="BB169" i="1" s="1"/>
  <c r="BC169" i="1" s="1"/>
  <c r="BD169" i="1" s="1"/>
  <c r="AW40" i="1"/>
  <c r="AX40" i="1" s="1"/>
  <c r="AY40" i="1" s="1"/>
  <c r="AZ40" i="1" s="1"/>
  <c r="BA40" i="1" s="1"/>
  <c r="BB40" i="1" s="1"/>
  <c r="BC40" i="1" s="1"/>
  <c r="BD40" i="1" s="1"/>
  <c r="BE40" i="1" s="1"/>
  <c r="AW34" i="1"/>
  <c r="AX34" i="1" s="1"/>
  <c r="AY34" i="1" s="1"/>
  <c r="AZ34" i="1" s="1"/>
  <c r="BA34" i="1" s="1"/>
  <c r="BB34" i="1" s="1"/>
  <c r="BC34" i="1" s="1"/>
  <c r="BD34" i="1" s="1"/>
  <c r="BE34" i="1" s="1"/>
  <c r="AW90" i="1"/>
  <c r="AX90" i="1" s="1"/>
  <c r="AY90" i="1" s="1"/>
  <c r="AZ90" i="1" s="1"/>
  <c r="BA90" i="1" s="1"/>
  <c r="BB90" i="1" s="1"/>
  <c r="BC90" i="1" s="1"/>
  <c r="BD90" i="1" s="1"/>
  <c r="BE90" i="1" s="1"/>
  <c r="AW64" i="1"/>
  <c r="AX64" i="1" s="1"/>
  <c r="AY64" i="1" s="1"/>
  <c r="AZ64" i="1" s="1"/>
  <c r="BA64" i="1" s="1"/>
  <c r="BB64" i="1" s="1"/>
  <c r="BC64" i="1" s="1"/>
  <c r="BD64" i="1" s="1"/>
  <c r="BE64" i="1" s="1"/>
  <c r="AW33" i="1"/>
  <c r="AX33" i="1" s="1"/>
  <c r="AY33" i="1" s="1"/>
  <c r="AZ33" i="1" s="1"/>
  <c r="BA33" i="1" s="1"/>
  <c r="BB33" i="1" s="1"/>
  <c r="BC33" i="1" s="1"/>
  <c r="BD33" i="1" s="1"/>
  <c r="BE33" i="1" s="1"/>
  <c r="AW27" i="1"/>
  <c r="AX27" i="1" s="1"/>
  <c r="AY27" i="1" s="1"/>
  <c r="AZ27" i="1" s="1"/>
  <c r="BA27" i="1" s="1"/>
  <c r="BB27" i="1" s="1"/>
  <c r="BC27" i="1" s="1"/>
  <c r="BD27" i="1" s="1"/>
  <c r="BE27" i="1" s="1"/>
  <c r="AW83" i="1"/>
  <c r="AX83" i="1" s="1"/>
  <c r="AY83" i="1" s="1"/>
  <c r="AZ83" i="1" s="1"/>
  <c r="BA83" i="1" s="1"/>
  <c r="BB83" i="1" s="1"/>
  <c r="BC83" i="1" s="1"/>
  <c r="BD83" i="1" s="1"/>
  <c r="BE83" i="1" s="1"/>
  <c r="AW164" i="1"/>
  <c r="AX164" i="1" s="1"/>
  <c r="AY164" i="1" s="1"/>
  <c r="AZ164" i="1" s="1"/>
  <c r="BA164" i="1" s="1"/>
  <c r="BB164" i="1" s="1"/>
  <c r="BC164" i="1" s="1"/>
  <c r="BD164" i="1" s="1"/>
  <c r="BE164" i="1" s="1"/>
  <c r="AW109" i="1"/>
  <c r="AX109" i="1" s="1"/>
  <c r="AY109" i="1" s="1"/>
  <c r="AZ109" i="1" s="1"/>
  <c r="BA109" i="1" s="1"/>
  <c r="BB109" i="1" s="1"/>
  <c r="BC109" i="1" s="1"/>
  <c r="BD109" i="1" s="1"/>
  <c r="BE109" i="1" s="1"/>
  <c r="AW54" i="1"/>
  <c r="AX54" i="1" s="1"/>
  <c r="AY54" i="1" s="1"/>
  <c r="AZ54" i="1" s="1"/>
  <c r="BA54" i="1" s="1"/>
  <c r="BB54" i="1" s="1"/>
  <c r="BC54" i="1" s="1"/>
  <c r="BD54" i="1" s="1"/>
  <c r="BE54" i="1" s="1"/>
  <c r="AW52" i="1"/>
  <c r="AX52" i="1" s="1"/>
  <c r="AY52" i="1" s="1"/>
  <c r="AZ52" i="1" s="1"/>
  <c r="BA52" i="1" s="1"/>
  <c r="BB52" i="1" s="1"/>
  <c r="BC52" i="1" s="1"/>
  <c r="BD52" i="1" s="1"/>
  <c r="BE52" i="1" s="1"/>
  <c r="AW26" i="1"/>
  <c r="AX26" i="1" s="1"/>
  <c r="AY26" i="1" s="1"/>
  <c r="AZ26" i="1" s="1"/>
  <c r="BA26" i="1" s="1"/>
  <c r="BB26" i="1" s="1"/>
  <c r="BC26" i="1" s="1"/>
  <c r="BD26" i="1" s="1"/>
  <c r="BE26" i="1" s="1"/>
  <c r="AW89" i="1"/>
  <c r="AX89" i="1" s="1"/>
  <c r="AY89" i="1" s="1"/>
  <c r="AZ89" i="1" s="1"/>
  <c r="BA89" i="1" s="1"/>
  <c r="BB89" i="1" s="1"/>
  <c r="BC89" i="1" s="1"/>
  <c r="BD89" i="1" s="1"/>
  <c r="BE89" i="1" s="1"/>
  <c r="AW76" i="1"/>
  <c r="AX76" i="1" s="1"/>
  <c r="AY76" i="1" s="1"/>
  <c r="AZ76" i="1" s="1"/>
  <c r="BA76" i="1" s="1"/>
  <c r="BB76" i="1" s="1"/>
  <c r="BC76" i="1" s="1"/>
  <c r="BD76" i="1" s="1"/>
  <c r="BE76" i="1" s="1"/>
  <c r="AW31" i="1"/>
  <c r="AX31" i="1" s="1"/>
  <c r="AY31" i="1" s="1"/>
  <c r="AZ31" i="1" s="1"/>
  <c r="BA31" i="1" s="1"/>
  <c r="BB31" i="1" s="1"/>
  <c r="BC31" i="1" s="1"/>
  <c r="BD31" i="1" s="1"/>
  <c r="BE31" i="1" s="1"/>
  <c r="AW79" i="1"/>
  <c r="AX79" i="1" s="1"/>
  <c r="AY79" i="1" s="1"/>
  <c r="AZ79" i="1" s="1"/>
  <c r="BA79" i="1" s="1"/>
  <c r="BB79" i="1" s="1"/>
  <c r="BC79" i="1" s="1"/>
  <c r="BD79" i="1" s="1"/>
  <c r="BE79" i="1" s="1"/>
  <c r="AW110" i="1"/>
  <c r="AX110" i="1" s="1"/>
  <c r="AY110" i="1" s="1"/>
  <c r="AZ110" i="1" s="1"/>
  <c r="BA110" i="1" s="1"/>
  <c r="BB110" i="1" s="1"/>
  <c r="BC110" i="1" s="1"/>
  <c r="BD110" i="1" s="1"/>
  <c r="BE110" i="1" s="1"/>
  <c r="AW36" i="1"/>
  <c r="AX36" i="1" s="1"/>
  <c r="AY36" i="1" s="1"/>
  <c r="AZ36" i="1" s="1"/>
  <c r="BA36" i="1" s="1"/>
  <c r="BB36" i="1" s="1"/>
  <c r="BC36" i="1" s="1"/>
  <c r="BD36" i="1" s="1"/>
  <c r="BE36" i="1" s="1"/>
  <c r="AW25" i="1"/>
  <c r="AX25" i="1" s="1"/>
  <c r="AY25" i="1" s="1"/>
  <c r="AZ25" i="1" s="1"/>
  <c r="BA25" i="1" s="1"/>
  <c r="BB25" i="1" s="1"/>
  <c r="BC25" i="1" s="1"/>
  <c r="BD25" i="1" s="1"/>
  <c r="BE25" i="1" s="1"/>
  <c r="AW55" i="1"/>
  <c r="AX55" i="1" s="1"/>
  <c r="AY55" i="1" s="1"/>
  <c r="AZ55" i="1" s="1"/>
  <c r="BA55" i="1" s="1"/>
  <c r="BB55" i="1" s="1"/>
  <c r="BC55" i="1" s="1"/>
  <c r="BD55" i="1" s="1"/>
  <c r="BE55" i="1" s="1"/>
  <c r="AW41" i="1"/>
  <c r="AX41" i="1" s="1"/>
  <c r="AY41" i="1" s="1"/>
  <c r="AZ41" i="1" s="1"/>
  <c r="BA41" i="1" s="1"/>
  <c r="BB41" i="1" s="1"/>
  <c r="BC41" i="1" s="1"/>
  <c r="BD41" i="1" s="1"/>
  <c r="BE41" i="1" s="1"/>
  <c r="AW38" i="1"/>
  <c r="AX38" i="1" s="1"/>
  <c r="AY38" i="1" s="1"/>
  <c r="AZ38" i="1" s="1"/>
  <c r="BA38" i="1" s="1"/>
  <c r="BB38" i="1" s="1"/>
  <c r="BC38" i="1" s="1"/>
  <c r="BD38" i="1" s="1"/>
  <c r="BE38" i="1" s="1"/>
  <c r="AW35" i="1"/>
  <c r="AX35" i="1" s="1"/>
  <c r="AY35" i="1" s="1"/>
  <c r="AZ35" i="1" s="1"/>
  <c r="BA35" i="1" s="1"/>
  <c r="BB35" i="1" s="1"/>
  <c r="BC35" i="1" s="1"/>
  <c r="BD35" i="1" s="1"/>
  <c r="BE35" i="1" s="1"/>
  <c r="AW32" i="1"/>
  <c r="AX32" i="1" s="1"/>
  <c r="AY32" i="1" s="1"/>
  <c r="AZ32" i="1" s="1"/>
  <c r="BA32" i="1" s="1"/>
  <c r="BB32" i="1" s="1"/>
  <c r="BC32" i="1" s="1"/>
  <c r="BD32" i="1" s="1"/>
  <c r="BE32" i="1" s="1"/>
  <c r="AW17" i="1"/>
  <c r="AX17" i="1" s="1"/>
  <c r="AY17" i="1" s="1"/>
  <c r="AZ17" i="1" s="1"/>
  <c r="BA17" i="1" s="1"/>
  <c r="BB17" i="1" s="1"/>
  <c r="BC17" i="1" s="1"/>
  <c r="BD17" i="1" s="1"/>
  <c r="BE17" i="1" s="1"/>
  <c r="AW177" i="1"/>
  <c r="AX177" i="1" s="1"/>
  <c r="AY177" i="1" s="1"/>
  <c r="AZ177" i="1" s="1"/>
  <c r="BA177" i="1" s="1"/>
  <c r="BB177" i="1" s="1"/>
  <c r="BC177" i="1" s="1"/>
  <c r="BD177" i="1" s="1"/>
  <c r="AW173" i="1"/>
  <c r="AX173" i="1" s="1"/>
  <c r="AY173" i="1" s="1"/>
  <c r="AZ173" i="1" s="1"/>
  <c r="BA173" i="1" s="1"/>
  <c r="BB173" i="1" s="1"/>
  <c r="BC173" i="1" s="1"/>
  <c r="BD173" i="1" s="1"/>
  <c r="BE173" i="1" s="1"/>
  <c r="AW77" i="1"/>
  <c r="AX77" i="1" s="1"/>
  <c r="AY77" i="1" s="1"/>
  <c r="AZ77" i="1" s="1"/>
  <c r="BA77" i="1" s="1"/>
  <c r="BB77" i="1" s="1"/>
  <c r="BC77" i="1" s="1"/>
  <c r="BD77" i="1" s="1"/>
  <c r="BE77" i="1" s="1"/>
  <c r="AW16" i="1"/>
  <c r="AX16" i="1" s="1"/>
  <c r="AY16" i="1" s="1"/>
  <c r="AZ16" i="1" s="1"/>
  <c r="BA16" i="1" s="1"/>
  <c r="BB16" i="1" s="1"/>
  <c r="BC16" i="1" s="1"/>
  <c r="BD16" i="1" s="1"/>
  <c r="BE16" i="1" s="1"/>
  <c r="AW125" i="1"/>
  <c r="AX125" i="1" s="1"/>
  <c r="AY125" i="1" s="1"/>
  <c r="AZ125" i="1" s="1"/>
  <c r="BA125" i="1" s="1"/>
  <c r="BB125" i="1" s="1"/>
  <c r="BC125" i="1" s="1"/>
  <c r="BD125" i="1" s="1"/>
  <c r="BE125" i="1" s="1"/>
  <c r="AW119" i="1"/>
  <c r="AX119" i="1" s="1"/>
  <c r="AY119" i="1" s="1"/>
  <c r="AZ119" i="1" s="1"/>
  <c r="BA119" i="1" s="1"/>
  <c r="BB119" i="1" s="1"/>
  <c r="BC119" i="1" s="1"/>
  <c r="BD119" i="1" s="1"/>
  <c r="BE119" i="1" s="1"/>
  <c r="AW96" i="1"/>
  <c r="AX96" i="1" s="1"/>
  <c r="AY96" i="1" s="1"/>
  <c r="AZ96" i="1" s="1"/>
  <c r="BA96" i="1" s="1"/>
  <c r="BB96" i="1" s="1"/>
  <c r="BC96" i="1" s="1"/>
  <c r="BD96" i="1" s="1"/>
  <c r="BE96" i="1" s="1"/>
  <c r="AW88" i="1"/>
  <c r="AX88" i="1" s="1"/>
  <c r="AY88" i="1" s="1"/>
  <c r="AZ88" i="1" s="1"/>
  <c r="BA88" i="1" s="1"/>
  <c r="BB88" i="1" s="1"/>
  <c r="BC88" i="1" s="1"/>
  <c r="BD88" i="1" s="1"/>
  <c r="BE88" i="1" s="1"/>
  <c r="AW78" i="1"/>
  <c r="AX78" i="1" s="1"/>
  <c r="AY78" i="1" s="1"/>
  <c r="AZ78" i="1" s="1"/>
  <c r="BA78" i="1" s="1"/>
  <c r="BB78" i="1" s="1"/>
  <c r="BC78" i="1" s="1"/>
  <c r="BD78" i="1" s="1"/>
  <c r="BE78" i="1" s="1"/>
  <c r="AW51" i="1"/>
  <c r="AX51" i="1" s="1"/>
  <c r="AY51" i="1" s="1"/>
  <c r="AZ51" i="1" s="1"/>
  <c r="BA51" i="1" s="1"/>
  <c r="BB51" i="1" s="1"/>
  <c r="BC51" i="1" s="1"/>
  <c r="BD51" i="1" s="1"/>
  <c r="BE51" i="1" s="1"/>
  <c r="AW84" i="1"/>
  <c r="AX84" i="1" s="1"/>
  <c r="AY84" i="1" s="1"/>
  <c r="AZ84" i="1" s="1"/>
  <c r="BA84" i="1" s="1"/>
  <c r="BB84" i="1" s="1"/>
  <c r="BC84" i="1" s="1"/>
  <c r="BD84" i="1" s="1"/>
  <c r="BE84" i="1" s="1"/>
  <c r="AW81" i="1"/>
  <c r="AX81" i="1" s="1"/>
  <c r="AY81" i="1" s="1"/>
  <c r="AZ81" i="1" s="1"/>
  <c r="BA81" i="1" s="1"/>
  <c r="BB81" i="1" s="1"/>
  <c r="BC81" i="1" s="1"/>
  <c r="BD81" i="1" s="1"/>
  <c r="BE81" i="1" s="1"/>
  <c r="AW104" i="1"/>
  <c r="AX104" i="1" s="1"/>
  <c r="AY104" i="1" s="1"/>
  <c r="AZ104" i="1" s="1"/>
  <c r="BA104" i="1" s="1"/>
  <c r="BB104" i="1" s="1"/>
  <c r="BC104" i="1" s="1"/>
  <c r="BD104" i="1" s="1"/>
  <c r="BE104" i="1" s="1"/>
  <c r="AW98" i="1"/>
  <c r="AX98" i="1" s="1"/>
  <c r="AY98" i="1" s="1"/>
  <c r="AZ98" i="1" s="1"/>
  <c r="BA98" i="1" s="1"/>
  <c r="BB98" i="1" s="1"/>
  <c r="BC98" i="1" s="1"/>
  <c r="BD98" i="1" s="1"/>
  <c r="BE98" i="1" s="1"/>
  <c r="AW92" i="1"/>
  <c r="AX92" i="1" s="1"/>
  <c r="AY92" i="1" s="1"/>
  <c r="AZ92" i="1" s="1"/>
  <c r="BA92" i="1" s="1"/>
  <c r="BB92" i="1" s="1"/>
  <c r="BC92" i="1" s="1"/>
  <c r="BD92" i="1" s="1"/>
  <c r="BE92" i="1" s="1"/>
  <c r="AW44" i="1"/>
  <c r="AX44" i="1" s="1"/>
  <c r="AY44" i="1" s="1"/>
  <c r="AZ44" i="1" s="1"/>
  <c r="BA44" i="1" s="1"/>
  <c r="BB44" i="1" s="1"/>
  <c r="BC44" i="1" s="1"/>
  <c r="BD44" i="1" s="1"/>
  <c r="BE44" i="1" s="1"/>
  <c r="AW140" i="1"/>
  <c r="AX140" i="1" s="1"/>
  <c r="AY140" i="1" s="1"/>
  <c r="AZ140" i="1" s="1"/>
  <c r="BA140" i="1" s="1"/>
  <c r="BB140" i="1" s="1"/>
  <c r="BC140" i="1" s="1"/>
  <c r="BD140" i="1" s="1"/>
  <c r="BE140" i="1" s="1"/>
  <c r="AW116" i="1"/>
  <c r="AX116" i="1" s="1"/>
  <c r="AY116" i="1" s="1"/>
  <c r="AZ116" i="1" s="1"/>
  <c r="BA116" i="1" s="1"/>
  <c r="BB116" i="1" s="1"/>
  <c r="BC116" i="1" s="1"/>
  <c r="BD116" i="1" s="1"/>
  <c r="BE116" i="1" s="1"/>
  <c r="AW114" i="1"/>
  <c r="AX114" i="1" s="1"/>
  <c r="AY114" i="1" s="1"/>
  <c r="AZ114" i="1" s="1"/>
  <c r="BA114" i="1" s="1"/>
  <c r="BB114" i="1" s="1"/>
  <c r="BC114" i="1" s="1"/>
  <c r="BD114" i="1" s="1"/>
  <c r="BE114" i="1" s="1"/>
  <c r="AW65" i="1"/>
  <c r="AX65" i="1" s="1"/>
  <c r="AY65" i="1" s="1"/>
  <c r="AZ65" i="1" s="1"/>
  <c r="BA65" i="1" s="1"/>
  <c r="BB65" i="1" s="1"/>
  <c r="BC65" i="1" s="1"/>
  <c r="BD65" i="1" s="1"/>
  <c r="BE65" i="1" s="1"/>
  <c r="AW59" i="1"/>
  <c r="AX59" i="1" s="1"/>
  <c r="AY59" i="1" s="1"/>
  <c r="AZ59" i="1" s="1"/>
  <c r="BA59" i="1" s="1"/>
  <c r="BB59" i="1" s="1"/>
  <c r="BC59" i="1" s="1"/>
  <c r="BD59" i="1" s="1"/>
  <c r="BE59" i="1" s="1"/>
  <c r="AW46" i="1"/>
  <c r="AX46" i="1" s="1"/>
  <c r="AY46" i="1" s="1"/>
  <c r="AZ46" i="1" s="1"/>
  <c r="BA46" i="1" s="1"/>
  <c r="BB46" i="1" s="1"/>
  <c r="BC46" i="1" s="1"/>
  <c r="BD46" i="1" s="1"/>
  <c r="BE46" i="1" s="1"/>
  <c r="AW43" i="1"/>
  <c r="AX43" i="1" s="1"/>
  <c r="AY43" i="1" s="1"/>
  <c r="AZ43" i="1" s="1"/>
  <c r="BA43" i="1" s="1"/>
  <c r="BB43" i="1" s="1"/>
  <c r="BC43" i="1" s="1"/>
  <c r="BD43" i="1" s="1"/>
  <c r="BE43" i="1" s="1"/>
  <c r="AW61" i="1"/>
  <c r="AX61" i="1" s="1"/>
  <c r="AY61" i="1" s="1"/>
  <c r="AZ61" i="1" s="1"/>
  <c r="BA61" i="1" s="1"/>
  <c r="BB61" i="1" s="1"/>
  <c r="BC61" i="1" s="1"/>
  <c r="BD61" i="1" s="1"/>
  <c r="BE61" i="1" s="1"/>
  <c r="AW58" i="1"/>
  <c r="AX58" i="1" s="1"/>
  <c r="AY58" i="1" s="1"/>
  <c r="AZ58" i="1" s="1"/>
  <c r="BA58" i="1" s="1"/>
  <c r="BB58" i="1" s="1"/>
  <c r="BC58" i="1" s="1"/>
  <c r="BD58" i="1" s="1"/>
  <c r="BE58" i="1" s="1"/>
  <c r="AW49" i="1"/>
  <c r="AX49" i="1" s="1"/>
  <c r="AY49" i="1" s="1"/>
  <c r="AZ49" i="1" s="1"/>
  <c r="BA49" i="1" s="1"/>
  <c r="BB49" i="1" s="1"/>
  <c r="BC49" i="1" s="1"/>
  <c r="BD49" i="1" s="1"/>
  <c r="BE49" i="1" s="1"/>
  <c r="AW22" i="1"/>
  <c r="AX22" i="1" s="1"/>
  <c r="AY22" i="1" s="1"/>
  <c r="AZ22" i="1" s="1"/>
  <c r="BA22" i="1" s="1"/>
  <c r="BB22" i="1" s="1"/>
  <c r="BC22" i="1" s="1"/>
  <c r="BD22" i="1" s="1"/>
  <c r="BE22" i="1" s="1"/>
  <c r="AW19" i="1"/>
  <c r="AX19" i="1" s="1"/>
  <c r="AY19" i="1" s="1"/>
  <c r="AZ19" i="1" s="1"/>
  <c r="BA19" i="1" s="1"/>
  <c r="BB19" i="1" s="1"/>
  <c r="BC19" i="1" s="1"/>
  <c r="BD19" i="1" s="1"/>
  <c r="BE19" i="1" s="1"/>
  <c r="AW14" i="1"/>
  <c r="AX14" i="1" s="1"/>
  <c r="AY14" i="1" s="1"/>
  <c r="AZ14" i="1" s="1"/>
  <c r="BA14" i="1" s="1"/>
  <c r="BB14" i="1" s="1"/>
  <c r="BC14" i="1" s="1"/>
  <c r="BD14" i="1" s="1"/>
  <c r="BE14" i="1" s="1"/>
  <c r="AW108" i="1"/>
  <c r="AX108" i="1" s="1"/>
  <c r="AY108" i="1" s="1"/>
  <c r="AZ108" i="1" s="1"/>
  <c r="BA108" i="1" s="1"/>
  <c r="BB108" i="1" s="1"/>
  <c r="BC108" i="1" s="1"/>
  <c r="BD108" i="1" s="1"/>
  <c r="BE108" i="1" s="1"/>
  <c r="AW102" i="1"/>
  <c r="AX102" i="1" s="1"/>
  <c r="AY102" i="1" s="1"/>
  <c r="AZ102" i="1" s="1"/>
  <c r="BA102" i="1" s="1"/>
  <c r="BB102" i="1" s="1"/>
  <c r="BC102" i="1" s="1"/>
  <c r="BD102" i="1" s="1"/>
  <c r="BE102" i="1" s="1"/>
  <c r="AW63" i="1"/>
  <c r="AX63" i="1" s="1"/>
  <c r="AY63" i="1" s="1"/>
  <c r="AZ63" i="1" s="1"/>
  <c r="BA63" i="1" s="1"/>
  <c r="BB63" i="1" s="1"/>
  <c r="BC63" i="1" s="1"/>
  <c r="BD63" i="1" s="1"/>
  <c r="BE63" i="1" s="1"/>
  <c r="AW60" i="1"/>
  <c r="AX60" i="1" s="1"/>
  <c r="AY60" i="1" s="1"/>
  <c r="AZ60" i="1" s="1"/>
  <c r="BA60" i="1" s="1"/>
  <c r="BB60" i="1" s="1"/>
  <c r="BC60" i="1" s="1"/>
  <c r="BD60" i="1" s="1"/>
  <c r="BE60" i="1" s="1"/>
  <c r="AW129" i="1"/>
  <c r="AX129" i="1" s="1"/>
  <c r="AY129" i="1" s="1"/>
  <c r="AZ129" i="1" s="1"/>
  <c r="BA129" i="1" s="1"/>
  <c r="BB129" i="1" s="1"/>
  <c r="BC129" i="1" s="1"/>
  <c r="BD129" i="1" s="1"/>
  <c r="BE129" i="1" s="1"/>
  <c r="AW111" i="1"/>
  <c r="AX111" i="1" s="1"/>
  <c r="AY111" i="1" s="1"/>
  <c r="AZ111" i="1" s="1"/>
  <c r="BA111" i="1" s="1"/>
  <c r="BB111" i="1" s="1"/>
  <c r="BC111" i="1" s="1"/>
  <c r="BD111" i="1" s="1"/>
  <c r="BE111" i="1" s="1"/>
  <c r="AW93" i="1"/>
  <c r="AX93" i="1" s="1"/>
  <c r="AY93" i="1" s="1"/>
  <c r="AZ93" i="1" s="1"/>
  <c r="BA93" i="1" s="1"/>
  <c r="BB93" i="1" s="1"/>
  <c r="BC93" i="1" s="1"/>
  <c r="BD93" i="1" s="1"/>
  <c r="BE93" i="1" s="1"/>
  <c r="AW73" i="1"/>
  <c r="AX73" i="1" s="1"/>
  <c r="AY73" i="1" s="1"/>
  <c r="AZ73" i="1" s="1"/>
  <c r="BA73" i="1" s="1"/>
  <c r="BB73" i="1" s="1"/>
  <c r="BC73" i="1" s="1"/>
  <c r="BD73" i="1" s="1"/>
  <c r="BE73" i="1" s="1"/>
  <c r="AW67" i="1"/>
  <c r="AX67" i="1" s="1"/>
  <c r="AY67" i="1" s="1"/>
  <c r="AZ67" i="1" s="1"/>
  <c r="BA67" i="1" s="1"/>
  <c r="BB67" i="1" s="1"/>
  <c r="BC67" i="1" s="1"/>
  <c r="BD67" i="1" s="1"/>
  <c r="BE67" i="1" s="1"/>
  <c r="AW45" i="1"/>
  <c r="AX45" i="1" s="1"/>
  <c r="AY45" i="1" s="1"/>
  <c r="AZ45" i="1" s="1"/>
  <c r="BA45" i="1" s="1"/>
  <c r="BB45" i="1" s="1"/>
  <c r="BC45" i="1" s="1"/>
  <c r="BD45" i="1" s="1"/>
  <c r="BE45" i="1" s="1"/>
  <c r="AW18" i="1"/>
  <c r="AX18" i="1" s="1"/>
  <c r="AY18" i="1" s="1"/>
  <c r="AZ18" i="1" s="1"/>
  <c r="BA18" i="1" s="1"/>
  <c r="BB18" i="1" s="1"/>
  <c r="BC18" i="1" s="1"/>
  <c r="BD18" i="1" s="1"/>
  <c r="BE18" i="1" s="1"/>
  <c r="AW15" i="1"/>
  <c r="AX15" i="1" s="1"/>
  <c r="AY15" i="1" s="1"/>
  <c r="AZ15" i="1" s="1"/>
  <c r="BA15" i="1" s="1"/>
  <c r="BB15" i="1" s="1"/>
  <c r="BC15" i="1" s="1"/>
  <c r="BD15" i="1" s="1"/>
  <c r="BE15" i="1" s="1"/>
  <c r="AW118" i="1"/>
  <c r="AX118" i="1" s="1"/>
  <c r="AY118" i="1" s="1"/>
  <c r="AZ118" i="1" s="1"/>
  <c r="BA118" i="1" s="1"/>
  <c r="BB118" i="1" s="1"/>
  <c r="BC118" i="1" s="1"/>
  <c r="BD118" i="1" s="1"/>
  <c r="BE118" i="1" s="1"/>
  <c r="AW112" i="1"/>
  <c r="AX112" i="1" s="1"/>
  <c r="AY112" i="1" s="1"/>
  <c r="AZ112" i="1" s="1"/>
  <c r="BA112" i="1" s="1"/>
  <c r="BB112" i="1" s="1"/>
  <c r="BC112" i="1" s="1"/>
  <c r="BD112" i="1" s="1"/>
  <c r="BE112" i="1" s="1"/>
  <c r="AW106" i="1"/>
  <c r="AX106" i="1" s="1"/>
  <c r="AY106" i="1" s="1"/>
  <c r="AZ106" i="1" s="1"/>
  <c r="BA106" i="1" s="1"/>
  <c r="BB106" i="1" s="1"/>
  <c r="BC106" i="1" s="1"/>
  <c r="BD106" i="1" s="1"/>
  <c r="BE106" i="1" s="1"/>
  <c r="AW100" i="1"/>
  <c r="AX100" i="1" s="1"/>
  <c r="AY100" i="1" s="1"/>
  <c r="AZ100" i="1" s="1"/>
  <c r="BA100" i="1" s="1"/>
  <c r="BB100" i="1" s="1"/>
  <c r="BC100" i="1" s="1"/>
  <c r="BD100" i="1" s="1"/>
  <c r="BE100" i="1" s="1"/>
  <c r="AW74" i="1"/>
  <c r="AX74" i="1" s="1"/>
  <c r="AY74" i="1" s="1"/>
  <c r="AZ74" i="1" s="1"/>
  <c r="BA74" i="1" s="1"/>
  <c r="BB74" i="1" s="1"/>
  <c r="BC74" i="1" s="1"/>
  <c r="BD74" i="1" s="1"/>
  <c r="BE74" i="1" s="1"/>
  <c r="AW68" i="1"/>
  <c r="AX68" i="1" s="1"/>
  <c r="AY68" i="1" s="1"/>
  <c r="AZ68" i="1" s="1"/>
  <c r="BA68" i="1" s="1"/>
  <c r="BB68" i="1" s="1"/>
  <c r="BC68" i="1" s="1"/>
  <c r="BD68" i="1" s="1"/>
  <c r="BE68" i="1" s="1"/>
  <c r="AW66" i="1"/>
  <c r="AX66" i="1" s="1"/>
  <c r="AY66" i="1" s="1"/>
  <c r="AZ66" i="1" s="1"/>
  <c r="BA66" i="1" s="1"/>
  <c r="BB66" i="1" s="1"/>
  <c r="BC66" i="1" s="1"/>
  <c r="BD66" i="1" s="1"/>
  <c r="BE66" i="1" s="1"/>
  <c r="AW23" i="1"/>
  <c r="AX23" i="1" s="1"/>
  <c r="AY23" i="1" s="1"/>
  <c r="AZ23" i="1" s="1"/>
  <c r="BA23" i="1" s="1"/>
  <c r="BB23" i="1" s="1"/>
  <c r="BC23" i="1" s="1"/>
  <c r="BD23" i="1" s="1"/>
  <c r="BE23" i="1" s="1"/>
  <c r="AW20" i="1"/>
  <c r="AX20" i="1" s="1"/>
  <c r="AY20" i="1" s="1"/>
  <c r="AZ20" i="1" s="1"/>
  <c r="BA20" i="1" s="1"/>
  <c r="BB20" i="1" s="1"/>
  <c r="BC20" i="1" s="1"/>
  <c r="BD20" i="1" s="1"/>
  <c r="BE20" i="1" s="1"/>
  <c r="AW178" i="1"/>
  <c r="AX178" i="1" s="1"/>
  <c r="AY178" i="1" s="1"/>
  <c r="AZ178" i="1" s="1"/>
  <c r="BA178" i="1" s="1"/>
  <c r="BB178" i="1" s="1"/>
  <c r="BC178" i="1" s="1"/>
  <c r="BD178" i="1" s="1"/>
  <c r="BE178" i="1" s="1"/>
  <c r="AW175" i="1"/>
  <c r="AX175" i="1" s="1"/>
  <c r="AY175" i="1" s="1"/>
  <c r="AZ175" i="1" s="1"/>
  <c r="BA175" i="1" s="1"/>
  <c r="BB175" i="1" s="1"/>
  <c r="BC175" i="1" s="1"/>
  <c r="BD175" i="1" s="1"/>
  <c r="BE175" i="1" s="1"/>
  <c r="AW157" i="1"/>
  <c r="AX157" i="1" s="1"/>
  <c r="AY157" i="1" s="1"/>
  <c r="AZ157" i="1" s="1"/>
  <c r="BA157" i="1" s="1"/>
  <c r="BB157" i="1" s="1"/>
  <c r="BC157" i="1" s="1"/>
  <c r="BD157" i="1" s="1"/>
  <c r="BE157" i="1" s="1"/>
  <c r="AW127" i="1"/>
  <c r="AX127" i="1" s="1"/>
  <c r="AY127" i="1" s="1"/>
  <c r="AZ127" i="1" s="1"/>
  <c r="BA127" i="1" s="1"/>
  <c r="BB127" i="1" s="1"/>
  <c r="BC127" i="1" s="1"/>
  <c r="BD127" i="1" s="1"/>
  <c r="BE127" i="1" s="1"/>
  <c r="AW122" i="1"/>
  <c r="AX122" i="1" s="1"/>
  <c r="AY122" i="1" s="1"/>
  <c r="AZ122" i="1" s="1"/>
  <c r="BA122" i="1" s="1"/>
  <c r="BB122" i="1" s="1"/>
  <c r="BC122" i="1" s="1"/>
  <c r="BD122" i="1" s="1"/>
  <c r="BE122" i="1" s="1"/>
  <c r="AW113" i="1"/>
  <c r="AX113" i="1" s="1"/>
  <c r="AY113" i="1" s="1"/>
  <c r="AZ113" i="1" s="1"/>
  <c r="BA113" i="1" s="1"/>
  <c r="BB113" i="1" s="1"/>
  <c r="BC113" i="1" s="1"/>
  <c r="BD113" i="1" s="1"/>
  <c r="BE113" i="1" s="1"/>
  <c r="AW107" i="1"/>
  <c r="AX107" i="1" s="1"/>
  <c r="AY107" i="1" s="1"/>
  <c r="AZ107" i="1" s="1"/>
  <c r="BA107" i="1" s="1"/>
  <c r="BB107" i="1" s="1"/>
  <c r="BC107" i="1" s="1"/>
  <c r="BD107" i="1" s="1"/>
  <c r="BE107" i="1" s="1"/>
  <c r="AW95" i="1"/>
  <c r="AX95" i="1" s="1"/>
  <c r="AY95" i="1" s="1"/>
  <c r="AZ95" i="1" s="1"/>
  <c r="BA95" i="1" s="1"/>
  <c r="BB95" i="1" s="1"/>
  <c r="BC95" i="1" s="1"/>
  <c r="BD95" i="1" s="1"/>
  <c r="BE95" i="1" s="1"/>
  <c r="AW75" i="1"/>
  <c r="AX75" i="1" s="1"/>
  <c r="AY75" i="1" s="1"/>
  <c r="AZ75" i="1" s="1"/>
  <c r="BA75" i="1" s="1"/>
  <c r="BB75" i="1" s="1"/>
  <c r="BC75" i="1" s="1"/>
  <c r="BD75" i="1" s="1"/>
  <c r="BE75" i="1" s="1"/>
  <c r="AW72" i="1"/>
  <c r="AX72" i="1" s="1"/>
  <c r="AY72" i="1" s="1"/>
  <c r="AZ72" i="1" s="1"/>
  <c r="BA72" i="1" s="1"/>
  <c r="BB72" i="1" s="1"/>
  <c r="BC72" i="1" s="1"/>
  <c r="BD72" i="1" s="1"/>
  <c r="BE72" i="1" s="1"/>
  <c r="AW48" i="1"/>
  <c r="AX48" i="1" s="1"/>
  <c r="AY48" i="1" s="1"/>
  <c r="AZ48" i="1" s="1"/>
  <c r="BA48" i="1" s="1"/>
  <c r="BB48" i="1" s="1"/>
  <c r="BC48" i="1" s="1"/>
  <c r="BD48" i="1" s="1"/>
  <c r="BE48" i="1" s="1"/>
  <c r="AW42" i="1"/>
  <c r="AX42" i="1" s="1"/>
  <c r="AY42" i="1" s="1"/>
  <c r="AZ42" i="1" s="1"/>
  <c r="BA42" i="1" s="1"/>
  <c r="BB42" i="1" s="1"/>
  <c r="BC42" i="1" s="1"/>
  <c r="BD42" i="1" s="1"/>
  <c r="BE42" i="1" s="1"/>
  <c r="AW103" i="1"/>
  <c r="AX103" i="1" s="1"/>
  <c r="AY103" i="1" s="1"/>
  <c r="AZ103" i="1" s="1"/>
  <c r="BA103" i="1" s="1"/>
  <c r="BB103" i="1" s="1"/>
  <c r="BC103" i="1" s="1"/>
  <c r="BD103" i="1" s="1"/>
  <c r="BE103" i="1" s="1"/>
  <c r="AW97" i="1"/>
  <c r="AX97" i="1" s="1"/>
  <c r="AY97" i="1" s="1"/>
  <c r="AZ97" i="1" s="1"/>
  <c r="BA97" i="1" s="1"/>
  <c r="BB97" i="1" s="1"/>
  <c r="BC97" i="1" s="1"/>
  <c r="BD97" i="1" s="1"/>
  <c r="BE97" i="1" s="1"/>
  <c r="AW91" i="1"/>
  <c r="AX91" i="1" s="1"/>
  <c r="AY91" i="1" s="1"/>
  <c r="AZ91" i="1" s="1"/>
  <c r="BA91" i="1" s="1"/>
  <c r="BB91" i="1" s="1"/>
  <c r="BC91" i="1" s="1"/>
  <c r="BD91" i="1" s="1"/>
  <c r="BE91" i="1" s="1"/>
  <c r="AW94" i="1"/>
  <c r="AX94" i="1" s="1"/>
  <c r="AY94" i="1" s="1"/>
  <c r="AZ94" i="1" s="1"/>
  <c r="BA94" i="1" s="1"/>
  <c r="BB94" i="1" s="1"/>
  <c r="BC94" i="1" s="1"/>
  <c r="BD94" i="1" s="1"/>
  <c r="BE94" i="1" s="1"/>
  <c r="AW56" i="1"/>
  <c r="AX56" i="1" s="1"/>
  <c r="AY56" i="1" s="1"/>
  <c r="AZ56" i="1" s="1"/>
  <c r="BA56" i="1" s="1"/>
  <c r="BB56" i="1" s="1"/>
  <c r="BC56" i="1" s="1"/>
  <c r="BD56" i="1" s="1"/>
  <c r="BE56" i="1" s="1"/>
  <c r="AW124" i="1"/>
  <c r="AX124" i="1" s="1"/>
  <c r="AY124" i="1" s="1"/>
  <c r="AZ124" i="1" s="1"/>
  <c r="BA124" i="1" s="1"/>
  <c r="BB124" i="1" s="1"/>
  <c r="BC124" i="1" s="1"/>
  <c r="BD124" i="1" s="1"/>
  <c r="BE124" i="1" s="1"/>
  <c r="AW115" i="1"/>
  <c r="AX115" i="1" s="1"/>
  <c r="AY115" i="1" s="1"/>
  <c r="AZ115" i="1" s="1"/>
  <c r="BA115" i="1" s="1"/>
  <c r="BB115" i="1" s="1"/>
  <c r="BC115" i="1" s="1"/>
  <c r="BD115" i="1" s="1"/>
  <c r="BE115" i="1" s="1"/>
  <c r="AW101" i="1"/>
  <c r="AX101" i="1" s="1"/>
  <c r="AY101" i="1" s="1"/>
  <c r="AZ101" i="1" s="1"/>
  <c r="BA101" i="1" s="1"/>
  <c r="BB101" i="1" s="1"/>
  <c r="BC101" i="1" s="1"/>
  <c r="BD101" i="1" s="1"/>
  <c r="BE101" i="1" s="1"/>
  <c r="AW53" i="1"/>
  <c r="AX53" i="1" s="1"/>
  <c r="AY53" i="1" s="1"/>
  <c r="AZ53" i="1" s="1"/>
  <c r="BA53" i="1" s="1"/>
  <c r="BB53" i="1" s="1"/>
  <c r="BC53" i="1" s="1"/>
  <c r="BD53" i="1" s="1"/>
  <c r="BE53" i="1" s="1"/>
  <c r="AW50" i="1"/>
  <c r="AX50" i="1" s="1"/>
  <c r="AY50" i="1" s="1"/>
  <c r="AZ50" i="1" s="1"/>
  <c r="BA50" i="1" s="1"/>
  <c r="BB50" i="1" s="1"/>
  <c r="BC50" i="1" s="1"/>
  <c r="BD50" i="1" s="1"/>
  <c r="BE50" i="1" s="1"/>
  <c r="AW47" i="1"/>
  <c r="AX47" i="1" s="1"/>
  <c r="AY47" i="1" s="1"/>
  <c r="AZ47" i="1" s="1"/>
  <c r="BA47" i="1" s="1"/>
  <c r="BB47" i="1" s="1"/>
  <c r="BC47" i="1" s="1"/>
  <c r="BD47" i="1" s="1"/>
  <c r="BE47" i="1" s="1"/>
  <c r="AW24" i="1"/>
  <c r="AX24" i="1" s="1"/>
  <c r="AY24" i="1" s="1"/>
  <c r="AZ24" i="1" s="1"/>
  <c r="BA24" i="1" s="1"/>
  <c r="BB24" i="1" s="1"/>
  <c r="BC24" i="1" s="1"/>
  <c r="BD24" i="1" s="1"/>
  <c r="BE24" i="1" s="1"/>
  <c r="AW21" i="1"/>
  <c r="AX21" i="1" s="1"/>
  <c r="AY21" i="1" s="1"/>
  <c r="AZ21" i="1" s="1"/>
  <c r="BA21" i="1" s="1"/>
  <c r="BB21" i="1" s="1"/>
  <c r="BC21" i="1" s="1"/>
  <c r="BD21" i="1" s="1"/>
  <c r="BE21" i="1" s="1"/>
  <c r="AW117" i="1"/>
  <c r="AX117" i="1" s="1"/>
  <c r="AY117" i="1" s="1"/>
  <c r="AZ117" i="1" s="1"/>
  <c r="BA117" i="1" s="1"/>
  <c r="BB117" i="1" s="1"/>
  <c r="BC117" i="1" s="1"/>
  <c r="BD117" i="1" s="1"/>
  <c r="BE117" i="1" s="1"/>
  <c r="AW87" i="1"/>
  <c r="AX87" i="1" s="1"/>
  <c r="AY87" i="1" s="1"/>
  <c r="AZ87" i="1" s="1"/>
  <c r="BA87" i="1" s="1"/>
  <c r="BB87" i="1" s="1"/>
  <c r="BC87" i="1" s="1"/>
  <c r="BD87" i="1" s="1"/>
  <c r="BE87" i="1" s="1"/>
  <c r="AW71" i="1"/>
  <c r="AX71" i="1" s="1"/>
  <c r="AY71" i="1" s="1"/>
  <c r="AZ71" i="1" s="1"/>
  <c r="BA71" i="1" s="1"/>
  <c r="BB71" i="1" s="1"/>
  <c r="BC71" i="1" s="1"/>
  <c r="BD71" i="1" s="1"/>
  <c r="BE71" i="1" s="1"/>
  <c r="AW137" i="1"/>
  <c r="AX137" i="1" s="1"/>
  <c r="AY137" i="1" s="1"/>
  <c r="AZ137" i="1" s="1"/>
  <c r="BA137" i="1" s="1"/>
  <c r="BB137" i="1" s="1"/>
  <c r="BC137" i="1" s="1"/>
  <c r="AW99" i="1"/>
  <c r="AX99" i="1" s="1"/>
  <c r="AY99" i="1" s="1"/>
  <c r="AZ99" i="1" s="1"/>
  <c r="BA99" i="1" s="1"/>
  <c r="BB99" i="1" s="1"/>
  <c r="BC99" i="1" s="1"/>
  <c r="BD99" i="1" s="1"/>
  <c r="BE99" i="1" s="1"/>
  <c r="AW85" i="1"/>
  <c r="AX85" i="1" s="1"/>
  <c r="AY85" i="1" s="1"/>
  <c r="AZ85" i="1" s="1"/>
  <c r="BA85" i="1" s="1"/>
  <c r="BB85" i="1" s="1"/>
  <c r="BC85" i="1" s="1"/>
  <c r="BD85" i="1" s="1"/>
  <c r="BE85" i="1" s="1"/>
  <c r="AW86" i="1"/>
  <c r="AX86" i="1" s="1"/>
  <c r="AY86" i="1" s="1"/>
  <c r="AZ86" i="1" s="1"/>
  <c r="BA86" i="1" s="1"/>
  <c r="BB86" i="1" s="1"/>
  <c r="BC86" i="1" s="1"/>
  <c r="BD86" i="1" s="1"/>
  <c r="BE86" i="1" s="1"/>
  <c r="AW70" i="1"/>
  <c r="AX70" i="1" s="1"/>
  <c r="AY70" i="1" s="1"/>
  <c r="AZ70" i="1" s="1"/>
  <c r="BA70" i="1" s="1"/>
  <c r="BB70" i="1" s="1"/>
  <c r="BC70" i="1" s="1"/>
  <c r="BD70" i="1" s="1"/>
  <c r="BE70" i="1" s="1"/>
  <c r="AW139" i="1"/>
  <c r="AX139" i="1" s="1"/>
  <c r="AY139" i="1" s="1"/>
  <c r="AZ139" i="1" s="1"/>
  <c r="BA139" i="1" s="1"/>
  <c r="BB139" i="1" s="1"/>
  <c r="BC139" i="1" s="1"/>
  <c r="BD139" i="1" s="1"/>
  <c r="BE139" i="1" s="1"/>
  <c r="AW123" i="1"/>
  <c r="AX123" i="1" s="1"/>
  <c r="AY123" i="1" s="1"/>
  <c r="AZ123" i="1" s="1"/>
  <c r="BA123" i="1" s="1"/>
  <c r="BB123" i="1" s="1"/>
  <c r="BC123" i="1" s="1"/>
  <c r="BD123" i="1" s="1"/>
  <c r="BE123" i="1" s="1"/>
  <c r="AW171" i="1"/>
  <c r="AX171" i="1" s="1"/>
  <c r="AY171" i="1" s="1"/>
  <c r="AZ171" i="1" s="1"/>
  <c r="BA171" i="1" s="1"/>
  <c r="BB171" i="1" s="1"/>
  <c r="BC171" i="1" s="1"/>
  <c r="BD171" i="1" s="1"/>
  <c r="AW167" i="1"/>
  <c r="AX167" i="1" s="1"/>
  <c r="AY167" i="1" s="1"/>
  <c r="AZ167" i="1" s="1"/>
  <c r="BA167" i="1" s="1"/>
  <c r="BB167" i="1" s="1"/>
  <c r="BC167" i="1" s="1"/>
  <c r="BD167" i="1" s="1"/>
  <c r="BE167" i="1" s="1"/>
  <c r="AW165" i="1"/>
  <c r="AX165" i="1" s="1"/>
  <c r="AY165" i="1" s="1"/>
  <c r="AZ165" i="1" s="1"/>
  <c r="BA165" i="1" s="1"/>
  <c r="BB165" i="1" s="1"/>
  <c r="BC165" i="1" s="1"/>
  <c r="BD165" i="1" s="1"/>
  <c r="BE165" i="1" s="1"/>
  <c r="AW163" i="1"/>
  <c r="AX163" i="1" s="1"/>
  <c r="AY163" i="1" s="1"/>
  <c r="AZ163" i="1" s="1"/>
  <c r="BA163" i="1" s="1"/>
  <c r="BB163" i="1" s="1"/>
  <c r="BC163" i="1" s="1"/>
  <c r="BD163" i="1" s="1"/>
  <c r="BE163" i="1" s="1"/>
  <c r="AW142" i="1"/>
  <c r="AX142" i="1" s="1"/>
  <c r="AY142" i="1" s="1"/>
  <c r="AZ142" i="1" s="1"/>
  <c r="BA142" i="1" s="1"/>
  <c r="BB142" i="1" s="1"/>
  <c r="BC142" i="1" s="1"/>
  <c r="BD142" i="1" s="1"/>
  <c r="BE142" i="1" s="1"/>
  <c r="AW128" i="1"/>
  <c r="AX128" i="1" s="1"/>
  <c r="AY128" i="1" s="1"/>
  <c r="AZ128" i="1" s="1"/>
  <c r="BA128" i="1" s="1"/>
  <c r="BB128" i="1" s="1"/>
  <c r="BC128" i="1" s="1"/>
  <c r="BD128" i="1" s="1"/>
  <c r="BE128" i="1" s="1"/>
  <c r="AW172" i="1"/>
  <c r="AX172" i="1" s="1"/>
  <c r="AY172" i="1" s="1"/>
  <c r="AZ172" i="1" s="1"/>
  <c r="BA172" i="1" s="1"/>
  <c r="BB172" i="1" s="1"/>
  <c r="BC172" i="1" s="1"/>
  <c r="BD172" i="1" s="1"/>
  <c r="BE172" i="1" s="1"/>
  <c r="AW170" i="1"/>
  <c r="AX170" i="1" s="1"/>
  <c r="AY170" i="1" s="1"/>
  <c r="AZ170" i="1" s="1"/>
  <c r="BA170" i="1" s="1"/>
  <c r="BB170" i="1" s="1"/>
  <c r="BC170" i="1" s="1"/>
  <c r="BD170" i="1" s="1"/>
  <c r="BE170" i="1" s="1"/>
  <c r="AW168" i="1"/>
  <c r="AX168" i="1" s="1"/>
  <c r="AY168" i="1" s="1"/>
  <c r="AZ168" i="1" s="1"/>
  <c r="BA168" i="1" s="1"/>
  <c r="BB168" i="1" s="1"/>
  <c r="BC168" i="1" s="1"/>
  <c r="BD168" i="1" s="1"/>
  <c r="AW166" i="1"/>
  <c r="AX166" i="1" s="1"/>
  <c r="AY166" i="1" s="1"/>
  <c r="AZ166" i="1" s="1"/>
  <c r="BA166" i="1" s="1"/>
  <c r="BB166" i="1" s="1"/>
  <c r="BC166" i="1" s="1"/>
  <c r="BD166" i="1" s="1"/>
  <c r="BE166" i="1" s="1"/>
  <c r="AW152" i="1"/>
  <c r="AX152" i="1" s="1"/>
  <c r="AY152" i="1" s="1"/>
  <c r="AZ152" i="1" s="1"/>
  <c r="BA152" i="1" s="1"/>
  <c r="BB152" i="1" s="1"/>
  <c r="BC152" i="1" s="1"/>
  <c r="BD152" i="1" s="1"/>
  <c r="BE152" i="1" s="1"/>
  <c r="AW144" i="1"/>
  <c r="AX144" i="1" s="1"/>
  <c r="AY144" i="1" s="1"/>
  <c r="AZ144" i="1" s="1"/>
  <c r="BA144" i="1" s="1"/>
  <c r="BB144" i="1" s="1"/>
  <c r="BC144" i="1" s="1"/>
  <c r="BD144" i="1" s="1"/>
  <c r="BE144" i="1" s="1"/>
  <c r="AW126" i="1"/>
  <c r="AX126" i="1" s="1"/>
  <c r="AY126" i="1" s="1"/>
  <c r="AZ126" i="1" s="1"/>
  <c r="BA126" i="1" s="1"/>
  <c r="BB126" i="1" s="1"/>
  <c r="BC126" i="1" s="1"/>
  <c r="BD126" i="1" s="1"/>
  <c r="BE126" i="1" s="1"/>
  <c r="AW57" i="1"/>
  <c r="AX57" i="1" s="1"/>
  <c r="AY57" i="1" s="1"/>
  <c r="AZ57" i="1" s="1"/>
  <c r="BA57" i="1" s="1"/>
  <c r="BB57" i="1" s="1"/>
  <c r="BC57" i="1" s="1"/>
  <c r="BD57" i="1" s="1"/>
  <c r="BE57" i="1" s="1"/>
  <c r="AW121" i="1"/>
  <c r="AX121" i="1" s="1"/>
  <c r="AY121" i="1" s="1"/>
  <c r="AZ121" i="1" s="1"/>
  <c r="BA121" i="1" s="1"/>
  <c r="BB121" i="1" s="1"/>
  <c r="BC121" i="1" s="1"/>
  <c r="BD121" i="1" s="1"/>
  <c r="BE121" i="1" s="1"/>
  <c r="AW105" i="1"/>
  <c r="AX105" i="1" s="1"/>
  <c r="AY105" i="1" s="1"/>
  <c r="AZ105" i="1" s="1"/>
  <c r="BA105" i="1" s="1"/>
  <c r="BB105" i="1" s="1"/>
  <c r="BC105" i="1" s="1"/>
  <c r="BD105" i="1" s="1"/>
  <c r="BE105" i="1" s="1"/>
  <c r="AW28" i="1"/>
  <c r="AX28" i="1" s="1"/>
  <c r="AY28" i="1" s="1"/>
  <c r="AZ28" i="1" s="1"/>
  <c r="BA28" i="1" s="1"/>
  <c r="BB28" i="1" s="1"/>
  <c r="BC28" i="1" s="1"/>
  <c r="BD28" i="1" s="1"/>
  <c r="BE28" i="1" s="1"/>
  <c r="AW120" i="1"/>
  <c r="AX120" i="1" s="1"/>
  <c r="AY120" i="1" s="1"/>
  <c r="AZ120" i="1" s="1"/>
  <c r="BA120" i="1" s="1"/>
  <c r="BB120" i="1" s="1"/>
  <c r="BC120" i="1" s="1"/>
  <c r="BD120" i="1" s="1"/>
  <c r="BE120" i="1" s="1"/>
  <c r="AW160" i="1"/>
  <c r="AX160" i="1" s="1"/>
  <c r="AY160" i="1" s="1"/>
  <c r="AZ160" i="1" s="1"/>
  <c r="BA160" i="1" s="1"/>
  <c r="BB160" i="1" s="1"/>
  <c r="BC160" i="1" s="1"/>
  <c r="BD160" i="1" s="1"/>
  <c r="BE160" i="1" s="1"/>
  <c r="AW158" i="1"/>
  <c r="AX158" i="1" s="1"/>
  <c r="AY158" i="1" s="1"/>
  <c r="AZ158" i="1" s="1"/>
  <c r="BA158" i="1" s="1"/>
  <c r="BB158" i="1" s="1"/>
  <c r="BC158" i="1" s="1"/>
  <c r="BD158" i="1" s="1"/>
  <c r="BE158" i="1" s="1"/>
  <c r="AW155" i="1"/>
  <c r="AX155" i="1" s="1"/>
  <c r="AY155" i="1" s="1"/>
  <c r="AZ155" i="1" s="1"/>
  <c r="BA155" i="1" s="1"/>
  <c r="BB155" i="1" s="1"/>
  <c r="BC155" i="1" s="1"/>
  <c r="BD155" i="1" s="1"/>
  <c r="BE155" i="1" s="1"/>
  <c r="AW151" i="1"/>
  <c r="AX151" i="1" s="1"/>
  <c r="AY151" i="1" s="1"/>
  <c r="AZ151" i="1" s="1"/>
  <c r="BA151" i="1" s="1"/>
  <c r="BB151" i="1" s="1"/>
  <c r="BC151" i="1" s="1"/>
  <c r="BD151" i="1" s="1"/>
  <c r="BE151" i="1" s="1"/>
  <c r="AW149" i="1"/>
  <c r="AX149" i="1" s="1"/>
  <c r="AY149" i="1" s="1"/>
  <c r="AZ149" i="1" s="1"/>
  <c r="BA149" i="1" s="1"/>
  <c r="BB149" i="1" s="1"/>
  <c r="BC149" i="1" s="1"/>
  <c r="BD149" i="1" s="1"/>
  <c r="BE149" i="1" s="1"/>
  <c r="AW147" i="1"/>
  <c r="AX147" i="1" s="1"/>
  <c r="AY147" i="1" s="1"/>
  <c r="AZ147" i="1" s="1"/>
  <c r="BA147" i="1" s="1"/>
  <c r="BB147" i="1" s="1"/>
  <c r="BC147" i="1" s="1"/>
  <c r="BD147" i="1" s="1"/>
  <c r="BE147" i="1" s="1"/>
  <c r="AW145" i="1"/>
  <c r="AX145" i="1" s="1"/>
  <c r="AY145" i="1" s="1"/>
  <c r="AZ145" i="1" s="1"/>
  <c r="BA145" i="1" s="1"/>
  <c r="BB145" i="1" s="1"/>
  <c r="BC145" i="1" s="1"/>
  <c r="BD145" i="1" s="1"/>
  <c r="BE145" i="1" s="1"/>
  <c r="AW141" i="1"/>
  <c r="AX141" i="1" s="1"/>
  <c r="AY141" i="1" s="1"/>
  <c r="AZ141" i="1" s="1"/>
  <c r="BA141" i="1" s="1"/>
  <c r="BB141" i="1" s="1"/>
  <c r="BC141" i="1" s="1"/>
  <c r="BD141" i="1" s="1"/>
  <c r="BE141" i="1" s="1"/>
  <c r="AW138" i="1"/>
  <c r="AX138" i="1" s="1"/>
  <c r="AY138" i="1" s="1"/>
  <c r="AZ138" i="1" s="1"/>
  <c r="BA138" i="1" s="1"/>
  <c r="BB138" i="1" s="1"/>
  <c r="BC138" i="1" s="1"/>
  <c r="BD138" i="1" s="1"/>
  <c r="BE138" i="1" s="1"/>
  <c r="AW136" i="1"/>
  <c r="AX136" i="1" s="1"/>
  <c r="AY136" i="1" s="1"/>
  <c r="AZ136" i="1" s="1"/>
  <c r="BA136" i="1" s="1"/>
  <c r="BB136" i="1" s="1"/>
  <c r="BC136" i="1" s="1"/>
  <c r="BD136" i="1" s="1"/>
  <c r="BE136" i="1" s="1"/>
  <c r="AW134" i="1"/>
  <c r="AX134" i="1" s="1"/>
  <c r="AY134" i="1" s="1"/>
  <c r="AZ134" i="1" s="1"/>
  <c r="BA134" i="1" s="1"/>
  <c r="BB134" i="1" s="1"/>
  <c r="BC134" i="1" s="1"/>
  <c r="BD134" i="1" s="1"/>
  <c r="BE134" i="1" s="1"/>
  <c r="AW132" i="1"/>
  <c r="AX132" i="1" s="1"/>
  <c r="AY132" i="1" s="1"/>
  <c r="AZ132" i="1" s="1"/>
  <c r="BA132" i="1" s="1"/>
  <c r="BB132" i="1" s="1"/>
  <c r="BC132" i="1" s="1"/>
  <c r="BD132" i="1" s="1"/>
  <c r="BE132" i="1" s="1"/>
  <c r="AW176" i="1"/>
  <c r="AX176" i="1" s="1"/>
  <c r="AY176" i="1" s="1"/>
  <c r="AZ176" i="1" s="1"/>
  <c r="BA176" i="1" s="1"/>
  <c r="BB176" i="1" s="1"/>
  <c r="BC176" i="1" s="1"/>
  <c r="BD176" i="1" s="1"/>
  <c r="AW161" i="1"/>
  <c r="AX161" i="1" s="1"/>
  <c r="AY161" i="1" s="1"/>
  <c r="AZ161" i="1" s="1"/>
  <c r="BA161" i="1" s="1"/>
  <c r="BB161" i="1" s="1"/>
  <c r="BC161" i="1" s="1"/>
  <c r="BD161" i="1" s="1"/>
  <c r="BE161" i="1" s="1"/>
  <c r="AW159" i="1"/>
  <c r="AX159" i="1" s="1"/>
  <c r="AY159" i="1" s="1"/>
  <c r="AZ159" i="1" s="1"/>
  <c r="BA159" i="1" s="1"/>
  <c r="BB159" i="1" s="1"/>
  <c r="BC159" i="1" s="1"/>
  <c r="BD159" i="1" s="1"/>
  <c r="BE159" i="1" s="1"/>
  <c r="AW156" i="1"/>
  <c r="AX156" i="1" s="1"/>
  <c r="AY156" i="1" s="1"/>
  <c r="AZ156" i="1" s="1"/>
  <c r="BA156" i="1" s="1"/>
  <c r="BB156" i="1" s="1"/>
  <c r="BC156" i="1" s="1"/>
  <c r="BD156" i="1" s="1"/>
  <c r="BE156" i="1" s="1"/>
  <c r="AW154" i="1"/>
  <c r="AX154" i="1" s="1"/>
  <c r="AY154" i="1" s="1"/>
  <c r="AZ154" i="1" s="1"/>
  <c r="BA154" i="1" s="1"/>
  <c r="BB154" i="1" s="1"/>
  <c r="BC154" i="1" s="1"/>
  <c r="BD154" i="1" s="1"/>
  <c r="BE154" i="1" s="1"/>
  <c r="AW150" i="1"/>
  <c r="AX150" i="1" s="1"/>
  <c r="AY150" i="1" s="1"/>
  <c r="AZ150" i="1" s="1"/>
  <c r="BA150" i="1" s="1"/>
  <c r="BB150" i="1" s="1"/>
  <c r="BC150" i="1" s="1"/>
  <c r="BD150" i="1" s="1"/>
  <c r="BE150" i="1" s="1"/>
  <c r="AW148" i="1"/>
  <c r="AX148" i="1" s="1"/>
  <c r="AY148" i="1" s="1"/>
  <c r="AZ148" i="1" s="1"/>
  <c r="BA148" i="1" s="1"/>
  <c r="BB148" i="1" s="1"/>
  <c r="BC148" i="1" s="1"/>
  <c r="BD148" i="1" s="1"/>
  <c r="BE148" i="1" s="1"/>
  <c r="AW146" i="1"/>
  <c r="AX146" i="1" s="1"/>
  <c r="AY146" i="1" s="1"/>
  <c r="AZ146" i="1" s="1"/>
  <c r="BA146" i="1" s="1"/>
  <c r="BB146" i="1" s="1"/>
  <c r="BC146" i="1" s="1"/>
  <c r="BD146" i="1" s="1"/>
  <c r="BE146" i="1" s="1"/>
  <c r="AW135" i="1"/>
  <c r="AX135" i="1" s="1"/>
  <c r="AY135" i="1" s="1"/>
  <c r="AZ135" i="1" s="1"/>
  <c r="BA135" i="1" s="1"/>
  <c r="BB135" i="1" s="1"/>
  <c r="BC135" i="1" s="1"/>
  <c r="BD135" i="1" s="1"/>
  <c r="BE135" i="1" s="1"/>
  <c r="AW133" i="1"/>
  <c r="AX133" i="1" s="1"/>
  <c r="AY133" i="1" s="1"/>
  <c r="AZ133" i="1" s="1"/>
  <c r="BA133" i="1" s="1"/>
  <c r="BB133" i="1" s="1"/>
  <c r="BC133" i="1" s="1"/>
  <c r="BD133" i="1" s="1"/>
  <c r="BE133" i="1" s="1"/>
  <c r="AW162" i="1"/>
  <c r="AX162" i="1" s="1"/>
  <c r="AY162" i="1" s="1"/>
  <c r="AZ162" i="1" s="1"/>
  <c r="BA162" i="1" s="1"/>
  <c r="BB162" i="1" s="1"/>
  <c r="BC162" i="1" s="1"/>
  <c r="BD162" i="1" s="1"/>
  <c r="BE162" i="1" s="1"/>
  <c r="AW80" i="1"/>
  <c r="AX80" i="1" s="1"/>
  <c r="AY80" i="1" s="1"/>
  <c r="AZ80" i="1" s="1"/>
  <c r="BA80" i="1" s="1"/>
  <c r="BB80" i="1" s="1"/>
  <c r="BC80" i="1" s="1"/>
  <c r="BD80" i="1" s="1"/>
  <c r="BE80" i="1" s="1"/>
  <c r="AW62" i="1"/>
  <c r="AX62" i="1" s="1"/>
  <c r="AY62" i="1" s="1"/>
  <c r="AZ62" i="1" s="1"/>
  <c r="BA62" i="1" s="1"/>
  <c r="BB62" i="1" s="1"/>
  <c r="BC62" i="1" s="1"/>
  <c r="BD62" i="1" s="1"/>
  <c r="BE62" i="1" s="1"/>
  <c r="AW131" i="1"/>
  <c r="AX131" i="1" s="1"/>
  <c r="AY131" i="1" s="1"/>
  <c r="AZ131" i="1" s="1"/>
  <c r="BA131" i="1" s="1"/>
  <c r="BB131" i="1" s="1"/>
  <c r="BC131" i="1" s="1"/>
  <c r="BD131" i="1" s="1"/>
  <c r="BE131" i="1" s="1"/>
  <c r="AW30" i="1"/>
  <c r="AX30" i="1" s="1"/>
  <c r="AY30" i="1" s="1"/>
  <c r="AZ30" i="1" s="1"/>
  <c r="BA30" i="1" s="1"/>
  <c r="BB30" i="1" s="1"/>
  <c r="BC30" i="1" s="1"/>
  <c r="BD30" i="1" s="1"/>
  <c r="BE30" i="1" s="1"/>
  <c r="AW130" i="1"/>
  <c r="AX130" i="1" s="1"/>
  <c r="AY130" i="1" s="1"/>
  <c r="AZ130" i="1" s="1"/>
  <c r="BA130" i="1" s="1"/>
  <c r="BB130" i="1" s="1"/>
  <c r="BC130" i="1" s="1"/>
  <c r="BD130" i="1" s="1"/>
  <c r="BE130" i="1" s="1"/>
  <c r="W13" i="13"/>
  <c r="V12" i="13"/>
  <c r="U14" i="13"/>
  <c r="U15" i="13" s="1"/>
  <c r="V13" i="13"/>
  <c r="T14" i="13"/>
  <c r="T15" i="13" s="1"/>
  <c r="R14" i="13"/>
  <c r="R15" i="13" s="1"/>
  <c r="S14" i="13"/>
  <c r="S15" i="13" s="1"/>
  <c r="V8" i="13"/>
  <c r="W11" i="13"/>
  <c r="V11" i="13"/>
  <c r="AB5" i="1"/>
  <c r="AB4" i="1" s="1"/>
  <c r="Q14" i="13"/>
  <c r="Q15" i="13" s="1"/>
  <c r="F22" i="13"/>
  <c r="H22" i="13" s="1"/>
  <c r="I22" i="13" s="1"/>
  <c r="F24" i="13"/>
  <c r="F27" i="13"/>
  <c r="H23" i="13"/>
  <c r="I23" i="13" s="1"/>
  <c r="I21" i="13"/>
  <c r="G21" i="13"/>
  <c r="P7" i="13"/>
  <c r="P10" i="13"/>
  <c r="O12" i="13"/>
  <c r="O13" i="13"/>
  <c r="O7" i="13"/>
  <c r="P13" i="13"/>
  <c r="P12" i="13"/>
  <c r="N8" i="13"/>
  <c r="P8" i="13"/>
  <c r="O10" i="13"/>
  <c r="O8" i="13"/>
  <c r="N10" i="13"/>
  <c r="N12" i="13"/>
  <c r="N13" i="13"/>
  <c r="N7" i="13"/>
  <c r="N9" i="13"/>
  <c r="G37" i="13"/>
  <c r="G9" i="13"/>
  <c r="G13" i="13"/>
  <c r="G7" i="13"/>
  <c r="G11" i="13"/>
  <c r="G8" i="13"/>
  <c r="G10" i="13"/>
  <c r="G12" i="13"/>
  <c r="G35" i="13"/>
  <c r="G39" i="13"/>
  <c r="G36" i="13"/>
  <c r="G41" i="13"/>
  <c r="G38" i="13"/>
  <c r="G40" i="13"/>
  <c r="BE169" i="1" l="1"/>
  <c r="BE171" i="1"/>
  <c r="BE176" i="1"/>
  <c r="W8" i="13"/>
  <c r="W12" i="13"/>
  <c r="BE177" i="1"/>
  <c r="BE168" i="1"/>
  <c r="G22" i="13"/>
  <c r="H27" i="13"/>
  <c r="I27" i="13" s="1"/>
  <c r="G27" i="13"/>
  <c r="G24" i="13"/>
  <c r="H24" i="13"/>
  <c r="I24" i="13" s="1"/>
  <c r="G14" i="13"/>
  <c r="D2" i="3" l="1"/>
  <c r="BH8" i="1"/>
  <c r="BH9" i="1" s="1"/>
  <c r="BH10" i="1" s="1"/>
  <c r="BH11" i="1" s="1"/>
  <c r="BH12" i="1" s="1"/>
  <c r="BH13" i="1" s="1"/>
  <c r="BH14" i="1" s="1"/>
  <c r="BH15" i="1" s="1"/>
  <c r="BH16" i="1" s="1"/>
  <c r="BH17" i="1" s="1"/>
  <c r="BH18" i="1" s="1"/>
  <c r="BH19" i="1" s="1"/>
  <c r="BH20" i="1" s="1"/>
  <c r="BH21" i="1" s="1"/>
  <c r="BH22" i="1" s="1"/>
  <c r="BH23" i="1" s="1"/>
  <c r="BH24" i="1" s="1"/>
  <c r="BH25" i="1" s="1"/>
  <c r="BH26" i="1" s="1"/>
  <c r="BH27" i="1" s="1"/>
  <c r="BH28" i="1" s="1"/>
  <c r="BH29" i="1" s="1"/>
  <c r="BH30" i="1" s="1"/>
  <c r="BH31" i="1" s="1"/>
  <c r="BH32" i="1" s="1"/>
  <c r="BH33" i="1" s="1"/>
  <c r="BH34" i="1" s="1"/>
  <c r="BH35" i="1" s="1"/>
  <c r="BH36" i="1" s="1"/>
  <c r="BH37" i="1" s="1"/>
  <c r="BH38" i="1" s="1"/>
  <c r="BH39" i="1" s="1"/>
  <c r="BH40" i="1" s="1"/>
  <c r="BH41" i="1" s="1"/>
  <c r="BH42" i="1" s="1"/>
  <c r="BH43" i="1" s="1"/>
  <c r="BH44" i="1" s="1"/>
  <c r="BH45" i="1" s="1"/>
  <c r="BH46" i="1" s="1"/>
  <c r="BH47" i="1" s="1"/>
  <c r="BH48" i="1" s="1"/>
  <c r="BH49" i="1" s="1"/>
  <c r="BH50" i="1" s="1"/>
  <c r="BH51" i="1" s="1"/>
  <c r="BH52" i="1" s="1"/>
  <c r="BH53" i="1" s="1"/>
  <c r="BH54" i="1" s="1"/>
  <c r="BH55" i="1" s="1"/>
  <c r="BH56" i="1" s="1"/>
  <c r="BH57" i="1" s="1"/>
  <c r="BH58" i="1" s="1"/>
  <c r="BH59" i="1" s="1"/>
  <c r="BH60" i="1" s="1"/>
  <c r="BH61" i="1" s="1"/>
  <c r="BH62" i="1" s="1"/>
  <c r="BH63" i="1" s="1"/>
  <c r="BH64" i="1" s="1"/>
  <c r="BH65" i="1" s="1"/>
  <c r="BH66" i="1" s="1"/>
  <c r="BH67" i="1" s="1"/>
  <c r="BH68" i="1" s="1"/>
  <c r="BH69" i="1" s="1"/>
  <c r="BH70" i="1" s="1"/>
  <c r="BH71" i="1" s="1"/>
  <c r="BH72" i="1" s="1"/>
  <c r="BH73" i="1" s="1"/>
  <c r="BH74" i="1" s="1"/>
  <c r="BH75" i="1" s="1"/>
  <c r="BH76" i="1" s="1"/>
  <c r="BH77" i="1" s="1"/>
  <c r="BH78" i="1" s="1"/>
  <c r="BH79" i="1" s="1"/>
  <c r="BH80" i="1" s="1"/>
  <c r="BH81" i="1" s="1"/>
  <c r="BH82" i="1" s="1"/>
  <c r="BH83" i="1" s="1"/>
  <c r="BH84" i="1" s="1"/>
  <c r="BH85" i="1" s="1"/>
  <c r="BH86" i="1" s="1"/>
  <c r="BH87" i="1" s="1"/>
  <c r="BH88" i="1" s="1"/>
  <c r="BH89" i="1" s="1"/>
  <c r="BH90" i="1" s="1"/>
  <c r="BH91" i="1" s="1"/>
  <c r="BH92" i="1" s="1"/>
  <c r="BH93" i="1" s="1"/>
  <c r="BH94" i="1" s="1"/>
  <c r="BH95" i="1" s="1"/>
  <c r="BH96" i="1" s="1"/>
  <c r="BH97" i="1" s="1"/>
  <c r="BH98" i="1" s="1"/>
  <c r="BH99" i="1" s="1"/>
  <c r="BH100" i="1" s="1"/>
  <c r="BH101" i="1" s="1"/>
  <c r="BH102" i="1" s="1"/>
  <c r="BH103" i="1" s="1"/>
  <c r="BH104" i="1" s="1"/>
  <c r="BH105" i="1" s="1"/>
  <c r="BH106" i="1" s="1"/>
  <c r="BH107" i="1" s="1"/>
  <c r="BH108" i="1" s="1"/>
  <c r="BH109" i="1" s="1"/>
  <c r="BH110" i="1" s="1"/>
  <c r="BH111" i="1" s="1"/>
  <c r="BH112" i="1" s="1"/>
  <c r="BH113" i="1" s="1"/>
  <c r="BH114" i="1" s="1"/>
  <c r="BH115" i="1" s="1"/>
  <c r="BH116" i="1" s="1"/>
  <c r="BH117" i="1" s="1"/>
  <c r="BH118" i="1" s="1"/>
  <c r="BH119" i="1" s="1"/>
  <c r="BH120" i="1" s="1"/>
  <c r="BH121" i="1" s="1"/>
  <c r="BH122" i="1" s="1"/>
  <c r="BH123" i="1" s="1"/>
  <c r="BH124" i="1" s="1"/>
  <c r="BH125" i="1" s="1"/>
  <c r="BH126" i="1" s="1"/>
  <c r="BH127" i="1" s="1"/>
  <c r="BH128" i="1" s="1"/>
  <c r="BH129" i="1" s="1"/>
  <c r="BH130" i="1" s="1"/>
  <c r="BH131" i="1" s="1"/>
  <c r="BH132" i="1" s="1"/>
  <c r="BH133" i="1" s="1"/>
  <c r="BH134" i="1" s="1"/>
  <c r="BH135" i="1" s="1"/>
  <c r="BH136" i="1" s="1"/>
  <c r="BH137" i="1" s="1"/>
  <c r="BH138" i="1" s="1"/>
  <c r="BH139" i="1" s="1"/>
  <c r="BH140" i="1" s="1"/>
  <c r="BH141" i="1" s="1"/>
  <c r="BH142" i="1" s="1"/>
  <c r="AI13" i="1"/>
  <c r="AH13" i="1"/>
  <c r="AG13" i="1"/>
  <c r="AV13" i="1" s="1"/>
  <c r="AI12" i="1"/>
  <c r="AH12" i="1"/>
  <c r="AG12" i="1"/>
  <c r="AV12" i="1" s="1"/>
  <c r="AI11" i="1"/>
  <c r="AH11" i="1"/>
  <c r="AG11" i="1"/>
  <c r="AV11" i="1" s="1"/>
  <c r="AI10" i="1"/>
  <c r="AH10" i="1"/>
  <c r="AG10" i="1"/>
  <c r="AV10" i="1" s="1"/>
  <c r="AI9" i="1"/>
  <c r="AH9" i="1"/>
  <c r="AG9" i="1"/>
  <c r="AV9" i="1" s="1"/>
  <c r="AI8" i="1"/>
  <c r="AH8" i="1"/>
  <c r="AG8" i="1"/>
  <c r="AV8" i="1" s="1"/>
  <c r="AI7" i="1"/>
  <c r="AH7" i="1"/>
  <c r="AG7" i="1"/>
  <c r="Z7" i="1"/>
  <c r="Z5" i="1" s="1"/>
  <c r="V63" i="9" l="1"/>
  <c r="Z4" i="1"/>
  <c r="AW8" i="1"/>
  <c r="AX8" i="1" s="1"/>
  <c r="AY8" i="1" s="1"/>
  <c r="AZ8" i="1" s="1"/>
  <c r="BA8" i="1" s="1"/>
  <c r="BB8" i="1" s="1"/>
  <c r="BC8" i="1" s="1"/>
  <c r="BD8" i="1" s="1"/>
  <c r="BE8" i="1" s="1"/>
  <c r="AW13" i="1"/>
  <c r="AX13" i="1" s="1"/>
  <c r="AY13" i="1" s="1"/>
  <c r="AZ13" i="1" s="1"/>
  <c r="BA13" i="1" s="1"/>
  <c r="BB13" i="1" s="1"/>
  <c r="BC13" i="1" s="1"/>
  <c r="BD13" i="1" s="1"/>
  <c r="BE13" i="1" s="1"/>
  <c r="AW10" i="1"/>
  <c r="AX10" i="1" s="1"/>
  <c r="AY10" i="1" s="1"/>
  <c r="AZ10" i="1" s="1"/>
  <c r="BA10" i="1" s="1"/>
  <c r="BB10" i="1" s="1"/>
  <c r="BC10" i="1" s="1"/>
  <c r="BD10" i="1" s="1"/>
  <c r="BE10" i="1" s="1"/>
  <c r="AW9" i="1"/>
  <c r="AX9" i="1" s="1"/>
  <c r="AY9" i="1" s="1"/>
  <c r="AZ9" i="1" s="1"/>
  <c r="BA9" i="1" s="1"/>
  <c r="BB9" i="1" s="1"/>
  <c r="BC9" i="1" s="1"/>
  <c r="BD9" i="1" s="1"/>
  <c r="BE9" i="1" s="1"/>
  <c r="AW12" i="1"/>
  <c r="AX12" i="1" s="1"/>
  <c r="AY12" i="1" s="1"/>
  <c r="AZ12" i="1" s="1"/>
  <c r="BA12" i="1" s="1"/>
  <c r="BB12" i="1" s="1"/>
  <c r="BC12" i="1" s="1"/>
  <c r="BD12" i="1" s="1"/>
  <c r="BE12" i="1" s="1"/>
  <c r="AW11" i="1"/>
  <c r="AX11" i="1" s="1"/>
  <c r="AY11" i="1" s="1"/>
  <c r="AZ11" i="1" s="1"/>
  <c r="BA11" i="1" s="1"/>
  <c r="BB11" i="1" s="1"/>
  <c r="BC11" i="1" s="1"/>
  <c r="BD11" i="1" s="1"/>
  <c r="BE11" i="1" s="1"/>
  <c r="BH143" i="1"/>
  <c r="AV7" i="1"/>
  <c r="AW7" i="1" s="1"/>
  <c r="N11" i="13"/>
  <c r="O11" i="13"/>
  <c r="O14" i="13" s="1"/>
  <c r="O15" i="13" s="1"/>
  <c r="P11" i="13"/>
  <c r="P14" i="13" s="1"/>
  <c r="P15" i="13" s="1"/>
  <c r="AH5" i="1"/>
  <c r="AJ5" i="1"/>
  <c r="AI5" i="1"/>
  <c r="AL5" i="1"/>
  <c r="AK5" i="1"/>
  <c r="AG5" i="1"/>
  <c r="BH144" i="1" l="1"/>
  <c r="AX7" i="1"/>
  <c r="X20" i="4"/>
  <c r="X18" i="4"/>
  <c r="X17" i="4"/>
  <c r="X16" i="4"/>
  <c r="X15" i="4"/>
  <c r="X14" i="4"/>
  <c r="X12" i="4"/>
  <c r="X11" i="4"/>
  <c r="X10" i="4"/>
  <c r="X9" i="4"/>
  <c r="X7" i="4"/>
  <c r="X6" i="4"/>
  <c r="X5" i="4"/>
  <c r="X4" i="4"/>
  <c r="X3" i="4"/>
  <c r="W8" i="4"/>
  <c r="X8" i="4" s="1"/>
  <c r="V8" i="4"/>
  <c r="W19" i="4"/>
  <c r="X19" i="4" s="1"/>
  <c r="W13" i="4"/>
  <c r="X13" i="4" s="1"/>
  <c r="V19" i="4"/>
  <c r="V13" i="4"/>
  <c r="S20" i="4"/>
  <c r="S19" i="4"/>
  <c r="S18" i="4"/>
  <c r="S17" i="4"/>
  <c r="S16" i="4"/>
  <c r="S15" i="4"/>
  <c r="S14" i="4"/>
  <c r="S13" i="4"/>
  <c r="S12" i="4"/>
  <c r="S11" i="4"/>
  <c r="S10" i="4"/>
  <c r="S9" i="4"/>
  <c r="S8" i="4"/>
  <c r="S7" i="4"/>
  <c r="S6" i="4"/>
  <c r="S5" i="4"/>
  <c r="S4" i="4"/>
  <c r="S3" i="4"/>
  <c r="BH145" i="1" l="1"/>
  <c r="AY7" i="1"/>
  <c r="X1" i="4"/>
  <c r="W1" i="4"/>
  <c r="BH146" i="1" l="1"/>
  <c r="AZ7" i="1"/>
  <c r="R106" i="1"/>
  <c r="R81" i="1"/>
  <c r="F26" i="13" s="1"/>
  <c r="R89" i="1"/>
  <c r="R87" i="1"/>
  <c r="R103" i="1"/>
  <c r="AA10" i="1" l="1"/>
  <c r="BH147" i="1"/>
  <c r="G26" i="13"/>
  <c r="H26" i="13"/>
  <c r="I26" i="13" s="1"/>
  <c r="BA7" i="1"/>
  <c r="L178" i="1"/>
  <c r="K178" i="1"/>
  <c r="B178" i="1"/>
  <c r="L177" i="1"/>
  <c r="K177" i="1"/>
  <c r="B177" i="1"/>
  <c r="L176" i="1"/>
  <c r="K176" i="1"/>
  <c r="B176" i="1"/>
  <c r="L175" i="1"/>
  <c r="K175" i="1"/>
  <c r="B175" i="1"/>
  <c r="L174" i="1"/>
  <c r="K174" i="1"/>
  <c r="B174" i="1"/>
  <c r="L173" i="1"/>
  <c r="K173" i="1"/>
  <c r="B173" i="1"/>
  <c r="L172" i="1"/>
  <c r="K172" i="1"/>
  <c r="B172" i="1"/>
  <c r="L171" i="1"/>
  <c r="K171" i="1"/>
  <c r="B171" i="1"/>
  <c r="L170" i="1"/>
  <c r="K170" i="1"/>
  <c r="B170" i="1"/>
  <c r="L169" i="1"/>
  <c r="K169" i="1"/>
  <c r="B169" i="1"/>
  <c r="L168" i="1"/>
  <c r="K168" i="1"/>
  <c r="B168" i="1"/>
  <c r="L167" i="1"/>
  <c r="K167" i="1"/>
  <c r="B167" i="1"/>
  <c r="L166" i="1"/>
  <c r="K166" i="1"/>
  <c r="B166" i="1"/>
  <c r="L165" i="1"/>
  <c r="K165" i="1"/>
  <c r="B165" i="1"/>
  <c r="L164" i="1"/>
  <c r="K164" i="1"/>
  <c r="B164" i="1"/>
  <c r="L163" i="1"/>
  <c r="K163" i="1"/>
  <c r="B163" i="1"/>
  <c r="L162" i="1"/>
  <c r="K162" i="1"/>
  <c r="B162" i="1"/>
  <c r="L161" i="1"/>
  <c r="K161" i="1"/>
  <c r="B161" i="1"/>
  <c r="L160" i="1"/>
  <c r="K160" i="1"/>
  <c r="B160" i="1"/>
  <c r="L159" i="1"/>
  <c r="K159" i="1"/>
  <c r="B159" i="1"/>
  <c r="L158" i="1"/>
  <c r="K158" i="1"/>
  <c r="B158" i="1"/>
  <c r="L157" i="1"/>
  <c r="K157" i="1"/>
  <c r="B157" i="1"/>
  <c r="L156" i="1"/>
  <c r="K156" i="1"/>
  <c r="B156" i="1"/>
  <c r="L155" i="1"/>
  <c r="K155" i="1"/>
  <c r="B155" i="1"/>
  <c r="L154" i="1"/>
  <c r="K154" i="1"/>
  <c r="B154" i="1"/>
  <c r="L153" i="1"/>
  <c r="K153" i="1"/>
  <c r="L152" i="1"/>
  <c r="K152" i="1"/>
  <c r="B152" i="1"/>
  <c r="L151" i="1"/>
  <c r="K151" i="1"/>
  <c r="B151" i="1"/>
  <c r="L150" i="1"/>
  <c r="K150" i="1"/>
  <c r="B150" i="1"/>
  <c r="L149" i="1"/>
  <c r="K149" i="1"/>
  <c r="B149" i="1"/>
  <c r="L148" i="1"/>
  <c r="K148" i="1"/>
  <c r="B148" i="1"/>
  <c r="L146" i="1"/>
  <c r="K146" i="1"/>
  <c r="B146" i="1"/>
  <c r="L145" i="1"/>
  <c r="K145" i="1"/>
  <c r="B145" i="1"/>
  <c r="L144" i="1"/>
  <c r="K144" i="1"/>
  <c r="B144" i="1"/>
  <c r="L142" i="1"/>
  <c r="K142" i="1"/>
  <c r="B142" i="1"/>
  <c r="L141" i="1"/>
  <c r="K141" i="1"/>
  <c r="B141" i="1"/>
  <c r="L140" i="1"/>
  <c r="K140" i="1"/>
  <c r="B140" i="1"/>
  <c r="L139" i="1"/>
  <c r="K139" i="1"/>
  <c r="B139" i="1"/>
  <c r="L138" i="1"/>
  <c r="K138" i="1"/>
  <c r="B138" i="1"/>
  <c r="L137" i="1"/>
  <c r="K137" i="1"/>
  <c r="B137" i="1"/>
  <c r="L136" i="1"/>
  <c r="K136" i="1"/>
  <c r="B136" i="1"/>
  <c r="L135" i="1"/>
  <c r="K135" i="1"/>
  <c r="B135" i="1"/>
  <c r="L134" i="1"/>
  <c r="K134" i="1"/>
  <c r="B134" i="1"/>
  <c r="L133" i="1"/>
  <c r="K133" i="1"/>
  <c r="B133" i="1"/>
  <c r="L132" i="1"/>
  <c r="K132" i="1"/>
  <c r="B132" i="1"/>
  <c r="L131" i="1"/>
  <c r="K131" i="1"/>
  <c r="B131" i="1"/>
  <c r="L130" i="1"/>
  <c r="K130" i="1"/>
  <c r="B130" i="1"/>
  <c r="G15" i="13"/>
  <c r="D14" i="13"/>
  <c r="E13" i="13"/>
  <c r="E12" i="13"/>
  <c r="E10" i="13"/>
  <c r="E9" i="13"/>
  <c r="E8" i="13"/>
  <c r="E7" i="13"/>
  <c r="Y42" i="13"/>
  <c r="N42" i="13"/>
  <c r="G42" i="13"/>
  <c r="G43" i="13" s="1"/>
  <c r="D42" i="13"/>
  <c r="Z41" i="13"/>
  <c r="E41" i="13"/>
  <c r="Z40" i="13"/>
  <c r="E40" i="13"/>
  <c r="Z39" i="13"/>
  <c r="Z38" i="13"/>
  <c r="E38" i="13"/>
  <c r="Z37" i="13"/>
  <c r="E37" i="13"/>
  <c r="Z36" i="13"/>
  <c r="E36" i="13"/>
  <c r="Z35" i="13"/>
  <c r="E35" i="13"/>
  <c r="AA35" i="13" s="1"/>
  <c r="AA11" i="1" l="1"/>
  <c r="AC10" i="1"/>
  <c r="AD10" i="1" s="1"/>
  <c r="AQ10" i="1" s="1"/>
  <c r="AR10" i="1" s="1"/>
  <c r="AE10" i="1"/>
  <c r="BH148" i="1"/>
  <c r="AA12" i="1"/>
  <c r="AA36" i="13"/>
  <c r="AB36" i="13" s="1"/>
  <c r="AA40" i="13"/>
  <c r="AB40" i="13" s="1"/>
  <c r="AA37" i="13"/>
  <c r="AB37" i="13" s="1"/>
  <c r="AA38" i="13"/>
  <c r="AB38" i="13" s="1"/>
  <c r="Z42" i="13"/>
  <c r="AA41" i="13"/>
  <c r="AB41" i="13" s="1"/>
  <c r="AV5" i="1"/>
  <c r="BB7" i="1"/>
  <c r="AB35" i="13"/>
  <c r="BF10" i="1" l="1"/>
  <c r="AA8" i="1"/>
  <c r="AC11" i="1"/>
  <c r="AD11" i="1" s="1"/>
  <c r="AQ11" i="1" s="1"/>
  <c r="AR11" i="1" s="1"/>
  <c r="AE11" i="1"/>
  <c r="AC12" i="1"/>
  <c r="AD12" i="1" s="1"/>
  <c r="AQ12" i="1" s="1"/>
  <c r="AR12" i="1" s="1"/>
  <c r="AE12" i="1"/>
  <c r="BH149" i="1"/>
  <c r="AA13" i="1"/>
  <c r="AW5" i="1"/>
  <c r="BC7" i="1"/>
  <c r="BG10" i="1" l="1"/>
  <c r="BF11" i="1"/>
  <c r="BF12" i="1"/>
  <c r="AE8" i="1"/>
  <c r="AC8" i="1"/>
  <c r="AD8" i="1" s="1"/>
  <c r="AQ8" i="1" s="1"/>
  <c r="AR8" i="1" s="1"/>
  <c r="AA9" i="1"/>
  <c r="AE13" i="1"/>
  <c r="AC13" i="1"/>
  <c r="AD13" i="1" s="1"/>
  <c r="AQ13" i="1" s="1"/>
  <c r="AR13" i="1" s="1"/>
  <c r="AS10" i="1"/>
  <c r="AT10" i="1" s="1"/>
  <c r="BH150" i="1"/>
  <c r="BD7" i="1"/>
  <c r="AA7" i="1" s="1"/>
  <c r="AX5" i="1"/>
  <c r="BF8" i="1" l="1"/>
  <c r="BF13" i="1"/>
  <c r="AS11" i="1"/>
  <c r="AT11" i="1" s="1"/>
  <c r="BG11" i="1"/>
  <c r="AS12" i="1"/>
  <c r="AT12" i="1" s="1"/>
  <c r="BG12" i="1"/>
  <c r="AE9" i="1"/>
  <c r="AC9" i="1"/>
  <c r="AD9" i="1" s="1"/>
  <c r="AQ9" i="1" s="1"/>
  <c r="AR9" i="1" s="1"/>
  <c r="AE7" i="1"/>
  <c r="AC7" i="1"/>
  <c r="AD7" i="1" s="1"/>
  <c r="AQ7" i="1" s="1"/>
  <c r="AR7" i="1" s="1"/>
  <c r="BH151" i="1"/>
  <c r="AA15" i="1"/>
  <c r="AA14" i="1"/>
  <c r="AY5" i="1"/>
  <c r="BE7" i="1"/>
  <c r="BF9" i="1" l="1"/>
  <c r="AS8" i="1"/>
  <c r="AT8" i="1" s="1"/>
  <c r="BG8" i="1"/>
  <c r="AS13" i="1"/>
  <c r="AT13" i="1" s="1"/>
  <c r="BG13" i="1"/>
  <c r="AE15" i="1"/>
  <c r="AC15" i="1"/>
  <c r="AD15" i="1" s="1"/>
  <c r="AQ15" i="1" s="1"/>
  <c r="AR15" i="1" s="1"/>
  <c r="AC14" i="1"/>
  <c r="AD14" i="1" s="1"/>
  <c r="AQ14" i="1" s="1"/>
  <c r="AR14" i="1" s="1"/>
  <c r="AE14" i="1"/>
  <c r="BH152" i="1"/>
  <c r="AA16" i="1"/>
  <c r="AS7" i="1"/>
  <c r="BF7" i="1"/>
  <c r="AZ5" i="1"/>
  <c r="BF15" i="1" l="1"/>
  <c r="BF14" i="1"/>
  <c r="AS9" i="1"/>
  <c r="AT9" i="1" s="1"/>
  <c r="BG9" i="1"/>
  <c r="AE16" i="1"/>
  <c r="AC16" i="1"/>
  <c r="AD16" i="1" s="1"/>
  <c r="AQ16" i="1" s="1"/>
  <c r="AR16" i="1" s="1"/>
  <c r="BH153" i="1"/>
  <c r="AA17" i="1"/>
  <c r="AT7" i="1"/>
  <c r="BG7" i="1"/>
  <c r="BA5" i="1"/>
  <c r="D1" i="6"/>
  <c r="N1" i="4"/>
  <c r="BF16" i="1" l="1"/>
  <c r="AS15" i="1"/>
  <c r="AT15" i="1" s="1"/>
  <c r="BG15" i="1"/>
  <c r="AS14" i="1"/>
  <c r="AT14" i="1" s="1"/>
  <c r="BG14" i="1"/>
  <c r="AE17" i="1"/>
  <c r="AC17" i="1"/>
  <c r="AD17" i="1" s="1"/>
  <c r="AQ17" i="1" s="1"/>
  <c r="AR17" i="1" s="1"/>
  <c r="BH154" i="1"/>
  <c r="L129" i="1"/>
  <c r="K129" i="1"/>
  <c r="B129" i="1"/>
  <c r="L128" i="1"/>
  <c r="K128" i="1"/>
  <c r="B128" i="1"/>
  <c r="L127" i="1"/>
  <c r="K127" i="1"/>
  <c r="B127" i="1"/>
  <c r="L126" i="1"/>
  <c r="K126" i="1"/>
  <c r="B126" i="1"/>
  <c r="BF17" i="1" l="1"/>
  <c r="BG17" i="1" s="1"/>
  <c r="AS16" i="1"/>
  <c r="AT16" i="1" s="1"/>
  <c r="BG16" i="1"/>
  <c r="BH155" i="1"/>
  <c r="AA19" i="1"/>
  <c r="AA18" i="1"/>
  <c r="K3" i="7"/>
  <c r="AS17" i="1" l="1"/>
  <c r="AT17" i="1" s="1"/>
  <c r="AC19" i="1"/>
  <c r="AD19" i="1" s="1"/>
  <c r="AQ19" i="1" s="1"/>
  <c r="AR19" i="1" s="1"/>
  <c r="AE19" i="1"/>
  <c r="AE18" i="1"/>
  <c r="AC18" i="1"/>
  <c r="AD18" i="1" s="1"/>
  <c r="AQ18" i="1" s="1"/>
  <c r="AR18" i="1" s="1"/>
  <c r="BH156" i="1"/>
  <c r="AA20" i="1"/>
  <c r="BF18" i="1" l="1"/>
  <c r="AS19" i="1"/>
  <c r="AT19" i="1" s="1"/>
  <c r="BF19" i="1"/>
  <c r="AE20" i="1"/>
  <c r="AC20" i="1"/>
  <c r="AD20" i="1" s="1"/>
  <c r="AQ20" i="1" s="1"/>
  <c r="AR20" i="1" s="1"/>
  <c r="BH157" i="1"/>
  <c r="BF20" i="1" l="1"/>
  <c r="BG19" i="1"/>
  <c r="AS18" i="1"/>
  <c r="AT18" i="1" s="1"/>
  <c r="BG18" i="1"/>
  <c r="BH158" i="1"/>
  <c r="AA22" i="1"/>
  <c r="AA21" i="1"/>
  <c r="L29" i="7"/>
  <c r="L28" i="7"/>
  <c r="L27" i="7"/>
  <c r="L26" i="7"/>
  <c r="L25" i="7"/>
  <c r="L24" i="7"/>
  <c r="L23" i="7"/>
  <c r="L22" i="7"/>
  <c r="L21" i="7"/>
  <c r="L20" i="7"/>
  <c r="L19" i="7"/>
  <c r="L18" i="7"/>
  <c r="L17" i="7"/>
  <c r="L16" i="7"/>
  <c r="L15" i="7"/>
  <c r="L14" i="7"/>
  <c r="L13" i="7"/>
  <c r="L12" i="7"/>
  <c r="L11" i="7"/>
  <c r="L10" i="7"/>
  <c r="L9" i="7"/>
  <c r="L8" i="7"/>
  <c r="L7" i="7"/>
  <c r="AS20" i="1" l="1"/>
  <c r="AT20" i="1" s="1"/>
  <c r="BG20" i="1"/>
  <c r="AE22" i="1"/>
  <c r="AC22" i="1"/>
  <c r="AD22" i="1" s="1"/>
  <c r="AQ22" i="1" s="1"/>
  <c r="AR22" i="1" s="1"/>
  <c r="AC21" i="1"/>
  <c r="AD21" i="1" s="1"/>
  <c r="AQ21" i="1" s="1"/>
  <c r="AR21" i="1" s="1"/>
  <c r="AE21" i="1"/>
  <c r="BH159" i="1"/>
  <c r="L6" i="7"/>
  <c r="L3" i="7" s="1"/>
  <c r="AS22" i="1" l="1"/>
  <c r="AT22" i="1" s="1"/>
  <c r="BF22" i="1"/>
  <c r="AS21" i="1"/>
  <c r="AT21" i="1" s="1"/>
  <c r="BF21" i="1"/>
  <c r="BH160" i="1"/>
  <c r="AA24" i="1"/>
  <c r="AA23" i="1"/>
  <c r="BG22" i="1" l="1"/>
  <c r="BG21" i="1"/>
  <c r="AE24" i="1"/>
  <c r="AC24" i="1"/>
  <c r="AD24" i="1" s="1"/>
  <c r="AQ24" i="1" s="1"/>
  <c r="AR24" i="1" s="1"/>
  <c r="AE23" i="1"/>
  <c r="AC23" i="1"/>
  <c r="AD23" i="1" s="1"/>
  <c r="AQ23" i="1" s="1"/>
  <c r="AR23" i="1" s="1"/>
  <c r="BH161" i="1"/>
  <c r="AA25" i="1"/>
  <c r="BF24" i="1" l="1"/>
  <c r="AS23" i="1"/>
  <c r="AT23" i="1" s="1"/>
  <c r="BF23" i="1"/>
  <c r="AE25" i="1"/>
  <c r="AC25" i="1"/>
  <c r="AD25" i="1" s="1"/>
  <c r="AQ25" i="1" s="1"/>
  <c r="AR25" i="1" s="1"/>
  <c r="BH162" i="1"/>
  <c r="AA26" i="1"/>
  <c r="L106" i="1"/>
  <c r="K106" i="1"/>
  <c r="B106" i="1"/>
  <c r="L105" i="1"/>
  <c r="K105" i="1"/>
  <c r="B105" i="1"/>
  <c r="L104" i="1"/>
  <c r="K104" i="1"/>
  <c r="L103" i="1"/>
  <c r="K103" i="1"/>
  <c r="L102" i="1"/>
  <c r="K102" i="1"/>
  <c r="BF25" i="1" l="1"/>
  <c r="BG23" i="1"/>
  <c r="AS24" i="1"/>
  <c r="AT24" i="1" s="1"/>
  <c r="BG24" i="1"/>
  <c r="AC26" i="1"/>
  <c r="AD26" i="1" s="1"/>
  <c r="AQ26" i="1" s="1"/>
  <c r="AR26" i="1" s="1"/>
  <c r="AE26" i="1"/>
  <c r="BH163" i="1"/>
  <c r="AA27" i="1"/>
  <c r="L125" i="1"/>
  <c r="K125" i="1"/>
  <c r="B125" i="1"/>
  <c r="L124" i="1"/>
  <c r="K124" i="1"/>
  <c r="B124" i="1"/>
  <c r="L123" i="1"/>
  <c r="K123" i="1"/>
  <c r="B123" i="1"/>
  <c r="L122" i="1"/>
  <c r="K122" i="1"/>
  <c r="B122" i="1"/>
  <c r="L121" i="1"/>
  <c r="K121" i="1"/>
  <c r="B121" i="1"/>
  <c r="L120" i="1"/>
  <c r="K120" i="1"/>
  <c r="B120" i="1"/>
  <c r="L119" i="1"/>
  <c r="K119" i="1"/>
  <c r="B119" i="1"/>
  <c r="L118" i="1"/>
  <c r="K118" i="1"/>
  <c r="B118" i="1"/>
  <c r="L117" i="1"/>
  <c r="K117" i="1"/>
  <c r="B117" i="1"/>
  <c r="L116" i="1"/>
  <c r="K116" i="1"/>
  <c r="B116" i="1"/>
  <c r="L115" i="1"/>
  <c r="K115" i="1"/>
  <c r="B115" i="1"/>
  <c r="L114" i="1"/>
  <c r="K114" i="1"/>
  <c r="B114" i="1"/>
  <c r="L113" i="1"/>
  <c r="K113" i="1"/>
  <c r="B113" i="1"/>
  <c r="L112" i="1"/>
  <c r="K112" i="1"/>
  <c r="B112" i="1"/>
  <c r="L111" i="1"/>
  <c r="K111" i="1"/>
  <c r="B111" i="1"/>
  <c r="L110" i="1"/>
  <c r="K110" i="1"/>
  <c r="B110" i="1"/>
  <c r="L109" i="1"/>
  <c r="K109" i="1"/>
  <c r="B109" i="1"/>
  <c r="L108" i="1"/>
  <c r="K108" i="1"/>
  <c r="B108" i="1"/>
  <c r="L107" i="1"/>
  <c r="K107" i="1"/>
  <c r="B107" i="1"/>
  <c r="B104" i="1"/>
  <c r="B103" i="1"/>
  <c r="B102" i="1"/>
  <c r="Q47" i="3"/>
  <c r="R47" i="3" s="1"/>
  <c r="Q46" i="3"/>
  <c r="R46" i="3" s="1"/>
  <c r="Q45" i="3"/>
  <c r="R45" i="3" s="1"/>
  <c r="Q44" i="3"/>
  <c r="R44" i="3" s="1"/>
  <c r="Q43" i="3"/>
  <c r="R43" i="3" s="1"/>
  <c r="Q42" i="3"/>
  <c r="R42" i="3" s="1"/>
  <c r="Q41" i="3"/>
  <c r="R41" i="3" s="1"/>
  <c r="Q40" i="3"/>
  <c r="R40" i="3" s="1"/>
  <c r="Q39" i="3"/>
  <c r="R39" i="3" s="1"/>
  <c r="Q38" i="3"/>
  <c r="R38" i="3" s="1"/>
  <c r="Q37" i="3"/>
  <c r="R37" i="3" s="1"/>
  <c r="Q36" i="3"/>
  <c r="R36" i="3" s="1"/>
  <c r="Q35" i="3"/>
  <c r="R35" i="3" s="1"/>
  <c r="Q34" i="3"/>
  <c r="R34" i="3" s="1"/>
  <c r="Q33" i="3"/>
  <c r="R33" i="3" s="1"/>
  <c r="Q32" i="3"/>
  <c r="R32" i="3" s="1"/>
  <c r="Q31" i="3"/>
  <c r="R31" i="3" s="1"/>
  <c r="Q30" i="3"/>
  <c r="R30" i="3" s="1"/>
  <c r="Q29" i="3"/>
  <c r="R29" i="3" s="1"/>
  <c r="Q28" i="3"/>
  <c r="R28" i="3" s="1"/>
  <c r="Q27" i="3"/>
  <c r="R27" i="3" s="1"/>
  <c r="Q26" i="3"/>
  <c r="R26" i="3" s="1"/>
  <c r="Q25" i="3"/>
  <c r="R25" i="3" s="1"/>
  <c r="Q24" i="3"/>
  <c r="R24" i="3" s="1"/>
  <c r="Q23" i="3"/>
  <c r="R23" i="3" s="1"/>
  <c r="Q22" i="3"/>
  <c r="R22" i="3" s="1"/>
  <c r="Q21" i="3"/>
  <c r="R21" i="3" s="1"/>
  <c r="Q20" i="3"/>
  <c r="R20" i="3" s="1"/>
  <c r="Q19" i="3"/>
  <c r="R19" i="3" s="1"/>
  <c r="AS25" i="1" l="1"/>
  <c r="AT25" i="1" s="1"/>
  <c r="BG25" i="1"/>
  <c r="AS26" i="1"/>
  <c r="AT26" i="1" s="1"/>
  <c r="BF26" i="1"/>
  <c r="AE27" i="1"/>
  <c r="AC27" i="1"/>
  <c r="AD27" i="1" s="1"/>
  <c r="AQ27" i="1" s="1"/>
  <c r="AR27" i="1" s="1"/>
  <c r="BH164" i="1"/>
  <c r="AA28" i="1"/>
  <c r="BF27" i="1" l="1"/>
  <c r="BG26" i="1"/>
  <c r="AC28" i="1"/>
  <c r="AD28" i="1" s="1"/>
  <c r="AQ28" i="1" s="1"/>
  <c r="AR28" i="1" s="1"/>
  <c r="AE28" i="1"/>
  <c r="BH165" i="1"/>
  <c r="AA29" i="1"/>
  <c r="BF28" i="1" l="1"/>
  <c r="AS27" i="1"/>
  <c r="AT27" i="1" s="1"/>
  <c r="BG27" i="1"/>
  <c r="AC29" i="1"/>
  <c r="AD29" i="1" s="1"/>
  <c r="AQ29" i="1" s="1"/>
  <c r="AR29" i="1" s="1"/>
  <c r="AE29" i="1"/>
  <c r="BH166" i="1"/>
  <c r="AA30" i="1"/>
  <c r="BF29" i="1" l="1"/>
  <c r="AS28" i="1"/>
  <c r="AT28" i="1" s="1"/>
  <c r="BG28" i="1"/>
  <c r="AE30" i="1"/>
  <c r="AC30" i="1"/>
  <c r="AD30" i="1" s="1"/>
  <c r="AQ30" i="1" s="1"/>
  <c r="AR30" i="1" s="1"/>
  <c r="BH167" i="1"/>
  <c r="AA31" i="1"/>
  <c r="G78" i="9"/>
  <c r="W78" i="9" s="1"/>
  <c r="G77" i="9"/>
  <c r="W77" i="9" s="1"/>
  <c r="G76" i="9"/>
  <c r="W76" i="9" s="1"/>
  <c r="G75" i="9"/>
  <c r="W75" i="9" s="1"/>
  <c r="G74" i="9"/>
  <c r="W74" i="9" s="1"/>
  <c r="G73" i="9"/>
  <c r="W73" i="9" s="1"/>
  <c r="G72" i="9"/>
  <c r="W72" i="9" s="1"/>
  <c r="G71" i="9"/>
  <c r="W71" i="9" s="1"/>
  <c r="G70" i="9"/>
  <c r="W70" i="9" s="1"/>
  <c r="G69" i="9"/>
  <c r="W69" i="9" s="1"/>
  <c r="G68" i="9"/>
  <c r="W68" i="9" s="1"/>
  <c r="G67" i="9"/>
  <c r="W67" i="9" s="1"/>
  <c r="G66" i="9"/>
  <c r="W66" i="9" s="1"/>
  <c r="G65" i="9"/>
  <c r="W65" i="9" s="1"/>
  <c r="G64" i="9"/>
  <c r="W64" i="9" s="1"/>
  <c r="G63" i="9"/>
  <c r="W63" i="9" s="1"/>
  <c r="G62" i="9"/>
  <c r="W62" i="9" s="1"/>
  <c r="G61" i="9"/>
  <c r="W61" i="9" s="1"/>
  <c r="F60" i="9"/>
  <c r="G60" i="9" s="1"/>
  <c r="W60" i="9" s="1"/>
  <c r="F59" i="9"/>
  <c r="G59" i="9" s="1"/>
  <c r="W59" i="9" s="1"/>
  <c r="G58" i="9"/>
  <c r="W58" i="9" s="1"/>
  <c r="G57" i="9"/>
  <c r="W57" i="9" s="1"/>
  <c r="G56" i="9"/>
  <c r="W56" i="9" s="1"/>
  <c r="G55" i="9"/>
  <c r="W55" i="9" s="1"/>
  <c r="G54" i="9"/>
  <c r="W54" i="9" s="1"/>
  <c r="G53" i="9"/>
  <c r="W53" i="9" s="1"/>
  <c r="G52" i="9"/>
  <c r="W52" i="9" s="1"/>
  <c r="F51" i="9"/>
  <c r="G51" i="9" s="1"/>
  <c r="W51" i="9" s="1"/>
  <c r="G50" i="9"/>
  <c r="W50" i="9" s="1"/>
  <c r="G49" i="9"/>
  <c r="W49" i="9" s="1"/>
  <c r="G48" i="9"/>
  <c r="W48" i="9" s="1"/>
  <c r="G47" i="9"/>
  <c r="W47" i="9" s="1"/>
  <c r="G46" i="9"/>
  <c r="W46" i="9" s="1"/>
  <c r="G45" i="9"/>
  <c r="W45" i="9" s="1"/>
  <c r="F44" i="9"/>
  <c r="G44" i="9" s="1"/>
  <c r="W44" i="9" s="1"/>
  <c r="F43" i="9"/>
  <c r="G43" i="9" s="1"/>
  <c r="W43" i="9" s="1"/>
  <c r="G42" i="9"/>
  <c r="W42" i="9" s="1"/>
  <c r="G41" i="9"/>
  <c r="W41" i="9" s="1"/>
  <c r="F40" i="9"/>
  <c r="G40" i="9" s="1"/>
  <c r="W40" i="9" s="1"/>
  <c r="G39" i="9"/>
  <c r="W39" i="9" s="1"/>
  <c r="F38" i="9"/>
  <c r="G38" i="9" s="1"/>
  <c r="W38" i="9" s="1"/>
  <c r="G37" i="9"/>
  <c r="W37" i="9" s="1"/>
  <c r="G36" i="9"/>
  <c r="W36" i="9" s="1"/>
  <c r="G35" i="9"/>
  <c r="W35" i="9" s="1"/>
  <c r="G34" i="9"/>
  <c r="W34" i="9" s="1"/>
  <c r="G32" i="9"/>
  <c r="W32" i="9" s="1"/>
  <c r="G31" i="9"/>
  <c r="W31" i="9" s="1"/>
  <c r="G30" i="9"/>
  <c r="W30" i="9" s="1"/>
  <c r="G29" i="9"/>
  <c r="W29" i="9" s="1"/>
  <c r="G28" i="9"/>
  <c r="W28" i="9" s="1"/>
  <c r="G27" i="9"/>
  <c r="W27" i="9" s="1"/>
  <c r="G26" i="9"/>
  <c r="W26" i="9" s="1"/>
  <c r="F25" i="9"/>
  <c r="G25" i="9" s="1"/>
  <c r="W25" i="9" s="1"/>
  <c r="G23" i="9"/>
  <c r="W23" i="9" s="1"/>
  <c r="G21" i="9"/>
  <c r="W21" i="9" s="1"/>
  <c r="G20" i="9"/>
  <c r="W20" i="9" s="1"/>
  <c r="F19" i="9"/>
  <c r="G19" i="9" s="1"/>
  <c r="W19" i="9" s="1"/>
  <c r="G16" i="9"/>
  <c r="W16" i="9" s="1"/>
  <c r="R11" i="9"/>
  <c r="F11" i="9"/>
  <c r="G11" i="9" s="1"/>
  <c r="W11" i="9" s="1"/>
  <c r="G10" i="9"/>
  <c r="W10" i="9" s="1"/>
  <c r="G8" i="9"/>
  <c r="W8" i="9" s="1"/>
  <c r="R7" i="9"/>
  <c r="F7" i="9"/>
  <c r="G7" i="9" s="1"/>
  <c r="W7" i="9" s="1"/>
  <c r="F6" i="9"/>
  <c r="R6" i="9" s="1"/>
  <c r="G3" i="9"/>
  <c r="W3" i="9" s="1"/>
  <c r="E1" i="9"/>
  <c r="R34" i="9" l="1"/>
  <c r="BF30" i="1"/>
  <c r="BG30" i="1" s="1"/>
  <c r="AS29" i="1"/>
  <c r="AT29" i="1" s="1"/>
  <c r="BG29" i="1"/>
  <c r="AE31" i="1"/>
  <c r="AC31" i="1"/>
  <c r="AD31" i="1" s="1"/>
  <c r="AQ31" i="1" s="1"/>
  <c r="AR31" i="1" s="1"/>
  <c r="BH168" i="1"/>
  <c r="AA32" i="1"/>
  <c r="R14" i="1"/>
  <c r="R9" i="1"/>
  <c r="R10" i="1"/>
  <c r="R13" i="1"/>
  <c r="R15" i="1"/>
  <c r="R16" i="1"/>
  <c r="R17" i="1"/>
  <c r="R7" i="1"/>
  <c r="R18" i="1"/>
  <c r="R20" i="1"/>
  <c r="R21" i="1"/>
  <c r="R11" i="1"/>
  <c r="R12" i="1"/>
  <c r="R8" i="1"/>
  <c r="R19" i="1"/>
  <c r="R35" i="9"/>
  <c r="R3" i="9"/>
  <c r="R36" i="9"/>
  <c r="R10" i="9"/>
  <c r="G6" i="9"/>
  <c r="W6" i="9" s="1"/>
  <c r="F1" i="9"/>
  <c r="W1" i="9" l="1"/>
  <c r="G1" i="9"/>
  <c r="C25" i="13" s="1"/>
  <c r="R5" i="1"/>
  <c r="V1" i="9"/>
  <c r="BF31" i="1"/>
  <c r="AS30" i="1"/>
  <c r="AT30" i="1" s="1"/>
  <c r="AC32" i="1"/>
  <c r="AD32" i="1" s="1"/>
  <c r="AQ32" i="1" s="1"/>
  <c r="AR32" i="1" s="1"/>
  <c r="AE32" i="1"/>
  <c r="BH169" i="1"/>
  <c r="AA33" i="1"/>
  <c r="F25" i="13"/>
  <c r="F28" i="13" s="1"/>
  <c r="R1" i="9"/>
  <c r="X1" i="9" l="1"/>
  <c r="Y1" i="9" s="1"/>
  <c r="BH170" i="1"/>
  <c r="AA170" i="1"/>
  <c r="BF32" i="1"/>
  <c r="BG32" i="1" s="1"/>
  <c r="AS31" i="1"/>
  <c r="AT31" i="1" s="1"/>
  <c r="BG31" i="1"/>
  <c r="AC33" i="1"/>
  <c r="AD33" i="1" s="1"/>
  <c r="AQ33" i="1" s="1"/>
  <c r="AR33" i="1" s="1"/>
  <c r="AE33" i="1"/>
  <c r="AA34" i="1"/>
  <c r="C11" i="13"/>
  <c r="E25" i="13"/>
  <c r="C28" i="13"/>
  <c r="C39" i="13"/>
  <c r="C42" i="13" s="1"/>
  <c r="J35" i="8"/>
  <c r="J34" i="8"/>
  <c r="J33" i="8"/>
  <c r="I32" i="8"/>
  <c r="J32" i="8" s="1"/>
  <c r="L32" i="8" s="1"/>
  <c r="J31" i="8"/>
  <c r="J30" i="8"/>
  <c r="J29" i="8"/>
  <c r="J28" i="8"/>
  <c r="O28" i="8" s="1"/>
  <c r="J27" i="8"/>
  <c r="O27" i="8" s="1"/>
  <c r="J26" i="8"/>
  <c r="O26" i="8" s="1"/>
  <c r="J25" i="8"/>
  <c r="O25" i="8" s="1"/>
  <c r="J24" i="8"/>
  <c r="O24" i="8" s="1"/>
  <c r="J23" i="8"/>
  <c r="M23" i="8" s="1"/>
  <c r="I22" i="8"/>
  <c r="J22" i="8" s="1"/>
  <c r="L22" i="8" s="1"/>
  <c r="J21" i="8"/>
  <c r="J20" i="8"/>
  <c r="N20" i="8" s="1"/>
  <c r="J19" i="8"/>
  <c r="J18" i="8"/>
  <c r="M18" i="8" s="1"/>
  <c r="J17" i="8"/>
  <c r="J16" i="8"/>
  <c r="I15" i="8"/>
  <c r="J15" i="8" s="1"/>
  <c r="L15" i="8" s="1"/>
  <c r="I14" i="8"/>
  <c r="J14" i="8" s="1"/>
  <c r="J13" i="8"/>
  <c r="N13" i="8" s="1"/>
  <c r="J12" i="8"/>
  <c r="M12" i="8" s="1"/>
  <c r="J11" i="8"/>
  <c r="J10" i="8"/>
  <c r="M10" i="8" s="1"/>
  <c r="J9" i="8"/>
  <c r="J8" i="8"/>
  <c r="I7" i="8"/>
  <c r="J7" i="8" s="1"/>
  <c r="L7" i="8" s="1"/>
  <c r="J6" i="8"/>
  <c r="N6" i="8" s="1"/>
  <c r="J5" i="8"/>
  <c r="N5" i="8" s="1"/>
  <c r="I4" i="8"/>
  <c r="J4" i="8" s="1"/>
  <c r="L4" i="8" s="1"/>
  <c r="I3" i="8"/>
  <c r="C1" i="8"/>
  <c r="AA171" i="1" l="1"/>
  <c r="BH171" i="1"/>
  <c r="BF33" i="1"/>
  <c r="BG33" i="1" s="1"/>
  <c r="AS32" i="1"/>
  <c r="AT32" i="1" s="1"/>
  <c r="AE34" i="1"/>
  <c r="AC34" i="1"/>
  <c r="AD34" i="1" s="1"/>
  <c r="AQ34" i="1" s="1"/>
  <c r="AR34" i="1" s="1"/>
  <c r="C14" i="13"/>
  <c r="E11" i="13"/>
  <c r="L35" i="8"/>
  <c r="T35" i="8"/>
  <c r="L34" i="8"/>
  <c r="T34" i="8"/>
  <c r="L33" i="8"/>
  <c r="T33" i="8"/>
  <c r="L31" i="8"/>
  <c r="T31" i="8"/>
  <c r="L30" i="8"/>
  <c r="T30" i="8"/>
  <c r="L29" i="8"/>
  <c r="T29" i="8"/>
  <c r="L21" i="8"/>
  <c r="T21" i="8"/>
  <c r="L19" i="8"/>
  <c r="T19" i="8"/>
  <c r="L17" i="8"/>
  <c r="T17" i="8"/>
  <c r="L16" i="8"/>
  <c r="T16" i="8"/>
  <c r="L11" i="8"/>
  <c r="T11" i="8"/>
  <c r="L9" i="8"/>
  <c r="T9" i="8"/>
  <c r="L8" i="8"/>
  <c r="T8" i="8"/>
  <c r="AA35" i="1"/>
  <c r="H25" i="13"/>
  <c r="G25" i="13"/>
  <c r="E28" i="13"/>
  <c r="G28" i="13" s="1"/>
  <c r="E39" i="13"/>
  <c r="AA39" i="13" s="1"/>
  <c r="N1" i="8"/>
  <c r="I1" i="8"/>
  <c r="M1" i="8"/>
  <c r="O1" i="8"/>
  <c r="J3" i="8"/>
  <c r="AA172" i="1" l="1"/>
  <c r="BH172" i="1"/>
  <c r="AS34" i="1"/>
  <c r="AT34" i="1" s="1"/>
  <c r="BF34" i="1"/>
  <c r="AS33" i="1"/>
  <c r="AT33" i="1" s="1"/>
  <c r="AE35" i="1"/>
  <c r="AC35" i="1"/>
  <c r="AD35" i="1" s="1"/>
  <c r="AQ35" i="1" s="1"/>
  <c r="AR35" i="1" s="1"/>
  <c r="T1" i="8"/>
  <c r="AA36" i="1"/>
  <c r="E14" i="13"/>
  <c r="I25" i="13"/>
  <c r="H28" i="13"/>
  <c r="I28" i="13" s="1"/>
  <c r="E42" i="13"/>
  <c r="AB39" i="13"/>
  <c r="AA42" i="13"/>
  <c r="J1" i="8"/>
  <c r="L3" i="8"/>
  <c r="L1" i="8" s="1"/>
  <c r="E3" i="7"/>
  <c r="E2" i="7"/>
  <c r="C1" i="5"/>
  <c r="D3" i="3"/>
  <c r="AA173" i="1" l="1"/>
  <c r="BH173" i="1"/>
  <c r="BF35" i="1"/>
  <c r="BG34" i="1"/>
  <c r="AE36" i="1"/>
  <c r="AC36" i="1"/>
  <c r="AD36" i="1" s="1"/>
  <c r="AQ36" i="1" s="1"/>
  <c r="AR36" i="1" s="1"/>
  <c r="AA37" i="1"/>
  <c r="AB42" i="13"/>
  <c r="E1" i="7"/>
  <c r="D1" i="3"/>
  <c r="L101" i="1"/>
  <c r="K101" i="1"/>
  <c r="L100" i="1"/>
  <c r="K100" i="1"/>
  <c r="L99" i="1"/>
  <c r="K99" i="1"/>
  <c r="L98" i="1"/>
  <c r="K98" i="1"/>
  <c r="L97" i="1"/>
  <c r="K97" i="1"/>
  <c r="L96" i="1"/>
  <c r="K96" i="1"/>
  <c r="L95" i="1"/>
  <c r="K95" i="1"/>
  <c r="L94" i="1"/>
  <c r="K94" i="1"/>
  <c r="L93" i="1"/>
  <c r="K93" i="1"/>
  <c r="L92" i="1"/>
  <c r="K92" i="1"/>
  <c r="L91" i="1"/>
  <c r="K91" i="1"/>
  <c r="L90" i="1"/>
  <c r="K90" i="1"/>
  <c r="L89" i="1"/>
  <c r="K89" i="1"/>
  <c r="L88" i="1"/>
  <c r="K88" i="1"/>
  <c r="L87" i="1"/>
  <c r="K87" i="1"/>
  <c r="L86" i="1"/>
  <c r="K86" i="1"/>
  <c r="L85" i="1"/>
  <c r="K85" i="1"/>
  <c r="L84" i="1"/>
  <c r="K84" i="1"/>
  <c r="L83" i="1"/>
  <c r="K83" i="1"/>
  <c r="L82" i="1"/>
  <c r="K82" i="1"/>
  <c r="L81" i="1"/>
  <c r="K81" i="1"/>
  <c r="L80" i="1"/>
  <c r="K80" i="1"/>
  <c r="L79" i="1"/>
  <c r="K79" i="1"/>
  <c r="L78" i="1"/>
  <c r="K78" i="1"/>
  <c r="L77" i="1"/>
  <c r="K77" i="1"/>
  <c r="L76" i="1"/>
  <c r="K76" i="1"/>
  <c r="L75" i="1"/>
  <c r="K75" i="1"/>
  <c r="L74" i="1"/>
  <c r="K74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L73" i="1"/>
  <c r="K73" i="1"/>
  <c r="B73" i="1"/>
  <c r="L72" i="1"/>
  <c r="K72" i="1"/>
  <c r="B72" i="1"/>
  <c r="L71" i="1"/>
  <c r="K71" i="1"/>
  <c r="B71" i="1"/>
  <c r="L70" i="1"/>
  <c r="K70" i="1"/>
  <c r="B70" i="1"/>
  <c r="L69" i="1"/>
  <c r="K69" i="1"/>
  <c r="B69" i="1"/>
  <c r="L68" i="1"/>
  <c r="K68" i="1"/>
  <c r="B68" i="1"/>
  <c r="L67" i="1"/>
  <c r="K67" i="1"/>
  <c r="B67" i="1"/>
  <c r="L66" i="1"/>
  <c r="K66" i="1"/>
  <c r="B66" i="1"/>
  <c r="L65" i="1"/>
  <c r="K65" i="1"/>
  <c r="B65" i="1"/>
  <c r="L64" i="1"/>
  <c r="K64" i="1"/>
  <c r="B64" i="1"/>
  <c r="L63" i="1"/>
  <c r="K63" i="1"/>
  <c r="B63" i="1"/>
  <c r="L62" i="1"/>
  <c r="K62" i="1"/>
  <c r="B62" i="1"/>
  <c r="L61" i="1"/>
  <c r="K61" i="1"/>
  <c r="B61" i="1"/>
  <c r="AA174" i="1" l="1"/>
  <c r="BH174" i="1"/>
  <c r="AS35" i="1"/>
  <c r="AT35" i="1" s="1"/>
  <c r="BG35" i="1"/>
  <c r="AS36" i="1"/>
  <c r="AT36" i="1" s="1"/>
  <c r="BF36" i="1"/>
  <c r="AE37" i="1"/>
  <c r="AC37" i="1"/>
  <c r="AD37" i="1" s="1"/>
  <c r="AQ37" i="1" s="1"/>
  <c r="AR37" i="1" s="1"/>
  <c r="AA38" i="1"/>
  <c r="AA175" i="1" l="1"/>
  <c r="BH175" i="1"/>
  <c r="BF37" i="1"/>
  <c r="BG36" i="1"/>
  <c r="AE38" i="1"/>
  <c r="AC38" i="1"/>
  <c r="AD38" i="1" s="1"/>
  <c r="AQ38" i="1" s="1"/>
  <c r="AR38" i="1" s="1"/>
  <c r="AA39" i="1"/>
  <c r="AA176" i="1" l="1"/>
  <c r="BH176" i="1"/>
  <c r="AS37" i="1"/>
  <c r="AT37" i="1" s="1"/>
  <c r="BG37" i="1"/>
  <c r="AS38" i="1"/>
  <c r="AT38" i="1" s="1"/>
  <c r="BF38" i="1"/>
  <c r="AC39" i="1"/>
  <c r="AD39" i="1" s="1"/>
  <c r="AQ39" i="1" s="1"/>
  <c r="AR39" i="1" s="1"/>
  <c r="AE39" i="1"/>
  <c r="AA40" i="1"/>
  <c r="AA177" i="1" l="1"/>
  <c r="BH177" i="1"/>
  <c r="BF39" i="1"/>
  <c r="BG39" i="1" s="1"/>
  <c r="BG38" i="1"/>
  <c r="AE40" i="1"/>
  <c r="AC40" i="1"/>
  <c r="AD40" i="1" s="1"/>
  <c r="AQ40" i="1" s="1"/>
  <c r="AR40" i="1" s="1"/>
  <c r="AA41" i="1"/>
  <c r="AA178" i="1" l="1"/>
  <c r="BH178" i="1"/>
  <c r="BH179" i="1" s="1"/>
  <c r="BH180" i="1" s="1"/>
  <c r="BH181" i="1" s="1"/>
  <c r="BH182" i="1" s="1"/>
  <c r="BH183" i="1" s="1"/>
  <c r="BH184" i="1" s="1"/>
  <c r="AS40" i="1"/>
  <c r="AT40" i="1" s="1"/>
  <c r="BF40" i="1"/>
  <c r="AS39" i="1"/>
  <c r="AT39" i="1" s="1"/>
  <c r="AC41" i="1"/>
  <c r="AD41" i="1" s="1"/>
  <c r="AQ41" i="1" s="1"/>
  <c r="AR41" i="1" s="1"/>
  <c r="AE41" i="1"/>
  <c r="AA42" i="1"/>
  <c r="BF41" i="1" l="1"/>
  <c r="BG41" i="1" s="1"/>
  <c r="BG40" i="1"/>
  <c r="AE42" i="1"/>
  <c r="AC42" i="1"/>
  <c r="AD42" i="1" s="1"/>
  <c r="AQ42" i="1" s="1"/>
  <c r="AR42" i="1" s="1"/>
  <c r="AA43" i="1"/>
  <c r="AS42" i="1" l="1"/>
  <c r="AT42" i="1" s="1"/>
  <c r="BF42" i="1"/>
  <c r="AS41" i="1"/>
  <c r="AT41" i="1" s="1"/>
  <c r="AE43" i="1"/>
  <c r="AC43" i="1"/>
  <c r="AD43" i="1" s="1"/>
  <c r="AQ43" i="1" s="1"/>
  <c r="AR43" i="1" s="1"/>
  <c r="AA44" i="1"/>
  <c r="BF43" i="1" l="1"/>
  <c r="BG43" i="1" s="1"/>
  <c r="BG42" i="1"/>
  <c r="AC44" i="1"/>
  <c r="AD44" i="1" s="1"/>
  <c r="AQ44" i="1" s="1"/>
  <c r="AR44" i="1" s="1"/>
  <c r="AE44" i="1"/>
  <c r="AA45" i="1"/>
  <c r="BF44" i="1" l="1"/>
  <c r="AS43" i="1"/>
  <c r="AT43" i="1" s="1"/>
  <c r="AC45" i="1"/>
  <c r="AD45" i="1" s="1"/>
  <c r="AQ45" i="1" s="1"/>
  <c r="AR45" i="1" s="1"/>
  <c r="AE45" i="1"/>
  <c r="AA46" i="1"/>
  <c r="BG44" i="1" l="1"/>
  <c r="AS45" i="1"/>
  <c r="AT45" i="1" s="1"/>
  <c r="BF45" i="1"/>
  <c r="AS44" i="1"/>
  <c r="AT44" i="1" s="1"/>
  <c r="AE46" i="1"/>
  <c r="AC46" i="1"/>
  <c r="AD46" i="1" s="1"/>
  <c r="AQ46" i="1" s="1"/>
  <c r="AR46" i="1" s="1"/>
  <c r="AA47" i="1"/>
  <c r="BF46" i="1" l="1"/>
  <c r="BG46" i="1" s="1"/>
  <c r="BG45" i="1"/>
  <c r="AE47" i="1"/>
  <c r="AC47" i="1"/>
  <c r="AD47" i="1" s="1"/>
  <c r="AQ47" i="1" s="1"/>
  <c r="AR47" i="1" s="1"/>
  <c r="AA48" i="1"/>
  <c r="AS47" i="1" l="1"/>
  <c r="AT47" i="1" s="1"/>
  <c r="BF47" i="1"/>
  <c r="AS46" i="1"/>
  <c r="AT46" i="1" s="1"/>
  <c r="AE48" i="1"/>
  <c r="AC48" i="1"/>
  <c r="AD48" i="1" s="1"/>
  <c r="AQ48" i="1" s="1"/>
  <c r="AR48" i="1" s="1"/>
  <c r="AA49" i="1"/>
  <c r="BG47" i="1" l="1"/>
  <c r="AS48" i="1"/>
  <c r="AT48" i="1" s="1"/>
  <c r="BF48" i="1"/>
  <c r="AC49" i="1"/>
  <c r="AD49" i="1" s="1"/>
  <c r="AQ49" i="1" s="1"/>
  <c r="AR49" i="1" s="1"/>
  <c r="AE49" i="1"/>
  <c r="AA50" i="1"/>
  <c r="BG48" i="1" l="1"/>
  <c r="AS49" i="1"/>
  <c r="AT49" i="1" s="1"/>
  <c r="BF49" i="1"/>
  <c r="AE50" i="1"/>
  <c r="AC50" i="1"/>
  <c r="AD50" i="1" s="1"/>
  <c r="AQ50" i="1" s="1"/>
  <c r="AR50" i="1" s="1"/>
  <c r="AA51" i="1"/>
  <c r="BG49" i="1" l="1"/>
  <c r="AS50" i="1"/>
  <c r="AT50" i="1" s="1"/>
  <c r="BF50" i="1"/>
  <c r="AE51" i="1"/>
  <c r="AC51" i="1"/>
  <c r="AD51" i="1" s="1"/>
  <c r="AQ51" i="1" s="1"/>
  <c r="AR51" i="1" s="1"/>
  <c r="AA52" i="1"/>
  <c r="BF51" i="1" l="1"/>
  <c r="BG50" i="1"/>
  <c r="AC52" i="1"/>
  <c r="AD52" i="1" s="1"/>
  <c r="AQ52" i="1" s="1"/>
  <c r="AR52" i="1" s="1"/>
  <c r="AE52" i="1"/>
  <c r="AA53" i="1"/>
  <c r="AS51" i="1" l="1"/>
  <c r="AT51" i="1" s="1"/>
  <c r="BG51" i="1"/>
  <c r="AS52" i="1"/>
  <c r="AT52" i="1" s="1"/>
  <c r="BF52" i="1"/>
  <c r="AE53" i="1"/>
  <c r="AC53" i="1"/>
  <c r="AD53" i="1" s="1"/>
  <c r="AQ53" i="1" s="1"/>
  <c r="AR53" i="1" s="1"/>
  <c r="AA54" i="1"/>
  <c r="BF53" i="1" l="1"/>
  <c r="BG52" i="1"/>
  <c r="AE54" i="1"/>
  <c r="AC54" i="1"/>
  <c r="AD54" i="1" s="1"/>
  <c r="AQ54" i="1" s="1"/>
  <c r="AR54" i="1" s="1"/>
  <c r="AA55" i="1"/>
  <c r="AS53" i="1" l="1"/>
  <c r="AT53" i="1" s="1"/>
  <c r="BG53" i="1"/>
  <c r="AS54" i="1"/>
  <c r="AT54" i="1" s="1"/>
  <c r="BF54" i="1"/>
  <c r="AE55" i="1"/>
  <c r="AC55" i="1"/>
  <c r="AD55" i="1" s="1"/>
  <c r="AQ55" i="1" s="1"/>
  <c r="AR55" i="1" s="1"/>
  <c r="AA56" i="1"/>
  <c r="BF55" i="1" l="1"/>
  <c r="BG55" i="1" s="1"/>
  <c r="BG54" i="1"/>
  <c r="AE56" i="1"/>
  <c r="AC56" i="1"/>
  <c r="AD56" i="1" s="1"/>
  <c r="AQ56" i="1" s="1"/>
  <c r="AR56" i="1" s="1"/>
  <c r="AA57" i="1"/>
  <c r="BF56" i="1" l="1"/>
  <c r="AS55" i="1"/>
  <c r="AT55" i="1" s="1"/>
  <c r="AE57" i="1"/>
  <c r="AC57" i="1"/>
  <c r="AD57" i="1" s="1"/>
  <c r="AQ57" i="1" s="1"/>
  <c r="AR57" i="1" s="1"/>
  <c r="AA58" i="1"/>
  <c r="BF57" i="1" l="1"/>
  <c r="AS56" i="1"/>
  <c r="AT56" i="1" s="1"/>
  <c r="BG56" i="1"/>
  <c r="AE58" i="1"/>
  <c r="AC58" i="1"/>
  <c r="AD58" i="1" s="1"/>
  <c r="AQ58" i="1" s="1"/>
  <c r="AR58" i="1" s="1"/>
  <c r="AA59" i="1"/>
  <c r="BG57" i="1" l="1"/>
  <c r="BF58" i="1"/>
  <c r="AS57" i="1"/>
  <c r="AT57" i="1" s="1"/>
  <c r="AE59" i="1"/>
  <c r="AC59" i="1"/>
  <c r="AD59" i="1" s="1"/>
  <c r="AQ59" i="1" s="1"/>
  <c r="AR59" i="1" s="1"/>
  <c r="AA60" i="1"/>
  <c r="BF59" i="1" l="1"/>
  <c r="AS58" i="1"/>
  <c r="AT58" i="1" s="1"/>
  <c r="BG58" i="1"/>
  <c r="AE60" i="1"/>
  <c r="AC60" i="1"/>
  <c r="AD60" i="1" s="1"/>
  <c r="AQ60" i="1" s="1"/>
  <c r="AR60" i="1" s="1"/>
  <c r="AA61" i="1"/>
  <c r="BG59" i="1" l="1"/>
  <c r="BF60" i="1"/>
  <c r="AS59" i="1"/>
  <c r="AT59" i="1" s="1"/>
  <c r="AC61" i="1"/>
  <c r="AD61" i="1" s="1"/>
  <c r="AQ61" i="1" s="1"/>
  <c r="AR61" i="1" s="1"/>
  <c r="AE61" i="1"/>
  <c r="AA62" i="1"/>
  <c r="AS60" i="1" l="1"/>
  <c r="AT60" i="1" s="1"/>
  <c r="BG60" i="1"/>
  <c r="AS61" i="1"/>
  <c r="AT61" i="1" s="1"/>
  <c r="BF61" i="1"/>
  <c r="AE62" i="1"/>
  <c r="AC62" i="1"/>
  <c r="AD62" i="1" s="1"/>
  <c r="AQ62" i="1" s="1"/>
  <c r="AR62" i="1" s="1"/>
  <c r="AA63" i="1"/>
  <c r="BG61" i="1" l="1"/>
  <c r="AS62" i="1"/>
  <c r="AT62" i="1" s="1"/>
  <c r="BF62" i="1"/>
  <c r="AE63" i="1"/>
  <c r="AC63" i="1"/>
  <c r="AD63" i="1" s="1"/>
  <c r="AQ63" i="1" s="1"/>
  <c r="AR63" i="1" s="1"/>
  <c r="AA64" i="1"/>
  <c r="BF63" i="1" l="1"/>
  <c r="BG62" i="1"/>
  <c r="AC64" i="1"/>
  <c r="AD64" i="1" s="1"/>
  <c r="AQ64" i="1" s="1"/>
  <c r="AR64" i="1" s="1"/>
  <c r="AE64" i="1"/>
  <c r="AA65" i="1"/>
  <c r="BF64" i="1" l="1"/>
  <c r="AS63" i="1"/>
  <c r="AT63" i="1" s="1"/>
  <c r="BG63" i="1"/>
  <c r="AE65" i="1"/>
  <c r="AC65" i="1"/>
  <c r="AD65" i="1" s="1"/>
  <c r="AQ65" i="1" s="1"/>
  <c r="AR65" i="1" s="1"/>
  <c r="AA66" i="1"/>
  <c r="BF65" i="1" l="1"/>
  <c r="AS64" i="1"/>
  <c r="AT64" i="1" s="1"/>
  <c r="BG64" i="1"/>
  <c r="AE66" i="1"/>
  <c r="AC66" i="1"/>
  <c r="AD66" i="1" s="1"/>
  <c r="AQ66" i="1" s="1"/>
  <c r="AR66" i="1" s="1"/>
  <c r="AA67" i="1"/>
  <c r="BF66" i="1" l="1"/>
  <c r="AS65" i="1"/>
  <c r="AT65" i="1" s="1"/>
  <c r="BG65" i="1"/>
  <c r="AE67" i="1"/>
  <c r="AC67" i="1"/>
  <c r="AD67" i="1" s="1"/>
  <c r="AQ67" i="1" s="1"/>
  <c r="AR67" i="1" s="1"/>
  <c r="AA68" i="1"/>
  <c r="BG66" i="1" l="1"/>
  <c r="BF67" i="1"/>
  <c r="BG67" i="1" s="1"/>
  <c r="AS66" i="1"/>
  <c r="AT66" i="1" s="1"/>
  <c r="AC68" i="1"/>
  <c r="AD68" i="1" s="1"/>
  <c r="AQ68" i="1" s="1"/>
  <c r="AR68" i="1" s="1"/>
  <c r="AE68" i="1"/>
  <c r="AA69" i="1"/>
  <c r="BF68" i="1" l="1"/>
  <c r="BG68" i="1" s="1"/>
  <c r="AS67" i="1"/>
  <c r="AT67" i="1" s="1"/>
  <c r="AE69" i="1"/>
  <c r="AC69" i="1"/>
  <c r="AD69" i="1" s="1"/>
  <c r="AQ69" i="1" s="1"/>
  <c r="AR69" i="1" s="1"/>
  <c r="AA70" i="1"/>
  <c r="BF69" i="1" l="1"/>
  <c r="AS68" i="1"/>
  <c r="AT68" i="1" s="1"/>
  <c r="AE70" i="1"/>
  <c r="AC70" i="1"/>
  <c r="AD70" i="1" s="1"/>
  <c r="AQ70" i="1" s="1"/>
  <c r="AR70" i="1" s="1"/>
  <c r="AA71" i="1"/>
  <c r="BF70" i="1" l="1"/>
  <c r="AS69" i="1"/>
  <c r="AT69" i="1" s="1"/>
  <c r="BG69" i="1"/>
  <c r="AC71" i="1"/>
  <c r="AD71" i="1" s="1"/>
  <c r="AQ71" i="1" s="1"/>
  <c r="AR71" i="1" s="1"/>
  <c r="AE71" i="1"/>
  <c r="AA72" i="1"/>
  <c r="BF71" i="1" l="1"/>
  <c r="AS70" i="1"/>
  <c r="AT70" i="1" s="1"/>
  <c r="BG70" i="1"/>
  <c r="AE72" i="1"/>
  <c r="AC72" i="1"/>
  <c r="AD72" i="1" s="1"/>
  <c r="AQ72" i="1" s="1"/>
  <c r="AR72" i="1" s="1"/>
  <c r="AA73" i="1"/>
  <c r="BF72" i="1" l="1"/>
  <c r="BG72" i="1" s="1"/>
  <c r="AS71" i="1"/>
  <c r="AT71" i="1" s="1"/>
  <c r="BG71" i="1"/>
  <c r="F37" i="13"/>
  <c r="H37" i="13" s="1"/>
  <c r="F9" i="13"/>
  <c r="AE73" i="1"/>
  <c r="AC73" i="1"/>
  <c r="AD73" i="1" s="1"/>
  <c r="AQ73" i="1" s="1"/>
  <c r="AR73" i="1" s="1"/>
  <c r="AA74" i="1"/>
  <c r="BF73" i="1" l="1"/>
  <c r="BG73" i="1" s="1"/>
  <c r="I37" i="13"/>
  <c r="J37" i="13"/>
  <c r="K37" i="13" s="1"/>
  <c r="H9" i="13"/>
  <c r="L9" i="13"/>
  <c r="M9" i="13" s="1"/>
  <c r="X9" i="13"/>
  <c r="AS72" i="1"/>
  <c r="AT72" i="1" s="1"/>
  <c r="AE74" i="1"/>
  <c r="AC74" i="1"/>
  <c r="AD74" i="1" s="1"/>
  <c r="AQ74" i="1" s="1"/>
  <c r="AR74" i="1" s="1"/>
  <c r="AA75" i="1"/>
  <c r="BF74" i="1" l="1"/>
  <c r="BG74" i="1" s="1"/>
  <c r="J9" i="13"/>
  <c r="K9" i="13" s="1"/>
  <c r="I9" i="13"/>
  <c r="Y9" i="13"/>
  <c r="AS73" i="1"/>
  <c r="AT73" i="1" s="1"/>
  <c r="AE75" i="1"/>
  <c r="AC75" i="1"/>
  <c r="AD75" i="1" s="1"/>
  <c r="AQ75" i="1" s="1"/>
  <c r="AR75" i="1" s="1"/>
  <c r="AA76" i="1"/>
  <c r="BF75" i="1" l="1"/>
  <c r="AS74" i="1"/>
  <c r="AT74" i="1" s="1"/>
  <c r="AE76" i="1"/>
  <c r="AC76" i="1"/>
  <c r="AD76" i="1" s="1"/>
  <c r="AQ76" i="1" s="1"/>
  <c r="AR76" i="1" s="1"/>
  <c r="AA77" i="1"/>
  <c r="Z9" i="13"/>
  <c r="AA9" i="13" s="1"/>
  <c r="AB9" i="13" s="1"/>
  <c r="BG75" i="1" l="1"/>
  <c r="BF76" i="1"/>
  <c r="BG76" i="1" s="1"/>
  <c r="AS75" i="1"/>
  <c r="AT75" i="1" s="1"/>
  <c r="AC77" i="1"/>
  <c r="AD77" i="1" s="1"/>
  <c r="AQ77" i="1" s="1"/>
  <c r="AR77" i="1" s="1"/>
  <c r="AE77" i="1"/>
  <c r="AA78" i="1"/>
  <c r="BF77" i="1" l="1"/>
  <c r="AS76" i="1"/>
  <c r="AT76" i="1" s="1"/>
  <c r="AE78" i="1"/>
  <c r="AC78" i="1"/>
  <c r="AD78" i="1" s="1"/>
  <c r="AQ78" i="1" s="1"/>
  <c r="AR78" i="1" s="1"/>
  <c r="AA79" i="1"/>
  <c r="BF78" i="1" l="1"/>
  <c r="AS77" i="1"/>
  <c r="AT77" i="1" s="1"/>
  <c r="BG77" i="1"/>
  <c r="AE79" i="1"/>
  <c r="AC79" i="1"/>
  <c r="AD79" i="1" s="1"/>
  <c r="AQ79" i="1" s="1"/>
  <c r="AR79" i="1" s="1"/>
  <c r="AA80" i="1"/>
  <c r="BF79" i="1" l="1"/>
  <c r="AS78" i="1"/>
  <c r="AT78" i="1" s="1"/>
  <c r="BG78" i="1"/>
  <c r="AE80" i="1"/>
  <c r="AC80" i="1"/>
  <c r="AD80" i="1" s="1"/>
  <c r="AQ80" i="1" s="1"/>
  <c r="AR80" i="1" s="1"/>
  <c r="AA81" i="1"/>
  <c r="BG79" i="1" l="1"/>
  <c r="BF80" i="1"/>
  <c r="BG80" i="1" s="1"/>
  <c r="AS79" i="1"/>
  <c r="AT79" i="1" s="1"/>
  <c r="AE81" i="1"/>
  <c r="AC81" i="1"/>
  <c r="AD81" i="1" s="1"/>
  <c r="AQ81" i="1" s="1"/>
  <c r="AR81" i="1" s="1"/>
  <c r="AA82" i="1"/>
  <c r="BF81" i="1" l="1"/>
  <c r="AS80" i="1"/>
  <c r="AT80" i="1" s="1"/>
  <c r="AE82" i="1"/>
  <c r="AC82" i="1"/>
  <c r="AD82" i="1" s="1"/>
  <c r="AQ82" i="1" s="1"/>
  <c r="AR82" i="1" s="1"/>
  <c r="AA83" i="1"/>
  <c r="BF82" i="1" l="1"/>
  <c r="AS81" i="1"/>
  <c r="AT81" i="1" s="1"/>
  <c r="BG81" i="1"/>
  <c r="AE83" i="1"/>
  <c r="AC83" i="1"/>
  <c r="AD83" i="1" s="1"/>
  <c r="AQ83" i="1" s="1"/>
  <c r="AR83" i="1" s="1"/>
  <c r="AA84" i="1"/>
  <c r="BF83" i="1" l="1"/>
  <c r="AS82" i="1"/>
  <c r="AT82" i="1" s="1"/>
  <c r="BG82" i="1"/>
  <c r="AE84" i="1"/>
  <c r="AC84" i="1"/>
  <c r="AD84" i="1" s="1"/>
  <c r="AQ84" i="1" s="1"/>
  <c r="AR84" i="1" s="1"/>
  <c r="AA85" i="1"/>
  <c r="BF84" i="1" l="1"/>
  <c r="AS83" i="1"/>
  <c r="AT83" i="1" s="1"/>
  <c r="BG83" i="1"/>
  <c r="AC85" i="1"/>
  <c r="AD85" i="1" s="1"/>
  <c r="AQ85" i="1" s="1"/>
  <c r="AR85" i="1" s="1"/>
  <c r="AE85" i="1"/>
  <c r="AA86" i="1"/>
  <c r="BF85" i="1" l="1"/>
  <c r="AS84" i="1"/>
  <c r="AT84" i="1" s="1"/>
  <c r="BG84" i="1"/>
  <c r="AC86" i="1"/>
  <c r="AD86" i="1" s="1"/>
  <c r="AQ86" i="1" s="1"/>
  <c r="AR86" i="1" s="1"/>
  <c r="AE86" i="1"/>
  <c r="AA87" i="1"/>
  <c r="BF86" i="1" l="1"/>
  <c r="BG86" i="1" s="1"/>
  <c r="AS85" i="1"/>
  <c r="AT85" i="1" s="1"/>
  <c r="BG85" i="1"/>
  <c r="AC87" i="1"/>
  <c r="AD87" i="1" s="1"/>
  <c r="AQ87" i="1" s="1"/>
  <c r="AR87" i="1" s="1"/>
  <c r="AE87" i="1"/>
  <c r="AA88" i="1"/>
  <c r="BF87" i="1" l="1"/>
  <c r="AS86" i="1"/>
  <c r="AT86" i="1" s="1"/>
  <c r="AC88" i="1"/>
  <c r="AD88" i="1" s="1"/>
  <c r="AQ88" i="1" s="1"/>
  <c r="AR88" i="1" s="1"/>
  <c r="AE88" i="1"/>
  <c r="AA89" i="1"/>
  <c r="BF88" i="1" l="1"/>
  <c r="AS87" i="1"/>
  <c r="AT87" i="1" s="1"/>
  <c r="BG87" i="1"/>
  <c r="AE89" i="1"/>
  <c r="AC89" i="1"/>
  <c r="AD89" i="1" s="1"/>
  <c r="AQ89" i="1" s="1"/>
  <c r="AR89" i="1" s="1"/>
  <c r="AA90" i="1"/>
  <c r="BF89" i="1" l="1"/>
  <c r="AS88" i="1"/>
  <c r="AT88" i="1" s="1"/>
  <c r="BG88" i="1"/>
  <c r="AE90" i="1"/>
  <c r="AC90" i="1"/>
  <c r="AD90" i="1" s="1"/>
  <c r="AQ90" i="1" s="1"/>
  <c r="AR90" i="1" s="1"/>
  <c r="AA91" i="1"/>
  <c r="BF90" i="1" l="1"/>
  <c r="AS89" i="1"/>
  <c r="AT89" i="1" s="1"/>
  <c r="BG89" i="1"/>
  <c r="AE91" i="1"/>
  <c r="AC91" i="1"/>
  <c r="AD91" i="1" s="1"/>
  <c r="AQ91" i="1" s="1"/>
  <c r="AR91" i="1" s="1"/>
  <c r="AA92" i="1"/>
  <c r="BF91" i="1" l="1"/>
  <c r="BG91" i="1" s="1"/>
  <c r="AS90" i="1"/>
  <c r="AT90" i="1" s="1"/>
  <c r="BG90" i="1"/>
  <c r="AC92" i="1"/>
  <c r="AD92" i="1" s="1"/>
  <c r="AQ92" i="1" s="1"/>
  <c r="AR92" i="1" s="1"/>
  <c r="AE92" i="1"/>
  <c r="AA93" i="1"/>
  <c r="BF92" i="1" l="1"/>
  <c r="BG92" i="1" s="1"/>
  <c r="AS91" i="1"/>
  <c r="AT91" i="1" s="1"/>
  <c r="AC93" i="1"/>
  <c r="AD93" i="1" s="1"/>
  <c r="AQ93" i="1" s="1"/>
  <c r="AR93" i="1" s="1"/>
  <c r="AE93" i="1"/>
  <c r="AA94" i="1"/>
  <c r="BF93" i="1" l="1"/>
  <c r="AS92" i="1"/>
  <c r="AT92" i="1" s="1"/>
  <c r="AE94" i="1"/>
  <c r="AC94" i="1"/>
  <c r="AD94" i="1" s="1"/>
  <c r="AQ94" i="1" s="1"/>
  <c r="AR94" i="1" s="1"/>
  <c r="AA95" i="1"/>
  <c r="BF94" i="1" l="1"/>
  <c r="AS93" i="1"/>
  <c r="AT93" i="1" s="1"/>
  <c r="BG93" i="1"/>
  <c r="AE95" i="1"/>
  <c r="AC95" i="1"/>
  <c r="AD95" i="1" s="1"/>
  <c r="AQ95" i="1" s="1"/>
  <c r="AR95" i="1" s="1"/>
  <c r="AA96" i="1"/>
  <c r="BF95" i="1" l="1"/>
  <c r="AS94" i="1"/>
  <c r="AT94" i="1" s="1"/>
  <c r="BG94" i="1"/>
  <c r="AC96" i="1"/>
  <c r="AD96" i="1" s="1"/>
  <c r="AQ96" i="1" s="1"/>
  <c r="AR96" i="1" s="1"/>
  <c r="AE96" i="1"/>
  <c r="AA97" i="1"/>
  <c r="BF96" i="1" l="1"/>
  <c r="AS95" i="1"/>
  <c r="AT95" i="1" s="1"/>
  <c r="BG95" i="1"/>
  <c r="AE97" i="1"/>
  <c r="AC97" i="1"/>
  <c r="AD97" i="1" s="1"/>
  <c r="AQ97" i="1" s="1"/>
  <c r="AR97" i="1" s="1"/>
  <c r="AA98" i="1"/>
  <c r="BF97" i="1" l="1"/>
  <c r="AS96" i="1"/>
  <c r="AT96" i="1" s="1"/>
  <c r="BG96" i="1"/>
  <c r="AE98" i="1"/>
  <c r="AC98" i="1"/>
  <c r="AD98" i="1" s="1"/>
  <c r="AQ98" i="1" s="1"/>
  <c r="AR98" i="1" s="1"/>
  <c r="AA99" i="1"/>
  <c r="BF98" i="1" l="1"/>
  <c r="BG98" i="1" s="1"/>
  <c r="AS97" i="1"/>
  <c r="AT97" i="1" s="1"/>
  <c r="BG97" i="1"/>
  <c r="AE99" i="1"/>
  <c r="AC99" i="1"/>
  <c r="AD99" i="1" s="1"/>
  <c r="AQ99" i="1" s="1"/>
  <c r="AR99" i="1" s="1"/>
  <c r="AA100" i="1"/>
  <c r="BF99" i="1" l="1"/>
  <c r="AS98" i="1"/>
  <c r="AT98" i="1" s="1"/>
  <c r="AE100" i="1"/>
  <c r="AC100" i="1"/>
  <c r="AD100" i="1" s="1"/>
  <c r="AQ100" i="1" s="1"/>
  <c r="AR100" i="1" s="1"/>
  <c r="AA101" i="1"/>
  <c r="BF100" i="1" l="1"/>
  <c r="BG100" i="1" s="1"/>
  <c r="AS99" i="1"/>
  <c r="AT99" i="1" s="1"/>
  <c r="BG99" i="1"/>
  <c r="AE101" i="1"/>
  <c r="AC101" i="1"/>
  <c r="AD101" i="1" s="1"/>
  <c r="AQ101" i="1" s="1"/>
  <c r="AR101" i="1" s="1"/>
  <c r="AA102" i="1"/>
  <c r="BF101" i="1" l="1"/>
  <c r="BG101" i="1" s="1"/>
  <c r="AS100" i="1"/>
  <c r="AT100" i="1" s="1"/>
  <c r="AC102" i="1"/>
  <c r="AD102" i="1" s="1"/>
  <c r="AQ102" i="1" s="1"/>
  <c r="AR102" i="1" s="1"/>
  <c r="AE102" i="1"/>
  <c r="AA103" i="1"/>
  <c r="BF102" i="1" l="1"/>
  <c r="AS101" i="1"/>
  <c r="AT101" i="1" s="1"/>
  <c r="AE103" i="1"/>
  <c r="AC103" i="1"/>
  <c r="AD103" i="1" s="1"/>
  <c r="AQ103" i="1" s="1"/>
  <c r="AR103" i="1" s="1"/>
  <c r="AA104" i="1"/>
  <c r="BF103" i="1" l="1"/>
  <c r="AS102" i="1"/>
  <c r="AT102" i="1" s="1"/>
  <c r="BG102" i="1"/>
  <c r="AE104" i="1"/>
  <c r="AC104" i="1"/>
  <c r="AD104" i="1" s="1"/>
  <c r="AQ104" i="1" s="1"/>
  <c r="AR104" i="1" s="1"/>
  <c r="AA105" i="1"/>
  <c r="AS103" i="1" l="1"/>
  <c r="AT103" i="1" s="1"/>
  <c r="BG103" i="1"/>
  <c r="AS104" i="1"/>
  <c r="AT104" i="1" s="1"/>
  <c r="BF104" i="1"/>
  <c r="AE105" i="1"/>
  <c r="AC105" i="1"/>
  <c r="AD105" i="1" s="1"/>
  <c r="AQ105" i="1" s="1"/>
  <c r="AR105" i="1" s="1"/>
  <c r="AA106" i="1"/>
  <c r="BF105" i="1" l="1"/>
  <c r="BG105" i="1" s="1"/>
  <c r="BG104" i="1"/>
  <c r="AE106" i="1"/>
  <c r="AC106" i="1"/>
  <c r="AD106" i="1" s="1"/>
  <c r="AQ106" i="1" s="1"/>
  <c r="AR106" i="1" s="1"/>
  <c r="AA107" i="1"/>
  <c r="BF106" i="1" l="1"/>
  <c r="AS105" i="1"/>
  <c r="AT105" i="1" s="1"/>
  <c r="AE107" i="1"/>
  <c r="AC107" i="1"/>
  <c r="AD107" i="1" s="1"/>
  <c r="AQ107" i="1" s="1"/>
  <c r="AR107" i="1" s="1"/>
  <c r="AA108" i="1"/>
  <c r="BF107" i="1" l="1"/>
  <c r="BG107" i="1" s="1"/>
  <c r="AS106" i="1"/>
  <c r="AT106" i="1" s="1"/>
  <c r="BG106" i="1"/>
  <c r="AE108" i="1"/>
  <c r="AC108" i="1"/>
  <c r="AD108" i="1" s="1"/>
  <c r="AQ108" i="1" s="1"/>
  <c r="AR108" i="1" s="1"/>
  <c r="AA109" i="1"/>
  <c r="BF108" i="1" l="1"/>
  <c r="BG108" i="1" s="1"/>
  <c r="AS107" i="1"/>
  <c r="AT107" i="1" s="1"/>
  <c r="AE109" i="1"/>
  <c r="AC109" i="1"/>
  <c r="AD109" i="1" s="1"/>
  <c r="AQ109" i="1" s="1"/>
  <c r="AR109" i="1" s="1"/>
  <c r="AA110" i="1"/>
  <c r="AS109" i="1" l="1"/>
  <c r="AT109" i="1" s="1"/>
  <c r="BF109" i="1"/>
  <c r="AS108" i="1"/>
  <c r="AT108" i="1" s="1"/>
  <c r="AC110" i="1"/>
  <c r="AD110" i="1" s="1"/>
  <c r="AQ110" i="1" s="1"/>
  <c r="AR110" i="1" s="1"/>
  <c r="AE110" i="1"/>
  <c r="AA111" i="1"/>
  <c r="BF110" i="1" l="1"/>
  <c r="BG109" i="1"/>
  <c r="AE111" i="1"/>
  <c r="AC111" i="1"/>
  <c r="AD111" i="1" s="1"/>
  <c r="AQ111" i="1" s="1"/>
  <c r="AR111" i="1" s="1"/>
  <c r="AA112" i="1"/>
  <c r="BF111" i="1" l="1"/>
  <c r="BG111" i="1" s="1"/>
  <c r="AS110" i="1"/>
  <c r="AT110" i="1" s="1"/>
  <c r="BG110" i="1"/>
  <c r="AC112" i="1"/>
  <c r="AD112" i="1" s="1"/>
  <c r="AQ112" i="1" s="1"/>
  <c r="AR112" i="1" s="1"/>
  <c r="AE112" i="1"/>
  <c r="AA113" i="1"/>
  <c r="BF112" i="1" l="1"/>
  <c r="AS111" i="1"/>
  <c r="AT111" i="1" s="1"/>
  <c r="AE113" i="1"/>
  <c r="AC113" i="1"/>
  <c r="AD113" i="1" s="1"/>
  <c r="AQ113" i="1" s="1"/>
  <c r="AR113" i="1" s="1"/>
  <c r="AA114" i="1"/>
  <c r="BF113" i="1" l="1"/>
  <c r="AS112" i="1"/>
  <c r="AT112" i="1" s="1"/>
  <c r="BG112" i="1"/>
  <c r="AE114" i="1"/>
  <c r="AC114" i="1"/>
  <c r="AD114" i="1" s="1"/>
  <c r="AQ114" i="1" s="1"/>
  <c r="AR114" i="1" s="1"/>
  <c r="AA115" i="1"/>
  <c r="BF114" i="1" l="1"/>
  <c r="AS113" i="1"/>
  <c r="AT113" i="1" s="1"/>
  <c r="BG113" i="1"/>
  <c r="AC115" i="1"/>
  <c r="AD115" i="1" s="1"/>
  <c r="AQ115" i="1" s="1"/>
  <c r="AR115" i="1" s="1"/>
  <c r="AE115" i="1"/>
  <c r="AA116" i="1"/>
  <c r="BG114" i="1" l="1"/>
  <c r="BF115" i="1"/>
  <c r="AS114" i="1"/>
  <c r="AT114" i="1" s="1"/>
  <c r="AC116" i="1"/>
  <c r="AD116" i="1" s="1"/>
  <c r="AQ116" i="1" s="1"/>
  <c r="AR116" i="1" s="1"/>
  <c r="AE116" i="1"/>
  <c r="AA117" i="1"/>
  <c r="BG115" i="1" l="1"/>
  <c r="BF116" i="1"/>
  <c r="BG116" i="1" s="1"/>
  <c r="AS115" i="1"/>
  <c r="AT115" i="1" s="1"/>
  <c r="AE117" i="1"/>
  <c r="AC117" i="1"/>
  <c r="AD117" i="1" s="1"/>
  <c r="AQ117" i="1" s="1"/>
  <c r="AR117" i="1" s="1"/>
  <c r="AA118" i="1"/>
  <c r="BF117" i="1" l="1"/>
  <c r="AS116" i="1"/>
  <c r="AT116" i="1" s="1"/>
  <c r="AC118" i="1"/>
  <c r="AD118" i="1" s="1"/>
  <c r="AQ118" i="1" s="1"/>
  <c r="AR118" i="1" s="1"/>
  <c r="AE118" i="1"/>
  <c r="AA119" i="1"/>
  <c r="BF118" i="1" l="1"/>
  <c r="AS117" i="1"/>
  <c r="AT117" i="1" s="1"/>
  <c r="BG117" i="1"/>
  <c r="AE119" i="1"/>
  <c r="AC119" i="1"/>
  <c r="AD119" i="1" s="1"/>
  <c r="AQ119" i="1" s="1"/>
  <c r="AR119" i="1" s="1"/>
  <c r="AA120" i="1"/>
  <c r="BG118" i="1" l="1"/>
  <c r="BF119" i="1"/>
  <c r="AS118" i="1"/>
  <c r="AT118" i="1" s="1"/>
  <c r="AE120" i="1"/>
  <c r="AC120" i="1"/>
  <c r="AD120" i="1" s="1"/>
  <c r="AQ120" i="1" s="1"/>
  <c r="AR120" i="1" s="1"/>
  <c r="AA121" i="1"/>
  <c r="BF120" i="1" l="1"/>
  <c r="AS119" i="1"/>
  <c r="AT119" i="1" s="1"/>
  <c r="BG119" i="1"/>
  <c r="AE121" i="1"/>
  <c r="AC121" i="1"/>
  <c r="AD121" i="1" s="1"/>
  <c r="AQ121" i="1" s="1"/>
  <c r="AR121" i="1" s="1"/>
  <c r="AA122" i="1"/>
  <c r="BF121" i="1" l="1"/>
  <c r="BG121" i="1" s="1"/>
  <c r="AS120" i="1"/>
  <c r="AT120" i="1" s="1"/>
  <c r="BG120" i="1"/>
  <c r="AE122" i="1"/>
  <c r="AC122" i="1"/>
  <c r="AD122" i="1" s="1"/>
  <c r="AQ122" i="1" s="1"/>
  <c r="AR122" i="1" s="1"/>
  <c r="AA123" i="1"/>
  <c r="BF122" i="1" l="1"/>
  <c r="AS121" i="1"/>
  <c r="AT121" i="1" s="1"/>
  <c r="AE123" i="1"/>
  <c r="AC123" i="1"/>
  <c r="AD123" i="1" s="1"/>
  <c r="AQ123" i="1" s="1"/>
  <c r="AR123" i="1" s="1"/>
  <c r="AA124" i="1"/>
  <c r="BF123" i="1" l="1"/>
  <c r="AS122" i="1"/>
  <c r="AT122" i="1" s="1"/>
  <c r="BG122" i="1"/>
  <c r="AE124" i="1"/>
  <c r="AC124" i="1"/>
  <c r="AD124" i="1" s="1"/>
  <c r="AQ124" i="1" s="1"/>
  <c r="AR124" i="1" s="1"/>
  <c r="AA125" i="1"/>
  <c r="BF124" i="1" l="1"/>
  <c r="AS123" i="1"/>
  <c r="AT123" i="1" s="1"/>
  <c r="BG123" i="1"/>
  <c r="AC125" i="1"/>
  <c r="AD125" i="1" s="1"/>
  <c r="AQ125" i="1" s="1"/>
  <c r="AR125" i="1" s="1"/>
  <c r="AE125" i="1"/>
  <c r="AA126" i="1"/>
  <c r="N14" i="13"/>
  <c r="N15" i="13" s="1"/>
  <c r="BF125" i="1" l="1"/>
  <c r="AS124" i="1"/>
  <c r="AT124" i="1" s="1"/>
  <c r="BG124" i="1"/>
  <c r="AE126" i="1"/>
  <c r="AC126" i="1"/>
  <c r="AD126" i="1" s="1"/>
  <c r="AQ126" i="1" s="1"/>
  <c r="AR126" i="1" s="1"/>
  <c r="AA127" i="1"/>
  <c r="BF126" i="1" l="1"/>
  <c r="AS125" i="1"/>
  <c r="AT125" i="1" s="1"/>
  <c r="BG125" i="1"/>
  <c r="AE127" i="1"/>
  <c r="AC127" i="1"/>
  <c r="AD127" i="1" s="1"/>
  <c r="AQ127" i="1" s="1"/>
  <c r="AR127" i="1" s="1"/>
  <c r="AA128" i="1"/>
  <c r="BG126" i="1" l="1"/>
  <c r="BF127" i="1"/>
  <c r="AS126" i="1"/>
  <c r="AT126" i="1" s="1"/>
  <c r="AE128" i="1"/>
  <c r="AC128" i="1"/>
  <c r="AD128" i="1" s="1"/>
  <c r="AQ128" i="1" s="1"/>
  <c r="AR128" i="1" s="1"/>
  <c r="AA129" i="1"/>
  <c r="BG127" i="1" l="1"/>
  <c r="BF128" i="1"/>
  <c r="BG128" i="1" s="1"/>
  <c r="AS127" i="1"/>
  <c r="AT127" i="1" s="1"/>
  <c r="AC129" i="1"/>
  <c r="AD129" i="1" s="1"/>
  <c r="AQ129" i="1" s="1"/>
  <c r="AR129" i="1" s="1"/>
  <c r="AE129" i="1"/>
  <c r="AA130" i="1"/>
  <c r="AS129" i="1" l="1"/>
  <c r="AT129" i="1" s="1"/>
  <c r="BF129" i="1"/>
  <c r="AS128" i="1"/>
  <c r="AT128" i="1" s="1"/>
  <c r="AE130" i="1"/>
  <c r="AC130" i="1"/>
  <c r="AD130" i="1" s="1"/>
  <c r="AQ130" i="1" s="1"/>
  <c r="AR130" i="1" s="1"/>
  <c r="AA131" i="1"/>
  <c r="BF130" i="1" l="1"/>
  <c r="BG129" i="1"/>
  <c r="AE131" i="1"/>
  <c r="AC131" i="1"/>
  <c r="AD131" i="1" s="1"/>
  <c r="AQ131" i="1" s="1"/>
  <c r="AR131" i="1" s="1"/>
  <c r="AA132" i="1"/>
  <c r="AS130" i="1" l="1"/>
  <c r="AT130" i="1" s="1"/>
  <c r="BG130" i="1"/>
  <c r="AS131" i="1"/>
  <c r="AT131" i="1" s="1"/>
  <c r="BF131" i="1"/>
  <c r="AE132" i="1"/>
  <c r="AC132" i="1"/>
  <c r="AD132" i="1" s="1"/>
  <c r="AQ132" i="1" s="1"/>
  <c r="AR132" i="1" s="1"/>
  <c r="AA133" i="1"/>
  <c r="BF132" i="1" l="1"/>
  <c r="BG131" i="1"/>
  <c r="AE133" i="1"/>
  <c r="AC133" i="1"/>
  <c r="AD133" i="1" s="1"/>
  <c r="AQ133" i="1" s="1"/>
  <c r="AR133" i="1" s="1"/>
  <c r="AA134" i="1"/>
  <c r="BG132" i="1" l="1"/>
  <c r="BF133" i="1"/>
  <c r="BG133" i="1" s="1"/>
  <c r="AS132" i="1"/>
  <c r="AT132" i="1" s="1"/>
  <c r="AC134" i="1"/>
  <c r="AD134" i="1" s="1"/>
  <c r="AQ134" i="1" s="1"/>
  <c r="AR134" i="1" s="1"/>
  <c r="AE134" i="1"/>
  <c r="W7" i="13"/>
  <c r="W14" i="13" s="1"/>
  <c r="W15" i="13" s="1"/>
  <c r="AA135" i="1"/>
  <c r="BF134" i="1" l="1"/>
  <c r="BG134" i="1" s="1"/>
  <c r="AS133" i="1"/>
  <c r="AT133" i="1" s="1"/>
  <c r="AC135" i="1"/>
  <c r="AD135" i="1" s="1"/>
  <c r="AQ135" i="1" s="1"/>
  <c r="AR135" i="1" s="1"/>
  <c r="AE135" i="1"/>
  <c r="AA136" i="1"/>
  <c r="BF135" i="1" l="1"/>
  <c r="AS134" i="1"/>
  <c r="AT134" i="1" s="1"/>
  <c r="AC136" i="1"/>
  <c r="AD136" i="1" s="1"/>
  <c r="AQ136" i="1" s="1"/>
  <c r="AR136" i="1" s="1"/>
  <c r="AE136" i="1"/>
  <c r="BF136" i="1" l="1"/>
  <c r="AS135" i="1"/>
  <c r="AT135" i="1" s="1"/>
  <c r="BG135" i="1"/>
  <c r="AA138" i="1"/>
  <c r="AS136" i="1" l="1"/>
  <c r="AT136" i="1" s="1"/>
  <c r="BG136" i="1"/>
  <c r="AC138" i="1"/>
  <c r="AD138" i="1" s="1"/>
  <c r="AQ138" i="1" s="1"/>
  <c r="AR138" i="1" s="1"/>
  <c r="AE138" i="1"/>
  <c r="AA139" i="1"/>
  <c r="BF138" i="1" l="1"/>
  <c r="AE139" i="1"/>
  <c r="AC139" i="1"/>
  <c r="AD139" i="1" s="1"/>
  <c r="AQ139" i="1" s="1"/>
  <c r="AR139" i="1" s="1"/>
  <c r="AA140" i="1"/>
  <c r="BG138" i="1" l="1"/>
  <c r="BF139" i="1"/>
  <c r="AS138" i="1"/>
  <c r="AT138" i="1" s="1"/>
  <c r="AC140" i="1"/>
  <c r="AD140" i="1" s="1"/>
  <c r="AQ140" i="1" s="1"/>
  <c r="AR140" i="1" s="1"/>
  <c r="AE140" i="1"/>
  <c r="AA141" i="1"/>
  <c r="BF140" i="1" l="1"/>
  <c r="AS139" i="1"/>
  <c r="AT139" i="1" s="1"/>
  <c r="BG139" i="1"/>
  <c r="AE141" i="1"/>
  <c r="AC141" i="1"/>
  <c r="AD141" i="1" s="1"/>
  <c r="AQ141" i="1" s="1"/>
  <c r="AR141" i="1" s="1"/>
  <c r="AA142" i="1"/>
  <c r="BF141" i="1" l="1"/>
  <c r="AS140" i="1"/>
  <c r="AT140" i="1" s="1"/>
  <c r="BG140" i="1"/>
  <c r="AE142" i="1"/>
  <c r="AC142" i="1"/>
  <c r="AD142" i="1" s="1"/>
  <c r="AQ142" i="1" s="1"/>
  <c r="AR142" i="1" s="1"/>
  <c r="AA143" i="1"/>
  <c r="BF142" i="1" l="1"/>
  <c r="AS141" i="1"/>
  <c r="AT141" i="1" s="1"/>
  <c r="BG141" i="1"/>
  <c r="AE143" i="1"/>
  <c r="AC143" i="1"/>
  <c r="AD143" i="1" s="1"/>
  <c r="AQ143" i="1" s="1"/>
  <c r="AR143" i="1" s="1"/>
  <c r="AA144" i="1"/>
  <c r="BF143" i="1" l="1"/>
  <c r="BG143" i="1" s="1"/>
  <c r="AS142" i="1"/>
  <c r="AT142" i="1" s="1"/>
  <c r="BG142" i="1"/>
  <c r="AC144" i="1"/>
  <c r="AD144" i="1" s="1"/>
  <c r="AQ144" i="1" s="1"/>
  <c r="AR144" i="1" s="1"/>
  <c r="AE144" i="1"/>
  <c r="AA145" i="1"/>
  <c r="BF144" i="1" l="1"/>
  <c r="AS143" i="1"/>
  <c r="AT143" i="1" s="1"/>
  <c r="AE145" i="1"/>
  <c r="AC145" i="1"/>
  <c r="AD145" i="1" s="1"/>
  <c r="AQ145" i="1" s="1"/>
  <c r="AR145" i="1" s="1"/>
  <c r="AA146" i="1"/>
  <c r="AS144" i="1" l="1"/>
  <c r="AT144" i="1" s="1"/>
  <c r="BG144" i="1"/>
  <c r="AS145" i="1"/>
  <c r="AT145" i="1" s="1"/>
  <c r="BF145" i="1"/>
  <c r="AC146" i="1"/>
  <c r="AD146" i="1" s="1"/>
  <c r="AQ146" i="1" s="1"/>
  <c r="AR146" i="1" s="1"/>
  <c r="AE146" i="1"/>
  <c r="AA147" i="1"/>
  <c r="BG145" i="1" l="1"/>
  <c r="AS146" i="1"/>
  <c r="AT146" i="1" s="1"/>
  <c r="BF146" i="1"/>
  <c r="AC147" i="1"/>
  <c r="AD147" i="1" s="1"/>
  <c r="AQ147" i="1" s="1"/>
  <c r="AR147" i="1" s="1"/>
  <c r="AE147" i="1"/>
  <c r="AA148" i="1"/>
  <c r="BG146" i="1" l="1"/>
  <c r="AS147" i="1"/>
  <c r="AT147" i="1" s="1"/>
  <c r="BF147" i="1"/>
  <c r="AE148" i="1"/>
  <c r="AC148" i="1"/>
  <c r="AD148" i="1" s="1"/>
  <c r="AQ148" i="1" s="1"/>
  <c r="AR148" i="1" s="1"/>
  <c r="AA149" i="1"/>
  <c r="BF148" i="1" l="1"/>
  <c r="BG147" i="1"/>
  <c r="AE149" i="1"/>
  <c r="AC149" i="1"/>
  <c r="AD149" i="1" s="1"/>
  <c r="AQ149" i="1" s="1"/>
  <c r="AR149" i="1" s="1"/>
  <c r="AA150" i="1"/>
  <c r="AS149" i="1" l="1"/>
  <c r="AT149" i="1" s="1"/>
  <c r="BF149" i="1"/>
  <c r="AS148" i="1"/>
  <c r="AT148" i="1" s="1"/>
  <c r="BG148" i="1"/>
  <c r="AC150" i="1"/>
  <c r="AD150" i="1" s="1"/>
  <c r="AQ150" i="1" s="1"/>
  <c r="AR150" i="1" s="1"/>
  <c r="AE150" i="1"/>
  <c r="AA155" i="1"/>
  <c r="AA151" i="1"/>
  <c r="BG149" i="1" l="1"/>
  <c r="BF150" i="1"/>
  <c r="AC155" i="1"/>
  <c r="AD155" i="1" s="1"/>
  <c r="AQ155" i="1" s="1"/>
  <c r="AR155" i="1" s="1"/>
  <c r="AE155" i="1"/>
  <c r="AE151" i="1"/>
  <c r="AC151" i="1"/>
  <c r="AD151" i="1" s="1"/>
  <c r="AQ151" i="1" s="1"/>
  <c r="AR151" i="1" s="1"/>
  <c r="AA156" i="1"/>
  <c r="AA152" i="1"/>
  <c r="BF155" i="1" l="1"/>
  <c r="BF151" i="1"/>
  <c r="AS150" i="1"/>
  <c r="AT150" i="1" s="1"/>
  <c r="BG150" i="1"/>
  <c r="AE156" i="1"/>
  <c r="AC156" i="1"/>
  <c r="AD156" i="1" s="1"/>
  <c r="AQ156" i="1" s="1"/>
  <c r="AR156" i="1" s="1"/>
  <c r="AE152" i="1"/>
  <c r="AC152" i="1"/>
  <c r="AD152" i="1" s="1"/>
  <c r="AQ152" i="1" s="1"/>
  <c r="AR152" i="1" s="1"/>
  <c r="AA157" i="1"/>
  <c r="AA153" i="1"/>
  <c r="BG151" i="1" l="1"/>
  <c r="BF156" i="1"/>
  <c r="BF152" i="1"/>
  <c r="AS155" i="1"/>
  <c r="AT155" i="1" s="1"/>
  <c r="BG155" i="1"/>
  <c r="AE157" i="1"/>
  <c r="AC157" i="1"/>
  <c r="AD157" i="1" s="1"/>
  <c r="AQ157" i="1" s="1"/>
  <c r="AR157" i="1" s="1"/>
  <c r="AS151" i="1"/>
  <c r="AT151" i="1" s="1"/>
  <c r="AC153" i="1"/>
  <c r="AD153" i="1" s="1"/>
  <c r="AQ153" i="1" s="1"/>
  <c r="AR153" i="1" s="1"/>
  <c r="AE153" i="1"/>
  <c r="AA158" i="1"/>
  <c r="AA154" i="1"/>
  <c r="BF157" i="1" l="1"/>
  <c r="BF153" i="1"/>
  <c r="AS156" i="1"/>
  <c r="AT156" i="1" s="1"/>
  <c r="BG156" i="1"/>
  <c r="AS152" i="1"/>
  <c r="AT152" i="1" s="1"/>
  <c r="BG152" i="1"/>
  <c r="AE158" i="1"/>
  <c r="AC158" i="1"/>
  <c r="AD158" i="1" s="1"/>
  <c r="AQ158" i="1" s="1"/>
  <c r="AR158" i="1" s="1"/>
  <c r="AE154" i="1"/>
  <c r="AC154" i="1"/>
  <c r="AD154" i="1" s="1"/>
  <c r="AQ154" i="1" s="1"/>
  <c r="AR154" i="1" s="1"/>
  <c r="AA159" i="1"/>
  <c r="BF158" i="1" l="1"/>
  <c r="BF154" i="1"/>
  <c r="AS157" i="1"/>
  <c r="AT157" i="1" s="1"/>
  <c r="BG157" i="1"/>
  <c r="AS153" i="1"/>
  <c r="AT153" i="1" s="1"/>
  <c r="BG153" i="1"/>
  <c r="AE159" i="1"/>
  <c r="AC159" i="1"/>
  <c r="AD159" i="1" s="1"/>
  <c r="AQ159" i="1" s="1"/>
  <c r="AR159" i="1" s="1"/>
  <c r="AA160" i="1"/>
  <c r="AA161" i="1"/>
  <c r="BG154" i="1" l="1"/>
  <c r="BF159" i="1"/>
  <c r="AS158" i="1"/>
  <c r="AT158" i="1" s="1"/>
  <c r="BG158" i="1"/>
  <c r="AE160" i="1"/>
  <c r="AC160" i="1"/>
  <c r="AD160" i="1" s="1"/>
  <c r="AQ160" i="1" s="1"/>
  <c r="AR160" i="1" s="1"/>
  <c r="AS154" i="1"/>
  <c r="AT154" i="1" s="1"/>
  <c r="AE161" i="1"/>
  <c r="AC161" i="1"/>
  <c r="AD161" i="1" s="1"/>
  <c r="AQ161" i="1" s="1"/>
  <c r="AR161" i="1" s="1"/>
  <c r="BF160" i="1" l="1"/>
  <c r="BF161" i="1"/>
  <c r="BG161" i="1" s="1"/>
  <c r="AS159" i="1"/>
  <c r="AT159" i="1" s="1"/>
  <c r="BG159" i="1"/>
  <c r="AA162" i="1"/>
  <c r="AA163" i="1"/>
  <c r="AS160" i="1" l="1"/>
  <c r="AT160" i="1" s="1"/>
  <c r="BG160" i="1"/>
  <c r="AE162" i="1"/>
  <c r="AC162" i="1"/>
  <c r="AD162" i="1" s="1"/>
  <c r="AQ162" i="1" s="1"/>
  <c r="AR162" i="1" s="1"/>
  <c r="AS161" i="1"/>
  <c r="AT161" i="1" s="1"/>
  <c r="AE163" i="1"/>
  <c r="AC163" i="1"/>
  <c r="AD163" i="1" s="1"/>
  <c r="AQ163" i="1" s="1"/>
  <c r="AR163" i="1" s="1"/>
  <c r="BF162" i="1" l="1"/>
  <c r="BF163" i="1"/>
  <c r="AA164" i="1"/>
  <c r="AS162" i="1" l="1"/>
  <c r="AT162" i="1" s="1"/>
  <c r="BG162" i="1"/>
  <c r="AS163" i="1"/>
  <c r="AT163" i="1" s="1"/>
  <c r="BG163" i="1"/>
  <c r="AE164" i="1"/>
  <c r="AC164" i="1"/>
  <c r="AD164" i="1" s="1"/>
  <c r="AQ164" i="1" s="1"/>
  <c r="AR164" i="1" s="1"/>
  <c r="AA165" i="1"/>
  <c r="BF164" i="1" l="1"/>
  <c r="AE165" i="1"/>
  <c r="AC165" i="1"/>
  <c r="AD165" i="1" s="1"/>
  <c r="AQ165" i="1" s="1"/>
  <c r="AR165" i="1" s="1"/>
  <c r="AA166" i="1"/>
  <c r="BF165" i="1" l="1"/>
  <c r="AS164" i="1"/>
  <c r="AT164" i="1" s="1"/>
  <c r="BG164" i="1"/>
  <c r="AC166" i="1"/>
  <c r="AD166" i="1" s="1"/>
  <c r="AQ166" i="1" s="1"/>
  <c r="AR166" i="1" s="1"/>
  <c r="AE166" i="1"/>
  <c r="AA167" i="1"/>
  <c r="BF166" i="1" l="1"/>
  <c r="AS165" i="1"/>
  <c r="AT165" i="1" s="1"/>
  <c r="BG165" i="1"/>
  <c r="AC167" i="1"/>
  <c r="AD167" i="1" s="1"/>
  <c r="AQ167" i="1" s="1"/>
  <c r="AR167" i="1" s="1"/>
  <c r="AE167" i="1"/>
  <c r="AA168" i="1"/>
  <c r="AE170" i="1"/>
  <c r="AC170" i="1"/>
  <c r="AD170" i="1" s="1"/>
  <c r="AQ170" i="1" s="1"/>
  <c r="AR170" i="1" s="1"/>
  <c r="BF167" i="1" l="1"/>
  <c r="AS170" i="1"/>
  <c r="BF170" i="1"/>
  <c r="AS166" i="1"/>
  <c r="AT166" i="1" s="1"/>
  <c r="BG166" i="1"/>
  <c r="AE168" i="1"/>
  <c r="AC168" i="1"/>
  <c r="AD168" i="1" s="1"/>
  <c r="AQ168" i="1" s="1"/>
  <c r="AR168" i="1" s="1"/>
  <c r="AA169" i="1"/>
  <c r="AC171" i="1"/>
  <c r="AD171" i="1" s="1"/>
  <c r="AQ171" i="1" s="1"/>
  <c r="AR171" i="1" s="1"/>
  <c r="AE171" i="1"/>
  <c r="BF168" i="1" l="1"/>
  <c r="BG170" i="1"/>
  <c r="AS171" i="1"/>
  <c r="BF171" i="1"/>
  <c r="AS167" i="1"/>
  <c r="AT167" i="1" s="1"/>
  <c r="BG167" i="1"/>
  <c r="AC169" i="1"/>
  <c r="AD169" i="1" s="1"/>
  <c r="AQ169" i="1" s="1"/>
  <c r="AR169" i="1" s="1"/>
  <c r="AE169" i="1"/>
  <c r="AT170" i="1"/>
  <c r="AC172" i="1"/>
  <c r="AD172" i="1" s="1"/>
  <c r="AQ172" i="1" s="1"/>
  <c r="AR172" i="1" s="1"/>
  <c r="AE172" i="1"/>
  <c r="BF169" i="1" l="1"/>
  <c r="BG171" i="1"/>
  <c r="AS172" i="1"/>
  <c r="BF172" i="1"/>
  <c r="AS168" i="1"/>
  <c r="AT168" i="1" s="1"/>
  <c r="BG168" i="1"/>
  <c r="AT171" i="1"/>
  <c r="AC173" i="1"/>
  <c r="AD173" i="1" s="1"/>
  <c r="AQ173" i="1" s="1"/>
  <c r="AR173" i="1" s="1"/>
  <c r="AE173" i="1"/>
  <c r="BG172" i="1" l="1"/>
  <c r="AS173" i="1"/>
  <c r="BF173" i="1"/>
  <c r="AS169" i="1"/>
  <c r="AT169" i="1" s="1"/>
  <c r="BG169" i="1"/>
  <c r="AT172" i="1"/>
  <c r="AC174" i="1"/>
  <c r="AD174" i="1" s="1"/>
  <c r="AQ174" i="1" s="1"/>
  <c r="AR174" i="1" s="1"/>
  <c r="AE174" i="1"/>
  <c r="BG173" i="1" l="1"/>
  <c r="AS174" i="1"/>
  <c r="BF174" i="1"/>
  <c r="AT173" i="1"/>
  <c r="AC175" i="1"/>
  <c r="AD175" i="1" s="1"/>
  <c r="AQ175" i="1" s="1"/>
  <c r="AR175" i="1" s="1"/>
  <c r="AE175" i="1"/>
  <c r="BG174" i="1" l="1"/>
  <c r="AS175" i="1"/>
  <c r="BF175" i="1"/>
  <c r="AT174" i="1"/>
  <c r="AC176" i="1"/>
  <c r="AD176" i="1" s="1"/>
  <c r="AQ176" i="1" s="1"/>
  <c r="AR176" i="1" s="1"/>
  <c r="AE176" i="1"/>
  <c r="BG175" i="1" l="1"/>
  <c r="AS176" i="1"/>
  <c r="BF176" i="1"/>
  <c r="BG176" i="1" s="1"/>
  <c r="AT175" i="1"/>
  <c r="AC177" i="1"/>
  <c r="AD177" i="1" s="1"/>
  <c r="AQ177" i="1" s="1"/>
  <c r="AR177" i="1" s="1"/>
  <c r="AE177" i="1"/>
  <c r="AS177" i="1" l="1"/>
  <c r="BF177" i="1"/>
  <c r="AT176" i="1"/>
  <c r="F11" i="13"/>
  <c r="F10" i="13"/>
  <c r="F12" i="13"/>
  <c r="F8" i="13"/>
  <c r="L8" i="13" s="1"/>
  <c r="F13" i="13"/>
  <c r="F39" i="13"/>
  <c r="H39" i="13" s="1"/>
  <c r="F38" i="13"/>
  <c r="H38" i="13" s="1"/>
  <c r="F40" i="13"/>
  <c r="H40" i="13" s="1"/>
  <c r="F36" i="13"/>
  <c r="H36" i="13" s="1"/>
  <c r="F41" i="13"/>
  <c r="H41" i="13" s="1"/>
  <c r="AC178" i="1"/>
  <c r="AE178" i="1"/>
  <c r="BG177" i="1" l="1"/>
  <c r="AT177" i="1"/>
  <c r="H10" i="13"/>
  <c r="J10" i="13" s="1"/>
  <c r="L10" i="13"/>
  <c r="M10" i="13" s="1"/>
  <c r="H11" i="13"/>
  <c r="I11" i="13" s="1"/>
  <c r="L11" i="13"/>
  <c r="M11" i="13" s="1"/>
  <c r="H13" i="13"/>
  <c r="I13" i="13" s="1"/>
  <c r="L13" i="13"/>
  <c r="M13" i="13" s="1"/>
  <c r="M8" i="13"/>
  <c r="H12" i="13"/>
  <c r="I12" i="13" s="1"/>
  <c r="L12" i="13"/>
  <c r="M12" i="13" s="1"/>
  <c r="H8" i="13"/>
  <c r="J41" i="13"/>
  <c r="K41" i="13" s="1"/>
  <c r="I41" i="13"/>
  <c r="J36" i="13"/>
  <c r="K36" i="13" s="1"/>
  <c r="I36" i="13"/>
  <c r="J40" i="13"/>
  <c r="K40" i="13" s="1"/>
  <c r="I40" i="13"/>
  <c r="I38" i="13"/>
  <c r="J38" i="13"/>
  <c r="K38" i="13" s="1"/>
  <c r="J39" i="13"/>
  <c r="I39" i="13"/>
  <c r="AD178" i="1"/>
  <c r="AQ178" i="1" s="1"/>
  <c r="AR178" i="1" s="1"/>
  <c r="AS178" i="1" l="1"/>
  <c r="BF178" i="1"/>
  <c r="X10" i="13"/>
  <c r="X12" i="13"/>
  <c r="X13" i="13"/>
  <c r="X11" i="13"/>
  <c r="X8" i="13"/>
  <c r="I10" i="13"/>
  <c r="J12" i="13"/>
  <c r="J11" i="13"/>
  <c r="J13" i="13"/>
  <c r="K10" i="13"/>
  <c r="J8" i="13"/>
  <c r="I8" i="13"/>
  <c r="K39" i="13"/>
  <c r="BG178" i="1" l="1"/>
  <c r="Y8" i="13"/>
  <c r="Y13" i="13"/>
  <c r="Y12" i="13"/>
  <c r="Y10" i="13"/>
  <c r="Z10" i="13" s="1"/>
  <c r="AA10" i="13" s="1"/>
  <c r="AB10" i="13" s="1"/>
  <c r="Y11" i="13"/>
  <c r="K11" i="13"/>
  <c r="K12" i="13"/>
  <c r="K13" i="13"/>
  <c r="AM5" i="1"/>
  <c r="K8" i="13"/>
  <c r="AT178" i="1" l="1"/>
  <c r="Z13" i="13"/>
  <c r="AA13" i="13" s="1"/>
  <c r="AB13" i="13" s="1"/>
  <c r="BB5" i="1"/>
  <c r="AN5" i="1"/>
  <c r="Z11" i="13" l="1"/>
  <c r="AA11" i="13" s="1"/>
  <c r="AB11" i="13" s="1"/>
  <c r="Z12" i="13"/>
  <c r="AA12" i="13" s="1"/>
  <c r="AB12" i="13" s="1"/>
  <c r="BC5" i="1"/>
  <c r="AP5" i="1" l="1"/>
  <c r="Z8" i="13" l="1"/>
  <c r="AA8" i="13" l="1"/>
  <c r="AB8" i="13" l="1"/>
  <c r="BD137" i="1" l="1"/>
  <c r="V7" i="13"/>
  <c r="AO5" i="1"/>
  <c r="BD5" i="1" l="1"/>
  <c r="AA137" i="1"/>
  <c r="BE137" i="1"/>
  <c r="V14" i="13"/>
  <c r="V15" i="13" s="1"/>
  <c r="AE137" i="1" l="1"/>
  <c r="AA5" i="1"/>
  <c r="AA4" i="1" s="1"/>
  <c r="AC137" i="1"/>
  <c r="F35" i="13"/>
  <c r="F7" i="13"/>
  <c r="BE5" i="1"/>
  <c r="AE5" i="1" l="1"/>
  <c r="AD137" i="1"/>
  <c r="AQ137" i="1" s="1"/>
  <c r="AR137" i="1" s="1"/>
  <c r="AC5" i="1"/>
  <c r="AC4" i="1" s="1"/>
  <c r="H35" i="13"/>
  <c r="F42" i="13"/>
  <c r="F43" i="13" s="1"/>
  <c r="L7" i="13"/>
  <c r="F14" i="13"/>
  <c r="F15" i="13" s="1"/>
  <c r="H7" i="13"/>
  <c r="AD5" i="1" l="1"/>
  <c r="AD4" i="1" s="1"/>
  <c r="H42" i="13"/>
  <c r="J35" i="13"/>
  <c r="I35" i="13"/>
  <c r="L14" i="13"/>
  <c r="M14" i="13" s="1"/>
  <c r="M7" i="13"/>
  <c r="J7" i="13"/>
  <c r="I7" i="13"/>
  <c r="H14" i="13"/>
  <c r="BF137" i="1" l="1"/>
  <c r="AQ5" i="1"/>
  <c r="X7" i="13"/>
  <c r="AS137" i="1"/>
  <c r="I42" i="13"/>
  <c r="H43" i="13"/>
  <c r="K35" i="13"/>
  <c r="J42" i="13"/>
  <c r="K42" i="13" s="1"/>
  <c r="J14" i="13"/>
  <c r="K14" i="13" s="1"/>
  <c r="K7" i="13"/>
  <c r="H15" i="13"/>
  <c r="I14" i="13"/>
  <c r="BF5" i="1" l="1"/>
  <c r="BG137" i="1"/>
  <c r="BG5" i="1" s="1"/>
  <c r="AS5" i="1"/>
  <c r="AT137" i="1"/>
  <c r="AT5" i="1" s="1"/>
  <c r="X14" i="13"/>
  <c r="X15" i="13" s="1"/>
  <c r="AR5" i="1"/>
  <c r="Y7" i="13"/>
  <c r="Y14" i="13" l="1"/>
  <c r="Y15" i="13" s="1"/>
  <c r="Z7" i="13"/>
  <c r="AA7" i="13" l="1"/>
  <c r="Z14" i="13"/>
  <c r="Z15" i="13" s="1"/>
  <c r="AA14" i="13" l="1"/>
  <c r="AB14" i="13" s="1"/>
  <c r="AB7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tc={D9E5A2E6-2D93-480F-8598-DC36B7C2B138}</author>
    <author>tc={87A19323-96E8-4B92-AA63-09514F4B8E9E}</author>
    <author>tc={148F2D23-5A59-4E68-89DF-2B38853D275A}</author>
  </authors>
  <commentList>
    <comment ref="X6" authorId="0" shapeId="0" xr:uid="{D9E5A2E6-2D93-480F-8598-DC36B7C2B138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the following T-code:
KO22 - Loading of original budget (=)
KO24 - Loading of supplemental budget (+)
KO26 - Loading of budget return (-)</t>
      </text>
    </comment>
    <comment ref="A84" authorId="1" shapeId="0" xr:uid="{87A19323-96E8-4B92-AA63-09514F4B8E9E}">
      <text>
        <t>[Threaded comment]
Your version of Excel allows you to read this threaded comment; however, any edits to it will get removed if the file is opened in a newer version of Excel. Learn more: https://go.microsoft.com/fwlink/?linkid=870924
Comment:
    10001408 old</t>
      </text>
    </comment>
    <comment ref="A85" authorId="2" shapeId="0" xr:uid="{148F2D23-5A59-4E68-89DF-2B38853D275A}">
      <text>
        <t>[Threaded comment]
Your version of Excel allows you to read this threaded comment; however, any edits to it will get removed if the file is opened in a newer version of Excel. Learn more: https://go.microsoft.com/fwlink/?linkid=870924
Comment:
    10001405 old</t>
      </text>
    </comment>
  </commentList>
</comments>
</file>

<file path=xl/sharedStrings.xml><?xml version="1.0" encoding="utf-8"?>
<sst xmlns="http://schemas.openxmlformats.org/spreadsheetml/2006/main" count="16114" uniqueCount="3445">
  <si>
    <t>Corporate - HR</t>
  </si>
  <si>
    <t>New</t>
  </si>
  <si>
    <t>MGM-2026B-NPC001</t>
  </si>
  <si>
    <t>TID-0000067130</t>
  </si>
  <si>
    <t>2026 BYD TANG DMI B.BORJA</t>
  </si>
  <si>
    <t>BENJAMIN BORJA</t>
  </si>
  <si>
    <t>MDIA</t>
  </si>
  <si>
    <t>01/20/2026</t>
  </si>
  <si>
    <t>01/31/2026</t>
  </si>
  <si>
    <t>MALLS</t>
  </si>
  <si>
    <t>TID-0000067151</t>
  </si>
  <si>
    <t>GH AUTOMATIC SLIDING DOOR</t>
  </si>
  <si>
    <t>JUN SIOSON/ DOMINIC VILLANUEVA</t>
  </si>
  <si>
    <t>JAMES CANDELARIA</t>
  </si>
  <si>
    <t>03/31/2026</t>
  </si>
  <si>
    <t>02/05/2026</t>
  </si>
  <si>
    <t>RFT-2026B-NPC006</t>
  </si>
  <si>
    <t>TID-0000067740</t>
  </si>
  <si>
    <t>ES PARKING LIGHTINGS &amp; BARRIER UPGRADE</t>
  </si>
  <si>
    <t>ROWENA MISLOS</t>
  </si>
  <si>
    <t>RANDY TORRES</t>
  </si>
  <si>
    <t>01/29/2026</t>
  </si>
  <si>
    <t>01/01/2026</t>
  </si>
  <si>
    <t>08/31/2026</t>
  </si>
  <si>
    <t>0300011308</t>
  </si>
  <si>
    <t>RFT-2026B-NPC021</t>
  </si>
  <si>
    <t>ES UPGRADE OF MALL ENTRANCES</t>
  </si>
  <si>
    <t>06/30/2026</t>
  </si>
  <si>
    <t>0300011309</t>
  </si>
  <si>
    <t>CR</t>
  </si>
  <si>
    <t>RFT-2026B-NPC022</t>
  </si>
  <si>
    <t>TID-0000067735</t>
  </si>
  <si>
    <t>ES UPGRADE OF MALL COMMON CRS</t>
  </si>
  <si>
    <t>0300011310</t>
  </si>
  <si>
    <t>RFT-2026B-NPC023</t>
  </si>
  <si>
    <t>TID-0000067737</t>
  </si>
  <si>
    <t>ES EW FACILITY ENHANCEMENTS</t>
  </si>
  <si>
    <t>0300011311</t>
  </si>
  <si>
    <t>RFT-2026B-NPC024</t>
  </si>
  <si>
    <t>ES REFRESH OF AL FRESCO</t>
  </si>
  <si>
    <t>RFT-2026B-NPC026</t>
  </si>
  <si>
    <t>TID-0000067741</t>
  </si>
  <si>
    <t>ES REPAINTING &amp; IMPROVEMENT OF PARKING SIGNAGES</t>
  </si>
  <si>
    <t>0300011313</t>
  </si>
  <si>
    <t>RFT-2026B-NPC027</t>
  </si>
  <si>
    <t>ES EW PARKING SIGNAGES REPAINTING &amp; IMPROVEMENT</t>
  </si>
  <si>
    <t>RFT-2026B-NPC001</t>
  </si>
  <si>
    <t>TID-0000067731</t>
  </si>
  <si>
    <t>ES 2026 SPACE RE-CUT &amp; STUB-OUT</t>
  </si>
  <si>
    <t>12/31/2026</t>
  </si>
  <si>
    <t>0300011315</t>
  </si>
  <si>
    <t>RFT-2026B-NPC008</t>
  </si>
  <si>
    <t>ES EW 2026 SPACE RE-CUT &amp; STUB-OUT</t>
  </si>
  <si>
    <t>JLC-2026B-NPC001</t>
  </si>
  <si>
    <t>GH TENANT SPACE RE-CUT &amp; UTILITIES STUB-OUT</t>
  </si>
  <si>
    <t>JUN SIOSON</t>
  </si>
  <si>
    <t>10/31/2026</t>
  </si>
  <si>
    <t>Corporate - Admin</t>
  </si>
  <si>
    <t>TID-0000068582</t>
  </si>
  <si>
    <t>LAMINATED CABINETS FOR MS. CAROL MILLS</t>
  </si>
  <si>
    <t>CAROL TENEDERO</t>
  </si>
  <si>
    <t>LINO ARBOLEDA</t>
  </si>
  <si>
    <t>0300011318</t>
  </si>
  <si>
    <t>Orders</t>
  </si>
  <si>
    <t>IO Description</t>
  </si>
  <si>
    <t>SBU</t>
  </si>
  <si>
    <t>Group</t>
  </si>
  <si>
    <t>Type</t>
  </si>
  <si>
    <t>Date processed</t>
  </si>
  <si>
    <t>Budget Source Code</t>
  </si>
  <si>
    <t>BPM Ticket No.</t>
  </si>
  <si>
    <t>Order Type</t>
  </si>
  <si>
    <t>PROJECT NAME</t>
  </si>
  <si>
    <t>Count</t>
  </si>
  <si>
    <t>Co. Code</t>
  </si>
  <si>
    <t>CC NUMBERS</t>
  </si>
  <si>
    <t>CC NAME</t>
  </si>
  <si>
    <t>APPLICANT</t>
  </si>
  <si>
    <t>PERSON RESPONSIBLE</t>
  </si>
  <si>
    <t>APPLICATION DATE</t>
  </si>
  <si>
    <t>DIVISION</t>
  </si>
  <si>
    <t>START OF PROJECT</t>
  </si>
  <si>
    <t>END OF PROJECT</t>
  </si>
  <si>
    <t>Amount</t>
  </si>
  <si>
    <t>SAP Doc. No.</t>
  </si>
  <si>
    <t>CORPORATE</t>
  </si>
  <si>
    <t>SBU2</t>
  </si>
  <si>
    <t>TID-0000068738</t>
  </si>
  <si>
    <t>WPD-2026B-NPC029</t>
  </si>
  <si>
    <t>IBP TOWER CONFERENCE ROOM</t>
  </si>
  <si>
    <t>RONNEL MESANA</t>
  </si>
  <si>
    <t>WILBERT DIMZON</t>
  </si>
  <si>
    <t>04/30/2026</t>
  </si>
  <si>
    <t>OFFICES</t>
  </si>
  <si>
    <t>IBP TOWER PRV REPLACEMENT</t>
  </si>
  <si>
    <t>TID-0000068737</t>
  </si>
  <si>
    <t>WPD-2026B-NPC010</t>
  </si>
  <si>
    <t>New/Carryover</t>
  </si>
  <si>
    <t>Code</t>
  </si>
  <si>
    <t>Location/ Building</t>
  </si>
  <si>
    <t>Project Title</t>
  </si>
  <si>
    <t>Amount (VAT exclusive)</t>
  </si>
  <si>
    <t>Cut</t>
  </si>
  <si>
    <t>Revised</t>
  </si>
  <si>
    <t>Applicant</t>
  </si>
  <si>
    <t>Responsible</t>
  </si>
  <si>
    <t>Start of Project</t>
  </si>
  <si>
    <t>End of Project</t>
  </si>
  <si>
    <t>Priority? (Y/N)</t>
  </si>
  <si>
    <t>Remarks</t>
  </si>
  <si>
    <t>CC</t>
  </si>
  <si>
    <t>Randy Torres</t>
  </si>
  <si>
    <t>Special Project</t>
  </si>
  <si>
    <t>CC PASIG CIVIC CENTER</t>
  </si>
  <si>
    <t>CC PARK REDEVELOPMENT</t>
  </si>
  <si>
    <t>CAPITOL COMMONS IMPROVEMENTS</t>
  </si>
  <si>
    <t>Carryover</t>
  </si>
  <si>
    <t>GH IMPROVEMENT OF VMALL PARK</t>
  </si>
  <si>
    <t>GH PH1 STREETSCAPE PROJECT</t>
  </si>
  <si>
    <t>GH ESTATES LIFT STATION</t>
  </si>
  <si>
    <t>CC DRAINAGE IMPROVEMENT PH1A</t>
  </si>
  <si>
    <t>THE STRIP SEISMIC ACCELEROGR</t>
  </si>
  <si>
    <t>CC STP REHAB AND REPAIR</t>
  </si>
  <si>
    <t>ORTIGAS PARKLANE PARKING SYS</t>
  </si>
  <si>
    <t>THE STRIP VARIOUS TENANCY PR</t>
  </si>
  <si>
    <t>Total excl Special Projects</t>
  </si>
  <si>
    <t>Special Projects</t>
  </si>
  <si>
    <t>Total</t>
  </si>
  <si>
    <t>Location</t>
  </si>
  <si>
    <t>Budget Code</t>
  </si>
  <si>
    <t>Status</t>
  </si>
  <si>
    <t>Category</t>
  </si>
  <si>
    <t>PO/PR#</t>
  </si>
  <si>
    <t>Vendor</t>
  </si>
  <si>
    <t>Project Start</t>
  </si>
  <si>
    <t>Project Completion</t>
  </si>
  <si>
    <t>Accountable</t>
  </si>
  <si>
    <t>Consulted</t>
  </si>
  <si>
    <t>Informed</t>
  </si>
  <si>
    <t>Silver City</t>
  </si>
  <si>
    <t>SC4 VRF SYSTEM RECONDITIONIN</t>
  </si>
  <si>
    <t>Carry over</t>
  </si>
  <si>
    <t>Operations</t>
  </si>
  <si>
    <t>Mechanical</t>
  </si>
  <si>
    <t>4500030671</t>
  </si>
  <si>
    <t>KHG ENGINEERING</t>
  </si>
  <si>
    <t>Ongoing</t>
  </si>
  <si>
    <t>EGAY / MIKE / MHEL</t>
  </si>
  <si>
    <t>WIL DIMZON</t>
  </si>
  <si>
    <t>BENJIE  BORJA</t>
  </si>
  <si>
    <t>CAROL MILLS</t>
  </si>
  <si>
    <t>Estancia</t>
  </si>
  <si>
    <t>EONS ELEVATORS PARTS REPLACE</t>
  </si>
  <si>
    <t>4500030559</t>
  </si>
  <si>
    <t>CONCEPCION-OTIS PHILIPPINES, INC.</t>
  </si>
  <si>
    <t>VIEL / RAZEL</t>
  </si>
  <si>
    <t>ESW LIFT STATION REHABILITAT</t>
  </si>
  <si>
    <t>4500030613</t>
  </si>
  <si>
    <t>PENTA ENGINEERING MACHINERIES INC.</t>
  </si>
  <si>
    <t>SC4 WATER PROOFING OF ROOF D</t>
  </si>
  <si>
    <t>Civil/Architectural</t>
  </si>
  <si>
    <t>4500028439</t>
  </si>
  <si>
    <t>MLCP BUILDERS AND GENERAL SERVICES INC</t>
  </si>
  <si>
    <t>SC2&amp;3 WATER PROOFING OF ROOF</t>
  </si>
  <si>
    <t>4500030775</t>
  </si>
  <si>
    <t>3GM CONSTRUCTION FINISHING SERVICES</t>
  </si>
  <si>
    <t>GH Tower</t>
  </si>
  <si>
    <t>GH TOWER BIR FIT-OUT</t>
  </si>
  <si>
    <t>Special</t>
  </si>
  <si>
    <t>BIR Fit-out</t>
  </si>
  <si>
    <t>4500028599</t>
  </si>
  <si>
    <t>FORMS &amp; LINES EXCELLENCE CONSTRUCTION SERVICES</t>
  </si>
  <si>
    <t>PAUL DONGALLO</t>
  </si>
  <si>
    <t>IBP Tower</t>
  </si>
  <si>
    <t>IBP ACP REPLACEMENT &amp; PUMP R</t>
  </si>
  <si>
    <t>4500029701</t>
  </si>
  <si>
    <t>VERTITECH INDUSTRIAL SOLUTIONS INC.</t>
  </si>
  <si>
    <t>ESWW WATERPROOFING</t>
  </si>
  <si>
    <t>4500029754</t>
  </si>
  <si>
    <t>V &amp; C MASTER BUILDERS CORP</t>
  </si>
  <si>
    <t>SC2&amp;3 REHAB OF VRF</t>
  </si>
  <si>
    <t>4500030670</t>
  </si>
  <si>
    <t>TOP SOURCE MAINTENANCE AND CONTRACTING SERVICES INC</t>
  </si>
  <si>
    <t>SC5 ISOLATION VALVES REPLACE</t>
  </si>
  <si>
    <t>4500030776</t>
  </si>
  <si>
    <t>CITIAIRE INDUSTRIAL SERVICES CORPORATION</t>
  </si>
  <si>
    <t>SC1 STP REHABILITATION</t>
  </si>
  <si>
    <t xml:space="preserve">Sewage </t>
  </si>
  <si>
    <t>10031723</t>
  </si>
  <si>
    <t>PURE O3 PHILIPPINES</t>
  </si>
  <si>
    <t>NTP for approval</t>
  </si>
  <si>
    <t>SC2&amp;3 STP REHABILITATION</t>
  </si>
  <si>
    <t>10031722</t>
  </si>
  <si>
    <t>SC4 STP REHABILITATION</t>
  </si>
  <si>
    <t>10031721</t>
  </si>
  <si>
    <t>SC3 REHABILITATION OF TURNST</t>
  </si>
  <si>
    <t>10032244</t>
  </si>
  <si>
    <t>WPD-2026B-NPC001</t>
  </si>
  <si>
    <t>ENS ROOFDECK WATERPROOFING REPAIR</t>
  </si>
  <si>
    <t>To address water leak concern of tenant</t>
  </si>
  <si>
    <t>WPD-2026B-NPC002</t>
  </si>
  <si>
    <t>ENS MAJOR ELEVATOR PARTS REPLACEMENT (GOVERNOR ROPES, ETC)</t>
  </si>
  <si>
    <t>Safety concern</t>
  </si>
  <si>
    <t>WPD-2026B-NPC003</t>
  </si>
  <si>
    <t>EWW WATERPROOFING AND REPAINTING OF FAÇADE (CONTINUATION AT MERALCO AND ROAD LOT)</t>
  </si>
  <si>
    <t>WPD-2026B-NPC004</t>
  </si>
  <si>
    <t>EWW MAJOR ELEVATOR PARTS REPLACEMENT (GOVERNOR ROPES, ETC)</t>
  </si>
  <si>
    <t>WPD-2026B-NPC005</t>
  </si>
  <si>
    <t>EWW WATERPROOFING OF ELEVATOR PITS' PERIMETER WALL</t>
  </si>
  <si>
    <t>to avoid damage of the elevator</t>
  </si>
  <si>
    <t>WPD-2026B-NPC006</t>
  </si>
  <si>
    <t>IBP STP REHABILITATION</t>
  </si>
  <si>
    <t>to avoid Notice of Violation and smooth operation of STP</t>
  </si>
  <si>
    <t>WPD-2026B-NPC007</t>
  </si>
  <si>
    <t>IBP BLADDER TANK REPLACEMENT</t>
  </si>
  <si>
    <t xml:space="preserve">Plumbing </t>
  </si>
  <si>
    <t>to avoid downtime of water supply for the building</t>
  </si>
  <si>
    <t>WPD-2026B-NPC008</t>
  </si>
  <si>
    <t>IBP WATERPROOFING ROOFDECK</t>
  </si>
  <si>
    <t>WPD-2026B-NPC009</t>
  </si>
  <si>
    <t>IBP UPS REPLACEMENT (CCTV ROOM)</t>
  </si>
  <si>
    <t>Electronics</t>
  </si>
  <si>
    <t>Monitoring purposes</t>
  </si>
  <si>
    <t>IBP PRV (PRESSURE RELIEF VALVE)</t>
  </si>
  <si>
    <t>to address water hammering effect from tenant (Common Grounds)</t>
  </si>
  <si>
    <t>WPD-2026B-NPC011</t>
  </si>
  <si>
    <t xml:space="preserve">SC1 REHABILITATION OF STP </t>
  </si>
  <si>
    <t>to avoid Notice of Violation and smooth operation of STP, NTP for approval</t>
  </si>
  <si>
    <t>WPD-2026B-NPC012</t>
  </si>
  <si>
    <t>SC1 DECAGON PERIMETER GLASS AND ACP RE-SEALANT</t>
  </si>
  <si>
    <t>WPD-2026B-NPC013</t>
  </si>
  <si>
    <t>SC1 REHABILITATION OF COMMON AREA CR INCLUDING DECAGON</t>
  </si>
  <si>
    <t>customer experience</t>
  </si>
  <si>
    <t>WPD-2026B-NPC014</t>
  </si>
  <si>
    <t>SC1A ROOFDECK WATERPROOFING</t>
  </si>
  <si>
    <t>WPD-2026B-NPC015</t>
  </si>
  <si>
    <t xml:space="preserve">SC2&amp;3 REHABILITATION OF STP </t>
  </si>
  <si>
    <t>WPD-2026B-NPC016</t>
  </si>
  <si>
    <t xml:space="preserve">SC4 REHABILITATION OF STP </t>
  </si>
  <si>
    <t>WPD-2026B-NPC017</t>
  </si>
  <si>
    <t>SC4 PARKING POS</t>
  </si>
  <si>
    <t>BIR Compliance</t>
  </si>
  <si>
    <t>WPD-2026B-NPC018</t>
  </si>
  <si>
    <t xml:space="preserve">SC5 REHABILITATION OF STP </t>
  </si>
  <si>
    <t>WPD-2026B-NPC019</t>
  </si>
  <si>
    <t>SC5 REHAB OF COOLING TOWERS (2 UNITS)</t>
  </si>
  <si>
    <t>to achieve efficiency of the plant</t>
  </si>
  <si>
    <t>WPD-2026B-NPC020</t>
  </si>
  <si>
    <t>SC 1-5 FIRE AND JOCKEY PUMP REPLACEMENT OF PARTS</t>
  </si>
  <si>
    <t>Fire Protection</t>
  </si>
  <si>
    <t>TSG audit findings</t>
  </si>
  <si>
    <t>WPD-2026B-NPC021</t>
  </si>
  <si>
    <t>ENS REPLACEMENT OF MOTORIZED VALVES AND THERMOSTATS FOR AHUS</t>
  </si>
  <si>
    <t>WPD-2026B-NPC022</t>
  </si>
  <si>
    <t>SC1 INSTALLATION OF MOTORIZED VALVE AND THERMOSTAT</t>
  </si>
  <si>
    <t>WPD-2026B-NPC023</t>
  </si>
  <si>
    <t>SC1 RE-INSULATION OF AHU DUCTING (5 UNITS)</t>
  </si>
  <si>
    <t>WPD-2026B-NPC024</t>
  </si>
  <si>
    <t>ES RE-INSULATION OF MAIN CHILLED WATER PIPELINES</t>
  </si>
  <si>
    <t>WPD-2026B-NPC025</t>
  </si>
  <si>
    <t>SC5 REHAB OF CONTROL SYSTEM OF CHILLER PLANT</t>
  </si>
  <si>
    <t>WPD-2026B-NPC026</t>
  </si>
  <si>
    <t>ENS INSTALLATION OF VENTILATION SYSTEM AT SUBSTATION (POSTPONED FOR THIS YEAR 2025)</t>
  </si>
  <si>
    <t>Electrical</t>
  </si>
  <si>
    <t>Introduction of ventilation system at lift station</t>
  </si>
  <si>
    <t>WPD-2026B-NPC027</t>
  </si>
  <si>
    <t>ENS REPLACEMENT OF BARSCREEN WITH STAINLESS STEEL AT LIFT STATIONS</t>
  </si>
  <si>
    <t>replacement of deteriorated parts</t>
  </si>
  <si>
    <t>WPD-2026B-NPC028</t>
  </si>
  <si>
    <t>EWW BACK-UP SUBMERSIBLE PUMP FOR LIFT STATION (POSTPONED FOR THIS YEAR 2025)</t>
  </si>
  <si>
    <t>additonal pump for emergency</t>
  </si>
  <si>
    <t>IBP CONFERENCE ROOM</t>
  </si>
  <si>
    <t>for IBP client reception</t>
  </si>
  <si>
    <t>Employee Number</t>
  </si>
  <si>
    <t>Assignee</t>
  </si>
  <si>
    <t>Rank</t>
  </si>
  <si>
    <t>Old/New</t>
  </si>
  <si>
    <t>Classification</t>
  </si>
  <si>
    <t>Company</t>
  </si>
  <si>
    <t>Division/unit</t>
  </si>
  <si>
    <t>Department</t>
  </si>
  <si>
    <t>Position</t>
  </si>
  <si>
    <t xml:space="preserve">Hired Date </t>
  </si>
  <si>
    <t>Current Car Plan Start Date</t>
  </si>
  <si>
    <t>Car Life Plan</t>
  </si>
  <si>
    <t>Current Car Plan End Date</t>
  </si>
  <si>
    <t>Car Plan Cost</t>
  </si>
  <si>
    <t>Limit</t>
  </si>
  <si>
    <t>Allowed Additional %</t>
  </si>
  <si>
    <t>Allowed Additional Value  (c/o EE)</t>
  </si>
  <si>
    <t>Actual Asset Cost</t>
  </si>
  <si>
    <t>Balance/ (Excess)</t>
  </si>
  <si>
    <t>MICHAEL DAVID ABUNDO III</t>
  </si>
  <si>
    <t>Old</t>
  </si>
  <si>
    <t>11-Old</t>
  </si>
  <si>
    <t>OLC</t>
  </si>
  <si>
    <t>Mancom</t>
  </si>
  <si>
    <t>Vice President &amp; Head of Corporate Resources Division and Estate</t>
  </si>
  <si>
    <t>2011-01-01</t>
  </si>
  <si>
    <t>09-2023</t>
  </si>
  <si>
    <t>08-2026</t>
  </si>
  <si>
    <t>PATRICIA ANTONETTE DANGAN</t>
  </si>
  <si>
    <t>8-New</t>
  </si>
  <si>
    <t>OCC</t>
  </si>
  <si>
    <t>Offices</t>
  </si>
  <si>
    <t>Office Leasing</t>
  </si>
  <si>
    <t>Office Leasing Manager</t>
  </si>
  <si>
    <t>2019-04-15</t>
  </si>
  <si>
    <t>12-2030</t>
  </si>
  <si>
    <t>JOHN HOWARD GARCIA</t>
  </si>
  <si>
    <t>CRD</t>
  </si>
  <si>
    <t>Technical Services Group</t>
  </si>
  <si>
    <t>Engineering Manager for Malls &amp; Office Business Units</t>
  </si>
  <si>
    <t>2025-10-01</t>
  </si>
  <si>
    <t>JAVIER HERNANDEZ</t>
  </si>
  <si>
    <t>11-New</t>
  </si>
  <si>
    <t>Head of the Office Business Unit</t>
  </si>
  <si>
    <t>2024-06-01</t>
  </si>
  <si>
    <t>12-2028</t>
  </si>
  <si>
    <t>ELEONOR HONRA</t>
  </si>
  <si>
    <t>OCLP</t>
  </si>
  <si>
    <t>Estates</t>
  </si>
  <si>
    <t>Procurement</t>
  </si>
  <si>
    <t>Procurement &amp; Administrative Manager</t>
  </si>
  <si>
    <t>2025-07-01</t>
  </si>
  <si>
    <t>EMLIN MAE JAVILLONAR</t>
  </si>
  <si>
    <t>FD</t>
  </si>
  <si>
    <t>Corporate Planning Department</t>
  </si>
  <si>
    <t>Corporate Planning Manager</t>
  </si>
  <si>
    <t>2019-11-18</t>
  </si>
  <si>
    <t>ANDREA ROMINA MACASERO</t>
  </si>
  <si>
    <t>Corporate Finance &amp; Tax and CAC Finance</t>
  </si>
  <si>
    <t>Corporate Finance Manager</t>
  </si>
  <si>
    <t>2019-05-24</t>
  </si>
  <si>
    <t>CAROLINE MEJIA</t>
  </si>
  <si>
    <t>OMD</t>
  </si>
  <si>
    <t>Leasing</t>
  </si>
  <si>
    <t>Leasing Manager</t>
  </si>
  <si>
    <t>2019-01-14</t>
  </si>
  <si>
    <t>RYAN GIL MORENO</t>
  </si>
  <si>
    <t>Estates Operations</t>
  </si>
  <si>
    <t>Estate Operations Head</t>
  </si>
  <si>
    <t>2025-06-23</t>
  </si>
  <si>
    <t>ELOIDA TUBANIA</t>
  </si>
  <si>
    <t>Finance Manager</t>
  </si>
  <si>
    <t>2018-03-05</t>
  </si>
  <si>
    <t>Budgetary</t>
  </si>
  <si>
    <t>01-2026</t>
  </si>
  <si>
    <t>9-New</t>
  </si>
  <si>
    <t>10-New</t>
  </si>
  <si>
    <t>12-2029</t>
  </si>
  <si>
    <t>Hi Ace 2.8 GL Grandia M/T 2T - Service Vehicle</t>
  </si>
  <si>
    <t>Lino Arboleda</t>
  </si>
  <si>
    <t>GH</t>
  </si>
  <si>
    <t>2026 GH Showroom 450sqm x 80K</t>
  </si>
  <si>
    <t>Nina Roxan Dela Cruz</t>
  </si>
  <si>
    <t>Systems Enhancements (POSH)</t>
  </si>
  <si>
    <t>Mayca Joy Amante</t>
  </si>
  <si>
    <t>Sales Office Renovation and Fit-Out</t>
  </si>
  <si>
    <t>Paulina Alexandra Aguilar</t>
  </si>
  <si>
    <t>IO#</t>
  </si>
  <si>
    <t>RGM-2026B-NPC001</t>
  </si>
  <si>
    <t>CC Sewage Treatment Plant Upgrade Phase 2</t>
  </si>
  <si>
    <t>Ops Project</t>
  </si>
  <si>
    <t>RGM-2026B-NPC002</t>
  </si>
  <si>
    <t>CC MRF Expansion &amp; Rehabilitation</t>
  </si>
  <si>
    <t>RGM-2026B-NPC003</t>
  </si>
  <si>
    <t>CC Lift Station Manhole Rehabilitation</t>
  </si>
  <si>
    <t>RGM-2026B-NPC004</t>
  </si>
  <si>
    <t>CC Traffic Cones with Reflectorize</t>
  </si>
  <si>
    <t>RGM-2026B-NPC005</t>
  </si>
  <si>
    <t>RGM-2026B-NPC006</t>
  </si>
  <si>
    <t>CC Detention Tank Manhole Cover</t>
  </si>
  <si>
    <t>RGM-2026B-NPC007</t>
  </si>
  <si>
    <t>CC Standardize Estate Signages</t>
  </si>
  <si>
    <t>RGM-2026B-NPC008</t>
  </si>
  <si>
    <t>CC Elf Truck</t>
  </si>
  <si>
    <t>RGM-2026B-NPC009</t>
  </si>
  <si>
    <t>CC Lighting Fixtures [Totem Lights Rehab and Lamp Post]</t>
  </si>
  <si>
    <t>RGM-2026B-NPC010</t>
  </si>
  <si>
    <t>CC Estate CCTV System Upgrade with License Plate Recognition</t>
  </si>
  <si>
    <t>OC</t>
  </si>
  <si>
    <t>RGM-2026B-NPC011</t>
  </si>
  <si>
    <t xml:space="preserve">ORTIGAS PARK Ortigas Park Redevelopment </t>
  </si>
  <si>
    <t>RGM-2026B-NPC012</t>
  </si>
  <si>
    <t xml:space="preserve">ORTIGAS PARKLANE PARKING  Traffic Cone </t>
  </si>
  <si>
    <t>RGM-2026B-NPC013</t>
  </si>
  <si>
    <t>ORTIGAS PARKLANE PARKING  Roof Dismantling and Installation Works (Tenants Area)</t>
  </si>
  <si>
    <t>CarryOver</t>
  </si>
  <si>
    <t>CC DRAINAGE IMPROVEMENT PHASE2</t>
  </si>
  <si>
    <t>Corporate</t>
  </si>
  <si>
    <t>Malls</t>
  </si>
  <si>
    <t>RBU</t>
  </si>
  <si>
    <t>Costa</t>
  </si>
  <si>
    <t>TID</t>
  </si>
  <si>
    <t>IO Amount</t>
  </si>
  <si>
    <t>MANAGED SWICTH/NETWORK EQPT/CABLING/IT RELATED EQUIPMENT</t>
  </si>
  <si>
    <t>REGGIE ACBANG</t>
  </si>
  <si>
    <t>SAP HANA Implementation Services (Migration)</t>
  </si>
  <si>
    <t>Ronilo B. Quiat</t>
  </si>
  <si>
    <t>DMZ</t>
  </si>
  <si>
    <t>CRM Implementation Services</t>
  </si>
  <si>
    <t>JJB</t>
  </si>
  <si>
    <t>CCD Helpdesk - CTI Implementation &amp; Integration Services</t>
  </si>
  <si>
    <t>Data Warehousing and Analytics / Reporting Tools</t>
  </si>
  <si>
    <t>RBQ-2026B-NPC001</t>
  </si>
  <si>
    <t>Estancia HQ Smart Office/Meeting Rooms</t>
  </si>
  <si>
    <t>RBQ-2026B-NPC002</t>
  </si>
  <si>
    <t>Robotic Process Automation (RPA)</t>
  </si>
  <si>
    <t>Software Enhancements - MOE Tenant Portal</t>
  </si>
  <si>
    <t>RCB</t>
  </si>
  <si>
    <t>RBQ-2026B-NPC003</t>
  </si>
  <si>
    <t>Software Enhancements - HRIS</t>
  </si>
  <si>
    <t>Software Enhancements - TLS</t>
  </si>
  <si>
    <t>Software Enhancements - RBU Website</t>
  </si>
  <si>
    <t>Software Enhancements - POS Website (Malls)</t>
  </si>
  <si>
    <t>System Integration/APIs</t>
  </si>
  <si>
    <t>RBQ-2026B-NPC004</t>
  </si>
  <si>
    <t>Software Development and Website Management  Tools</t>
  </si>
  <si>
    <t>RBQ-2026B-NPC005</t>
  </si>
  <si>
    <t>FI Projects (See FI Projects Sheet)/ SAP Enhancements</t>
  </si>
  <si>
    <t>Jennifer J. Almojuela</t>
  </si>
  <si>
    <t>POS web enhancements (Intergrated with MOE)</t>
  </si>
  <si>
    <t>RBQ-2026B-NPC006</t>
  </si>
  <si>
    <t>New ERP Licenses</t>
  </si>
  <si>
    <t>new SAP licenses</t>
  </si>
  <si>
    <t>In4Veocity Enhancements</t>
  </si>
  <si>
    <t>RBQ-2026B-NPC007</t>
  </si>
  <si>
    <t>Server and Storage Refresh (Migrate to HCI) / Laptop Upgrade</t>
  </si>
  <si>
    <t xml:space="preserve">Reggie Acbang </t>
  </si>
  <si>
    <t xml:space="preserve">Tablet Samsung Galaxy S10 Plus </t>
  </si>
  <si>
    <t>Lawrence Paray</t>
  </si>
  <si>
    <t xml:space="preserve">JoFab </t>
  </si>
  <si>
    <t>Timekeeping System w/ Biometrics- Outsourced (MALLS)</t>
  </si>
  <si>
    <t>POS Machines - Costa Calatagan</t>
  </si>
  <si>
    <t>COSTA</t>
  </si>
  <si>
    <t>Biometrics - Costa Calatagan</t>
  </si>
  <si>
    <t>Server - Costa Calatagan</t>
  </si>
  <si>
    <t>UPS - Costa Calatagan</t>
  </si>
  <si>
    <t xml:space="preserve">Door Access System </t>
  </si>
  <si>
    <t>RBQ-2026B-NPC008</t>
  </si>
  <si>
    <t>OLC - BIR Electronic Invoicing</t>
  </si>
  <si>
    <t>Mailyn Esperano</t>
  </si>
  <si>
    <t>J. Almojuela</t>
  </si>
  <si>
    <t>RBQ-2026B-NPC009</t>
  </si>
  <si>
    <t>OCLP - BIR Electronic Invoicing</t>
  </si>
  <si>
    <t>RBQ-2026B-NPC010</t>
  </si>
  <si>
    <t>OCC - BIR Electronic Invoicing</t>
  </si>
  <si>
    <t>CAC - BIR Electronic Invoicing</t>
  </si>
  <si>
    <t>under CAC</t>
  </si>
  <si>
    <t>RBQ-2026B-NPC011</t>
  </si>
  <si>
    <t>RBU - Tittle Tax Transfer Automation</t>
  </si>
  <si>
    <t>RBQ-2026B-NPC012</t>
  </si>
  <si>
    <t>RBU - EOPT</t>
  </si>
  <si>
    <t>RBQ-2026B-NPC013</t>
  </si>
  <si>
    <t>IT Peripherals (Scanners, printers etc.)</t>
  </si>
  <si>
    <t>TID-0000067829</t>
  </si>
  <si>
    <t>Project End</t>
  </si>
  <si>
    <t>Grouping</t>
  </si>
  <si>
    <t>Dash Flow Ticket</t>
  </si>
  <si>
    <t>Meeting Notes</t>
  </si>
  <si>
    <t>R&amp;M</t>
  </si>
  <si>
    <t>Balance</t>
  </si>
  <si>
    <t>ES</t>
  </si>
  <si>
    <t>ES MAIN MALL: TENANT SPACE RE-CUT &amp; PROVISIONS OF STUB-OUTS</t>
  </si>
  <si>
    <t>ok - w/ PAM</t>
  </si>
  <si>
    <t>RFT-2026B-NPC002</t>
  </si>
  <si>
    <t>ES LED BUILDING OUTLINE (PROGRAMMABLE)</t>
  </si>
  <si>
    <t>RFT-2026B-NPC003</t>
  </si>
  <si>
    <t>ES REPLACEMENT OF MALL ENTRANCE CARPETS</t>
  </si>
  <si>
    <t>RFT-2026B-NPC004</t>
  </si>
  <si>
    <t>ES CHILLER INSULATION</t>
  </si>
  <si>
    <t>*R&amp;M - Sir Arnel to recheck before entry
*w/ PAM</t>
  </si>
  <si>
    <t>RFT-2026B-NPC005</t>
  </si>
  <si>
    <t>ES PARTS REPLACEMENT OF ELEVATOR/ESCALATOR</t>
  </si>
  <si>
    <t>R&amp;M - Sir Arnel to recheck before entry</t>
  </si>
  <si>
    <t>R&amp;M?</t>
  </si>
  <si>
    <t>ES LIGHTINGS AND BARRIER UPGRADE</t>
  </si>
  <si>
    <t>w/ PAM</t>
  </si>
  <si>
    <t>RFT-2026B-NPC007</t>
  </si>
  <si>
    <t>ES REPAINTING OF PARKING FLOORS</t>
  </si>
  <si>
    <t>ES EAST WING: TENANT SPACE RE-CUT &amp; PROVISIONS OF STUB-OUTS</t>
  </si>
  <si>
    <t>RFT-2026B-NPC009</t>
  </si>
  <si>
    <t>ES EW PARTS REPLACEMENT OF ELEVATOR/ESCALATOR</t>
  </si>
  <si>
    <t>RFT-2026B-NPC010</t>
  </si>
  <si>
    <t>ES EW STORM DRAINAGE REHAB AT ROAD LOT</t>
  </si>
  <si>
    <t>RFT-2026B-NPC011</t>
  </si>
  <si>
    <t>ES EW REPAINTING OF PARKING FLOORS</t>
  </si>
  <si>
    <t>RFT-2026B-NPC012</t>
  </si>
  <si>
    <t>ES EW CHAPEL IMPROVEMENT</t>
  </si>
  <si>
    <t>RFT-2026B-NPC013</t>
  </si>
  <si>
    <t>TS</t>
  </si>
  <si>
    <t>TIENDESITAS PREPARATORY WORKS FOR TS REDEVELOPMENT</t>
  </si>
  <si>
    <t>RFT-2026B-NPC014</t>
  </si>
  <si>
    <t>ES: NEW THEATER MANAGEMENT SYSTEM</t>
  </si>
  <si>
    <t>Outsourced from SM?</t>
  </si>
  <si>
    <t>RFT-2026B-NPC015</t>
  </si>
  <si>
    <t>ES: CINEMA SERVER UPGRADE</t>
  </si>
  <si>
    <t>*Sir Randy - to send specs
*Check with Sir Reggie - why separate</t>
  </si>
  <si>
    <t>Included in IT's system upgrade?</t>
  </si>
  <si>
    <t>RFT-2026B-NPC016</t>
  </si>
  <si>
    <t>GH: LAZY BOY SEATS FOR CINE-LUXE CONVERSION</t>
  </si>
  <si>
    <t>*46 sofas - to convert to 2M savings</t>
  </si>
  <si>
    <t>RFT-2026B-NPC017</t>
  </si>
  <si>
    <t>PROMENADE</t>
  </si>
  <si>
    <t>PROMENADE: THEATER MANAGEMENT SYSTEM</t>
  </si>
  <si>
    <t>ok</t>
  </si>
  <si>
    <t>RFT-2026B-NPC018</t>
  </si>
  <si>
    <t>PROMENADE: CINEMA 8 SEAT RE-UPHOLSTERY</t>
  </si>
  <si>
    <t>RFT-2026B-NPC019</t>
  </si>
  <si>
    <t>PROMENADE: CINEMA 4-8 NEW CARPETING</t>
  </si>
  <si>
    <t>RFT-2026B-NPC020</t>
  </si>
  <si>
    <t>GH PARKING SYSTEM UPGRADE - MCKINLEY</t>
  </si>
  <si>
    <t>ES REFRESH OF ESTANCIA'S ALFRESCO</t>
  </si>
  <si>
    <t>RFT-2026B-NPC025</t>
  </si>
  <si>
    <t>PROMENADE: CINEMA 8 - FLOOR &amp; WALL UPGRADE</t>
  </si>
  <si>
    <t>ES EW REPAINTING &amp; IMPROVEMENT OF PARKING SIGNAGES</t>
  </si>
  <si>
    <t>GH Annex Wing</t>
  </si>
  <si>
    <t>*GH TENANT SPACE RE-CUT &amp; UTILITIES STUB-OUT</t>
  </si>
  <si>
    <t>Mall Operations</t>
  </si>
  <si>
    <t>James Candelaria</t>
  </si>
  <si>
    <t>Jan - Mar 2026</t>
  </si>
  <si>
    <t xml:space="preserve">Revenue Generating </t>
  </si>
  <si>
    <t>JLC-2026B-NPC002</t>
  </si>
  <si>
    <t>Promenade</t>
  </si>
  <si>
    <t>TENANT SPACE RE-CUT</t>
  </si>
  <si>
    <t>Jan - Apr 2026</t>
  </si>
  <si>
    <t>JLC-2026B-NPC003</t>
  </si>
  <si>
    <t>GTM</t>
  </si>
  <si>
    <t>JLC-2026B-NPC004</t>
  </si>
  <si>
    <t>*GH S&amp;I OF CARPET AT MALL ENTRANCES</t>
  </si>
  <si>
    <t>Jan - Feb 2026</t>
  </si>
  <si>
    <t>Fixed Asset</t>
  </si>
  <si>
    <t>Connected w/ vestibule upgrade</t>
  </si>
  <si>
    <t>Included in project cost of Annex?</t>
  </si>
  <si>
    <t>JLC-2026B-NPC005</t>
  </si>
  <si>
    <t>*GH DIGITAL WAYFINDING AND SMART SIGNAGE</t>
  </si>
  <si>
    <t>Feb - May 2026</t>
  </si>
  <si>
    <t>Suggestion - mobile app</t>
  </si>
  <si>
    <t>JLC-2026B-NPC006</t>
  </si>
  <si>
    <t>Priority Areas</t>
  </si>
  <si>
    <t>GH STEEL BOLLARDS 51PCS</t>
  </si>
  <si>
    <t>JLC-2026B-NPC007</t>
  </si>
  <si>
    <t>Vmall</t>
  </si>
  <si>
    <t>REPLACEMENT OF TRANSFORMER (2.5MVA)</t>
  </si>
  <si>
    <t>Engineering</t>
  </si>
  <si>
    <t>3RD QRT</t>
  </si>
  <si>
    <t>Scope?</t>
  </si>
  <si>
    <t>JLC-2026B-NPC008</t>
  </si>
  <si>
    <t>Missouri</t>
  </si>
  <si>
    <t>REPLACEMENT OF  2 - ESCALATORS</t>
  </si>
  <si>
    <t>for review</t>
  </si>
  <si>
    <t>JLC-2026B-NPC009</t>
  </si>
  <si>
    <t>Centermall,Shoppesville</t>
  </si>
  <si>
    <t>REPLACEMENT OF AHU COOLING COILS</t>
  </si>
  <si>
    <t>2ND QRT</t>
  </si>
  <si>
    <t>*Centermall - affected by GH p2 redev
*Shoppesville only</t>
  </si>
  <si>
    <t>Centermall - affected by GH ph2 redev?</t>
  </si>
  <si>
    <t>JLC-2026B-NPC010</t>
  </si>
  <si>
    <t>Centermall</t>
  </si>
  <si>
    <t>CENTRALIZED AHU MOTOR CONTROL CENTER</t>
  </si>
  <si>
    <t>1ST QRT</t>
  </si>
  <si>
    <t>affected by GH p2 redev</t>
  </si>
  <si>
    <t>JLC-2026B-NPC011</t>
  </si>
  <si>
    <t>SMOKE EVACUATION ATRIUM</t>
  </si>
  <si>
    <t>JLC-2026B-NPC012</t>
  </si>
  <si>
    <t>Gh Mall</t>
  </si>
  <si>
    <t xml:space="preserve">UPGRADE OF LIFT STATION </t>
  </si>
  <si>
    <t>JLC-2026B-NPC013</t>
  </si>
  <si>
    <t>GP1, GP3 (Promenade)</t>
  </si>
  <si>
    <t>JLC-2026B-NPC014</t>
  </si>
  <si>
    <t>Existing Malls</t>
  </si>
  <si>
    <t>REPLACEMENT OF OUTDATED ELECTRICAL METERS (386 PCS)</t>
  </si>
  <si>
    <t>Low Value Asset</t>
  </si>
  <si>
    <t>Shoppesville, connecticut, promenade</t>
  </si>
  <si>
    <t>JLC-2026B-NPC015</t>
  </si>
  <si>
    <t>GH Mall &amp; Annex Wing</t>
  </si>
  <si>
    <t>*GH WATERPROOFING &amp; ROOF PROTECTION (NEW)</t>
  </si>
  <si>
    <t>Not covered by warranty?</t>
  </si>
  <si>
    <t>JLC-2026B-NPC016</t>
  </si>
  <si>
    <t>GH Mall/ Annex Wing</t>
  </si>
  <si>
    <t>*GH AUTOMATIC SLIDING DOORS - MALL ENTRANCES</t>
  </si>
  <si>
    <t>Building Improvement</t>
  </si>
  <si>
    <t>JLC-2026B-NPC017</t>
  </si>
  <si>
    <t>Shoppesville, Connecticut, Promenade</t>
  </si>
  <si>
    <t>GH RESTROOM RENOVATION (6)</t>
  </si>
  <si>
    <t>How many restrooms? Stalls?</t>
  </si>
  <si>
    <t>JLC-2026B-NPC018</t>
  </si>
  <si>
    <t>Mckinley Bldg.</t>
  </si>
  <si>
    <t>MCKINLEY - GH MALL ACCESS (3F &amp; FLOOR FINISH)</t>
  </si>
  <si>
    <t>Feb - Apr 2026</t>
  </si>
  <si>
    <t>for deferral</t>
  </si>
  <si>
    <t>JLC-2026B-NPC019</t>
  </si>
  <si>
    <t>V-Mall</t>
  </si>
  <si>
    <t>CHAPEL RENOVATION</t>
  </si>
  <si>
    <t>waterproofing and ceiling repainting</t>
  </si>
  <si>
    <t>Scope? Not part of 2025 1.3M?</t>
  </si>
  <si>
    <t>JLC-2026B-NPC020</t>
  </si>
  <si>
    <t>PROMENADE INTERIOR RENOVATION</t>
  </si>
  <si>
    <t>JLC-2026B-NPC021</t>
  </si>
  <si>
    <t>GTM RENOVATION (INTERIOR CONCEPT)</t>
  </si>
  <si>
    <t>JLC-2026B-NPC022</t>
  </si>
  <si>
    <t xml:space="preserve">G-Strip </t>
  </si>
  <si>
    <t>G-STRIP RENOVATION</t>
  </si>
  <si>
    <t>Mar - Jul 2026</t>
  </si>
  <si>
    <t>w/ additional income</t>
  </si>
  <si>
    <t>JLC-2026B-NPC023</t>
  </si>
  <si>
    <t>GH Mall/ Existing Buildings (9)</t>
  </si>
  <si>
    <t>DESIGNATED SMOKING AREAS (6 LOCS)</t>
  </si>
  <si>
    <t>JLC-2026B-NPC024</t>
  </si>
  <si>
    <t>GH Mall</t>
  </si>
  <si>
    <t>GH MALL ROOFDECK WIND DEFLECTOR</t>
  </si>
  <si>
    <t>April - September 2026</t>
  </si>
  <si>
    <t>JLC-2026B-NPC025</t>
  </si>
  <si>
    <t>GH EMPLOYEE CANTEEN (150-200SQM)</t>
  </si>
  <si>
    <t>JLC-2026B-NPC026</t>
  </si>
  <si>
    <t>IT</t>
  </si>
  <si>
    <t>SOFTWARE ENHANCEMENTS - MOE TENANT PORTAL</t>
  </si>
  <si>
    <t>JLC-2026B-NPC027</t>
  </si>
  <si>
    <t>SOFTWARE ENHANCEMENTS - TLS</t>
  </si>
  <si>
    <t>JLC-2026B-NPC028</t>
  </si>
  <si>
    <t>POS WEB ENHANCEMENTS (INTERGRATED WITH MOE)</t>
  </si>
  <si>
    <t>Ms. Lanie</t>
  </si>
  <si>
    <t>JLC-2026B-NPC029</t>
  </si>
  <si>
    <t>TIMEKEEPING SYSTEM W/ BIOMETRICS- OUTSOURCED (MALLS)</t>
  </si>
  <si>
    <t>GH RFDCK/CNOPIES/PRMTR WALL</t>
  </si>
  <si>
    <t>GH TIANGGE EIFS DROPWALL</t>
  </si>
  <si>
    <t>GH NEW MALL REWATERPROOFING</t>
  </si>
  <si>
    <t>ES CONSTRUCTION OF OMD ADMIN</t>
  </si>
  <si>
    <t>ES EAST WING 2024 SPACE RE-C</t>
  </si>
  <si>
    <t>ES MAIN 2025 SPACE RE-CUT &amp;</t>
  </si>
  <si>
    <t>ES NEW ADMIN OFFICE FIXED AS</t>
  </si>
  <si>
    <t>GH TIANGGE STALLS ELECTRICAL</t>
  </si>
  <si>
    <t>GH MALL ADMIN RELOCATION AND</t>
  </si>
  <si>
    <t>GH TENANT RECUTS</t>
  </si>
  <si>
    <t>GH ANNEX ALFRESCO AREA COLUM</t>
  </si>
  <si>
    <t>EM EAST WING CHAPEL AIRCON A</t>
  </si>
  <si>
    <t>GH MALL VIP READER SYSTEM FO</t>
  </si>
  <si>
    <t>GH EXISTING MALL PRE-WATERPR</t>
  </si>
  <si>
    <t>GH VMALL CHAPEL RENOVATION</t>
  </si>
  <si>
    <t>GH MRF IMPROVEMENTS AND FAÇA</t>
  </si>
  <si>
    <t>TID-0000068736</t>
  </si>
  <si>
    <t>IBP TOWER UPS REPLACEMENT</t>
  </si>
  <si>
    <t>IBP TOWER WATERPROOFING ROOFDECK</t>
  </si>
  <si>
    <t>TID-0000068735</t>
  </si>
  <si>
    <t>IBP TOWER BLADDER TANK REPLACEMENT</t>
  </si>
  <si>
    <t>TID-0000068733</t>
  </si>
  <si>
    <t>IBP TOWER STP REHABILITATION</t>
  </si>
  <si>
    <t>TID-0000068731</t>
  </si>
  <si>
    <t>0300011319</t>
  </si>
  <si>
    <t>0300011320</t>
  </si>
  <si>
    <t>0300011321</t>
  </si>
  <si>
    <t>0300011322</t>
  </si>
  <si>
    <t>0300011324</t>
  </si>
  <si>
    <t>0300011325</t>
  </si>
  <si>
    <t>MIKE AYO MENGGULO</t>
  </si>
  <si>
    <t>TID-0000068868</t>
  </si>
  <si>
    <t>SC5 REHABILITATION OF COOLING TOWERS</t>
  </si>
  <si>
    <t>02/13/2026</t>
  </si>
  <si>
    <t>SC5 REHABILITATION OF CONTROL SYSTEM OF CHILLER PLANT</t>
  </si>
  <si>
    <t>SC5 STP REHABILITATION WORKS</t>
  </si>
  <si>
    <t>TID-0000068867</t>
  </si>
  <si>
    <t>07/01/2026</t>
  </si>
  <si>
    <t>09/30/2026</t>
  </si>
  <si>
    <t>SC2 REHABILITATION WOKRS</t>
  </si>
  <si>
    <t>MHEL PAYONGAYONG</t>
  </si>
  <si>
    <t>TID-0000068866</t>
  </si>
  <si>
    <t>SC1 DECAGON PERIMETER GLASS PANEL AND ACP RESEALANT</t>
  </si>
  <si>
    <t>EDGAR DE VERA</t>
  </si>
  <si>
    <t>TID-0000068860</t>
  </si>
  <si>
    <t>SC1 REHABILITATION OF COMMON AREA CR</t>
  </si>
  <si>
    <t>SC1 REINSULATION OF AHU DUCTING (5 UNITS)</t>
  </si>
  <si>
    <t>SC1 STP REHABILITATION WORKS</t>
  </si>
  <si>
    <t>TID-0000068812</t>
  </si>
  <si>
    <t>0300011326</t>
  </si>
  <si>
    <t>0300011328</t>
  </si>
  <si>
    <t xml:space="preserve">0300011329/
0300011330 </t>
  </si>
  <si>
    <t>0300011332</t>
  </si>
  <si>
    <t>0300011333</t>
  </si>
  <si>
    <t>SC4 STP REHABILITATION WORKS</t>
  </si>
  <si>
    <t>0300011335</t>
  </si>
  <si>
    <t>0300011336</t>
  </si>
  <si>
    <t>0300011338</t>
  </si>
  <si>
    <t>Waterproofing</t>
  </si>
  <si>
    <t>STP</t>
  </si>
  <si>
    <t>RAZEL ANN VILLANUEVA</t>
  </si>
  <si>
    <t>02/16/2026</t>
  </si>
  <si>
    <t>Elevator</t>
  </si>
  <si>
    <t>ENS MAJOR ELEVATOR PARTS REPLACEMENT</t>
  </si>
  <si>
    <t>VIEL ECHON</t>
  </si>
  <si>
    <t>ENS REPLACEMENT OF AHU MOTORIZED VALVES AND THERMOSTAT</t>
  </si>
  <si>
    <t>TID-0000068979</t>
  </si>
  <si>
    <t>0300011342</t>
  </si>
  <si>
    <t>HVAC System</t>
  </si>
  <si>
    <t>ENS REINSULATION OF MAIN CHILLED WATER PIPES AND CHILLERS</t>
  </si>
  <si>
    <t>TID-0000068978</t>
  </si>
  <si>
    <t>04/01/2026</t>
  </si>
  <si>
    <t>0300011343</t>
  </si>
  <si>
    <t>Parking</t>
  </si>
  <si>
    <t>Offices Improvements</t>
  </si>
  <si>
    <t>ENS REPLACEMENT OF BARSCREEN WITH STAINLESS STEEL</t>
  </si>
  <si>
    <t>TID-0000068975</t>
  </si>
  <si>
    <t>0300011344</t>
  </si>
  <si>
    <t>TID-0000068982</t>
  </si>
  <si>
    <t>0300011345</t>
  </si>
  <si>
    <t>EWW MAJOR ELEVATOR PARTS REPLACEMENT (OTIS)</t>
  </si>
  <si>
    <t>EWW ROOFDECK WATERPROOFING REPAIR AND REPAINTING OF FAÇADE</t>
  </si>
  <si>
    <t>EWW WATERPROOFING OF ELEVATOR PIT'S PERIMETER WALL</t>
  </si>
  <si>
    <t>TID-0000068980</t>
  </si>
  <si>
    <t>0300011347</t>
  </si>
  <si>
    <t>TID-0000068977</t>
  </si>
  <si>
    <t>Sewer System</t>
  </si>
  <si>
    <t>EWW BACK-UP SUBMERSIBLE PUMP FOR LIFT STATION</t>
  </si>
  <si>
    <t>0300011348</t>
  </si>
  <si>
    <t>Water/ Plumbing</t>
  </si>
  <si>
    <t>ENS INSTALLATION OF VENTILATION SYSTEM AT SUBSTATION</t>
  </si>
  <si>
    <t>TID-0000068974</t>
  </si>
  <si>
    <t>0300011349</t>
  </si>
  <si>
    <t>TID-0000068869</t>
  </si>
  <si>
    <t>02/12/2026</t>
  </si>
  <si>
    <t>Fire Protection System</t>
  </si>
  <si>
    <t>SC1 FIRE AND JOCKEY PUMPS PARTS REPLACEMENT</t>
  </si>
  <si>
    <t>SC1A FIRE AND JOCKEY PUMPS PARTS REPLACEMENT</t>
  </si>
  <si>
    <t>SC2 FIRE AND JOCKEY PUMPS PARTS REPLACEMENT</t>
  </si>
  <si>
    <t>SC3 FIRE AND JOCKEY PUMPS PARTS REPLACEMENT</t>
  </si>
  <si>
    <t>SC4 FIRE AND JOCKEY PUMPS PARTS REPLACEMENT</t>
  </si>
  <si>
    <t>SC5 FIRE AND JOCKEY PUMPS PARTS REPLACEMENT</t>
  </si>
  <si>
    <t>0300011350</t>
  </si>
  <si>
    <t>0300011352</t>
  </si>
  <si>
    <t>0300011353</t>
  </si>
  <si>
    <t>0300011355</t>
  </si>
  <si>
    <t>Car Plan</t>
  </si>
  <si>
    <t>Furniture &amp; Fixtures</t>
  </si>
  <si>
    <t>Malls Improvements</t>
  </si>
  <si>
    <t>Space Recut</t>
  </si>
  <si>
    <t>0300011334/ 0300011357</t>
  </si>
  <si>
    <t>Admin Office</t>
  </si>
  <si>
    <t>GH MALL ADMIN RELOCATION AND CONVERSION TO TIANGGE</t>
  </si>
  <si>
    <t>JUN GERALD A. SIOSON</t>
  </si>
  <si>
    <t>TID-0000069032</t>
  </si>
  <si>
    <t>02/18/2026</t>
  </si>
  <si>
    <t>0300011358</t>
  </si>
  <si>
    <t>HCI MIGRATION PROJECT</t>
  </si>
  <si>
    <t>RONILO QUIAT</t>
  </si>
  <si>
    <t>TID-0000069142</t>
  </si>
  <si>
    <t>IT SOFTWARE/HARDWARE</t>
  </si>
  <si>
    <t>02/19/2026</t>
  </si>
  <si>
    <t>0300011359</t>
  </si>
  <si>
    <t>HPE ARUBA NETWORKING</t>
  </si>
  <si>
    <t>01/30/2026</t>
  </si>
  <si>
    <t>0300011360</t>
  </si>
  <si>
    <t>TID-0000069780</t>
  </si>
  <si>
    <t>TID-0000069781</t>
  </si>
  <si>
    <t>TID-0000069782</t>
  </si>
  <si>
    <t>02/23/2026</t>
  </si>
  <si>
    <t>03/01/2026</t>
  </si>
  <si>
    <t>RAPHAEL ESTRADA</t>
  </si>
  <si>
    <t>GH MALL CINEMA CINE-LUXE SEATING ENHANCEMENT</t>
  </si>
  <si>
    <t>Cinema</t>
  </si>
  <si>
    <t>0300011361</t>
  </si>
  <si>
    <t>PROMENADE CINEMA 8 SEAT ENHANCEMENT</t>
  </si>
  <si>
    <t>05/31/2026</t>
  </si>
  <si>
    <t>0300011362</t>
  </si>
  <si>
    <t>PROMENADE CINEMA 8 FLOOR AND WALL ENHANCEMENT</t>
  </si>
  <si>
    <t>0300011363</t>
  </si>
  <si>
    <t>TID-0000069859</t>
  </si>
  <si>
    <t>ESTATES</t>
  </si>
  <si>
    <t>FRANKLIN ESTOY</t>
  </si>
  <si>
    <t>CC MRF EXPANSION &amp; REHABILITATION</t>
  </si>
  <si>
    <t>Solid Waste Management</t>
  </si>
  <si>
    <t>02/24/2026</t>
  </si>
  <si>
    <t>01/22/2026</t>
  </si>
  <si>
    <t>01/27/2026</t>
  </si>
  <si>
    <t>03/02/2026</t>
  </si>
  <si>
    <t>0300011370</t>
  </si>
  <si>
    <t>CC LIFT STATION MANHOLE REHABILITATION</t>
  </si>
  <si>
    <t>TID-0000069860</t>
  </si>
  <si>
    <t>0300011371</t>
  </si>
  <si>
    <t>CC DETENTION TANK MANHOLE COVER</t>
  </si>
  <si>
    <t>TID-0000069862</t>
  </si>
  <si>
    <t>CC Speed Table</t>
  </si>
  <si>
    <t>TID-0000069012</t>
  </si>
  <si>
    <t>JOHN CARLO ZAMORA</t>
  </si>
  <si>
    <t>OE MAIN WATERLINE REROUTING</t>
  </si>
  <si>
    <t>0300011373</t>
  </si>
  <si>
    <t>TID-0000068860/ TID-0000070277</t>
  </si>
  <si>
    <t>TID-0000068869/ TID-0000070277</t>
  </si>
  <si>
    <t>03/03/2026</t>
  </si>
  <si>
    <t>PROMENADE CINEMA THEATER MANAGEMENT SYSTEM</t>
  </si>
  <si>
    <t>ES CINEMA THEATER MANAGEMENT SYSTEM</t>
  </si>
  <si>
    <t>TID-0000068868/ TID-0000070277/ TID-0000070282</t>
  </si>
  <si>
    <t>TID-0000070282</t>
  </si>
  <si>
    <t>03/16/2026</t>
  </si>
  <si>
    <t>SC2&amp;3 INSTALLATION OF CCTV AT PASSENGER AND SERVICE ELEVATOR</t>
  </si>
  <si>
    <t>CCTV</t>
  </si>
  <si>
    <t>0300011376</t>
  </si>
  <si>
    <t>TID-0000070585</t>
  </si>
  <si>
    <t>Corporate - IT</t>
  </si>
  <si>
    <t>TID-0000068774</t>
  </si>
  <si>
    <t>03/10/2026</t>
  </si>
  <si>
    <t>FACE RECOGNITION ACCESS CONTROL TERMINAL</t>
  </si>
  <si>
    <t>0300011378</t>
  </si>
  <si>
    <t>TID-0000067829/ TID-0000068774</t>
  </si>
  <si>
    <t>Laptops</t>
  </si>
  <si>
    <t>HCI</t>
  </si>
  <si>
    <t>JOSE CLYDE SOLEMNE</t>
  </si>
  <si>
    <t>TID-0000070840</t>
  </si>
  <si>
    <t>NORMAN FERRERAS</t>
  </si>
  <si>
    <t>0300011379</t>
  </si>
  <si>
    <t>LAPTOPS FOR DPD ARCHITECTS</t>
  </si>
  <si>
    <t>03/11/2026</t>
  </si>
  <si>
    <t>0300011380</t>
  </si>
  <si>
    <t>HOWARD GARCIA</t>
  </si>
  <si>
    <t>JEROME GOROSPE</t>
  </si>
  <si>
    <t>TID-0000070832</t>
  </si>
  <si>
    <t>GH ANNEX AHU COIL REPLACEMENT</t>
  </si>
  <si>
    <t>0300011381</t>
  </si>
  <si>
    <t>Employee Canteen</t>
  </si>
  <si>
    <t>GH EMPLOYEE CANTEEN</t>
  </si>
  <si>
    <t>NORMAL FERRERAS</t>
  </si>
  <si>
    <t>TID-0000069826</t>
  </si>
  <si>
    <t>02/01/2026</t>
  </si>
  <si>
    <t>02/25/2026</t>
  </si>
  <si>
    <t>Board Approved vs Allotted</t>
  </si>
  <si>
    <t>(with Special Projects)</t>
  </si>
  <si>
    <t>ORIGINAL BOARD APPROVED</t>
  </si>
  <si>
    <t>ADDITIONAL/
REDUCTION</t>
  </si>
  <si>
    <t>TOTAL BOARD APPROVED</t>
  </si>
  <si>
    <t>ACTUAL</t>
  </si>
  <si>
    <t>ALLOTTED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</si>
  <si>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</si>
  <si>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</si>
  <si>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</si>
  <si>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</si>
  <si>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</si>
  <si>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</si>
  <si>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</si>
  <si>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</si>
  <si>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</si>
  <si>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</si>
  <si>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</si>
  <si>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</si>
  <si>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2026 FORECAST</t>
  </si>
  <si>
    <t>BALANCE</t>
  </si>
  <si>
    <t>PHP</t>
  </si>
  <si>
    <t>%</t>
  </si>
  <si>
    <t>A</t>
  </si>
  <si>
    <t>B</t>
  </si>
  <si>
    <t>C = A+B</t>
  </si>
  <si>
    <t>D</t>
  </si>
  <si>
    <t>E</t>
  </si>
  <si>
    <t>F = D+E</t>
  </si>
  <si>
    <t>G = F/C</t>
  </si>
  <si>
    <t>H = C-F</t>
  </si>
  <si>
    <t>I = H/C</t>
  </si>
  <si>
    <t>J</t>
  </si>
  <si>
    <t>K = C-J</t>
  </si>
  <si>
    <t>L = K/C</t>
  </si>
  <si>
    <t>CORPORATE - HR</t>
  </si>
  <si>
    <t>CORPORATE - IT</t>
  </si>
  <si>
    <t>CORPORATE - ADMIN</t>
  </si>
  <si>
    <t>RESIDENTIAL</t>
  </si>
  <si>
    <t>TOTAL</t>
  </si>
  <si>
    <t>(without Special Projects)</t>
  </si>
  <si>
    <t>Actual</t>
  </si>
  <si>
    <t>Committed
(open PRPO)</t>
  </si>
  <si>
    <t>Allotted</t>
  </si>
  <si>
    <t>Available1</t>
  </si>
  <si>
    <t>Available2</t>
  </si>
  <si>
    <t>Budget</t>
  </si>
  <si>
    <t>Ortigas Land Corporation</t>
  </si>
  <si>
    <t>NPC List</t>
  </si>
  <si>
    <t>Monthly Forecast</t>
  </si>
  <si>
    <t>YTD Forecast</t>
  </si>
  <si>
    <t>TID-0000070983</t>
  </si>
  <si>
    <t>TID-0000070277</t>
  </si>
  <si>
    <t>0300011327/ 0300011377/ 0300011382</t>
  </si>
  <si>
    <t>0300011337/ 0300011383</t>
  </si>
  <si>
    <t>0300011339/ 0300011384</t>
  </si>
  <si>
    <t>0300011351/ 0300011385</t>
  </si>
  <si>
    <t>0300011354/ 0300011386</t>
  </si>
  <si>
    <t>SC2&amp;3 REHABILITATION OF TURNSTILE</t>
  </si>
  <si>
    <t>03/09/2026</t>
  </si>
  <si>
    <t>05/08/2026</t>
  </si>
  <si>
    <t>03/23/2026</t>
  </si>
  <si>
    <t>0300011387</t>
  </si>
  <si>
    <t>TID-0000070977</t>
  </si>
  <si>
    <t>JAN HERIBERT PATINIO</t>
  </si>
  <si>
    <t>03/17/2026</t>
  </si>
  <si>
    <t>Chapel</t>
  </si>
  <si>
    <t>0300011389</t>
  </si>
  <si>
    <t>GH THEATER MALL RENOVATION</t>
  </si>
  <si>
    <t>Theater Mall</t>
  </si>
  <si>
    <t>0300011390</t>
  </si>
  <si>
    <t>BYD SEALION 5 H.PERALTA</t>
  </si>
  <si>
    <t>03/25/2026</t>
  </si>
  <si>
    <t>HARVEY BRYAN PERALTA</t>
  </si>
  <si>
    <t>TID-0000072040</t>
  </si>
  <si>
    <t>EMLIN JAVILLONAR</t>
  </si>
  <si>
    <t>TID-0000072246</t>
  </si>
  <si>
    <t>03/30/2026</t>
  </si>
  <si>
    <t>2026 BYD SEAL 5 E.JAVILLONAR</t>
  </si>
  <si>
    <t>BPM-TID No</t>
  </si>
  <si>
    <t>IO Reference</t>
  </si>
  <si>
    <t>IO Number</t>
  </si>
  <si>
    <t>Description</t>
  </si>
  <si>
    <t xml:space="preserve">    Budget</t>
  </si>
  <si>
    <t xml:space="preserve">    Actual</t>
  </si>
  <si>
    <t xml:space="preserve">  Commitment</t>
  </si>
  <si>
    <t xml:space="preserve">   Allotted</t>
  </si>
  <si>
    <t xml:space="preserve">   Available</t>
  </si>
  <si>
    <t>CC STP UPGRADE</t>
  </si>
  <si>
    <t>CCIC SALES OFFICE SPLIT-TYPE</t>
  </si>
  <si>
    <t>CCIC MEZZANINE 2 AIRCON UNIT</t>
  </si>
  <si>
    <t>CCIC EXTERIOR WALL &amp; CEILING</t>
  </si>
  <si>
    <t>CC DRAINAGE IMPROVEMENT PHAS</t>
  </si>
  <si>
    <t>ES PARKING LIGHTINGS &amp; BARRI</t>
  </si>
  <si>
    <t>ES UPGRADE OF MALL COMMON CR</t>
  </si>
  <si>
    <t>ES REPAINTING &amp; IMPROVEMENT</t>
  </si>
  <si>
    <t>ES EW PARKING SIGNAGES REPAI</t>
  </si>
  <si>
    <t>ES 2026 SPACE RE-CUT &amp; STUB-</t>
  </si>
  <si>
    <t>ES EW 2026 SPACE RE-CUT &amp; ST</t>
  </si>
  <si>
    <t>GH TENANT SPACE RE-CUT &amp; UTI</t>
  </si>
  <si>
    <t>IBP TOWER WATERPROOFING ROOF</t>
  </si>
  <si>
    <t>IBP TOWER BLADDER TANK REPLA</t>
  </si>
  <si>
    <t>SC5 REHABILITATION OF COOLIN</t>
  </si>
  <si>
    <t>SC5 REHABILITATION OF CONTRO</t>
  </si>
  <si>
    <t>SC1 DECAGON PERIMETER GLASS</t>
  </si>
  <si>
    <t>SC1 INSTALLATION OF MOTORIZE</t>
  </si>
  <si>
    <t>SC1 REHABILITATION OF COMMON</t>
  </si>
  <si>
    <t>SC1 REINSULATION OF AHU DUCT</t>
  </si>
  <si>
    <t>ENS ROOFDECK WATERPROOFING R</t>
  </si>
  <si>
    <t>ENS MAJOR ELEVATOR PARTS REP</t>
  </si>
  <si>
    <t>ENS REPLACEMENT OF AHU MOTOR</t>
  </si>
  <si>
    <t>ENS REINSULATION OF MAIN CHI</t>
  </si>
  <si>
    <t>ENS REPLACEMENT OF BARSCREEN</t>
  </si>
  <si>
    <t>EWW MAJOR ELEVATOR PARTS REP</t>
  </si>
  <si>
    <t>EWW ROOFDECK WATERPROOFING R</t>
  </si>
  <si>
    <t>EWW WATERPROOFING OF ELEVATO</t>
  </si>
  <si>
    <t>EWW BACK-UP SUBMERSIBLE PUMP</t>
  </si>
  <si>
    <t>ENS INSTALLATION OF VENTILAT</t>
  </si>
  <si>
    <t>SC1 FIRE AND JOCKEY PUMPS PA</t>
  </si>
  <si>
    <t>SC1A FIRE AND JOCKEY PUMPS P</t>
  </si>
  <si>
    <t>SC2 FIRE AND JOCKEY PUMPS PA</t>
  </si>
  <si>
    <t>SC3 FIRE AND JOCKEY PUMPS PA</t>
  </si>
  <si>
    <t>SC4 FIRE AND JOCKEY PUMPS PA</t>
  </si>
  <si>
    <t>SC5 FIRE AND JOCKEY PUMPS PA</t>
  </si>
  <si>
    <t>GH MALL CINEMA CINE-LUXE SEA</t>
  </si>
  <si>
    <t>PROMENADE CINEMA 8 SEAT ENHA</t>
  </si>
  <si>
    <t>PROMENADE CINEMA 8 FLOOR AND</t>
  </si>
  <si>
    <t>GH STEEL BOLLARDS</t>
  </si>
  <si>
    <t>GH REPLACEMENT OF ELECTRICAL</t>
  </si>
  <si>
    <t>GH UPGRADE OF LIFT STATION</t>
  </si>
  <si>
    <t>CC MRF EXPANSION &amp; REHABILIT</t>
  </si>
  <si>
    <t>CC LIFT STATION MANHOLE REHA</t>
  </si>
  <si>
    <t>CC DETENTION TANK MANHOLE CO</t>
  </si>
  <si>
    <t>SC2&amp;3 INSTALLATION OF CCTV A</t>
  </si>
  <si>
    <t>GH ANNEX AHU COIL REPLACEMEN</t>
  </si>
  <si>
    <t>SC2&amp;3 REHABILITATION OF TURN</t>
  </si>
  <si>
    <t>SELLER’S &amp; BUYER'S PORTAL</t>
  </si>
  <si>
    <t>SAP PRD ENHANCEMENT</t>
  </si>
  <si>
    <t>INTEGRATED PROPERTY SALES SY</t>
  </si>
  <si>
    <t>RBU EST-NW&amp;SW SALES OFFICES</t>
  </si>
  <si>
    <t>RBU GH TOWER SALES OFFICES</t>
  </si>
  <si>
    <t>THE GALLEON EXPERIENCE CENTE</t>
  </si>
  <si>
    <t>RENOVATION AND FIT-OUT OF TH</t>
  </si>
  <si>
    <t>SAP PRD ENHANCEMENT - EOPT</t>
  </si>
  <si>
    <t>RBU WEBSITE ENHANCEMENTS</t>
  </si>
  <si>
    <t>GLASTON SALES OFFICE FIT-OUT</t>
  </si>
  <si>
    <t>CCIC MEZZANINE AND TOP GEAR</t>
  </si>
  <si>
    <t>LAMINATED CABINETS FOR MS. C</t>
  </si>
  <si>
    <t>2026 TOYOTA VIOS XE CVT E.TU</t>
  </si>
  <si>
    <t>PROMENADE CINEMA THEATER MAN</t>
  </si>
  <si>
    <t>ES CINEMA THEATER MANAGEMENT</t>
  </si>
  <si>
    <t>FACE RECOGNITION ACCESS CONT</t>
  </si>
  <si>
    <t>BYD SEALION 5, H. PERALTA</t>
  </si>
  <si>
    <t>Order</t>
  </si>
  <si>
    <t>CO object name</t>
  </si>
  <si>
    <t>Cost element name</t>
  </si>
  <si>
    <t>Purchasing Document</t>
  </si>
  <si>
    <t>Ref Document Number</t>
  </si>
  <si>
    <t>Val.in rep.cur.</t>
  </si>
  <si>
    <t>Purchase order text</t>
  </si>
  <si>
    <t>Document Header Text</t>
  </si>
  <si>
    <t>Total quantity</t>
  </si>
  <si>
    <t>Offsetting account type</t>
  </si>
  <si>
    <t>Offsetting acct no.</t>
  </si>
  <si>
    <t>Name of offsetting account</t>
  </si>
  <si>
    <t>Period</t>
  </si>
  <si>
    <t>SC4 WATER PROOFING OF ROOF DECK FLOORING</t>
  </si>
  <si>
    <t>IO CAPEX</t>
  </si>
  <si>
    <t>5000054530</t>
  </si>
  <si>
    <t>WATERPROOFING OF SC4 - 3,250 sq.m</t>
  </si>
  <si>
    <t/>
  </si>
  <si>
    <t>S</t>
  </si>
  <si>
    <t>21301102</t>
  </si>
  <si>
    <t>Trade A/P  Clearing</t>
  </si>
  <si>
    <t>5000055037</t>
  </si>
  <si>
    <t>WATERPROOFING OF SC 2 (352.42sqm)</t>
  </si>
  <si>
    <t>4500029617</t>
  </si>
  <si>
    <t>5000055074</t>
  </si>
  <si>
    <t>Electrical Provision for 427 Stalls</t>
  </si>
  <si>
    <t>GH MALL ADMIN RELOCATION AND CONVERSION</t>
  </si>
  <si>
    <t>4500027836</t>
  </si>
  <si>
    <t>5000054373</t>
  </si>
  <si>
    <t>SUPPLY OF GRANDSTREAM IP PHONES DEVICES</t>
  </si>
  <si>
    <t>5000054747</t>
  </si>
  <si>
    <t>5100047378</t>
  </si>
  <si>
    <t>101668770</t>
  </si>
  <si>
    <t>52061103</t>
  </si>
  <si>
    <t>DOE Rprs &amp; Main-Bldg</t>
  </si>
  <si>
    <t>5000054748</t>
  </si>
  <si>
    <t>4500031193</t>
  </si>
  <si>
    <t>5000055010</t>
  </si>
  <si>
    <t>ADDITIONAL WORKS AT GH ADMIN NEW OFFICE</t>
  </si>
  <si>
    <t>SC2&amp;3 WATER PROOFING OF ROOF DECK FLOORI</t>
  </si>
  <si>
    <t>5000055255</t>
  </si>
  <si>
    <t>WATERPROOFING OF SC 2 (2,232.33sqm)</t>
  </si>
  <si>
    <t>1900038912</t>
  </si>
  <si>
    <t>K</t>
  </si>
  <si>
    <t>60001147</t>
  </si>
  <si>
    <t>BARANGAY GREENHILLS</t>
  </si>
  <si>
    <t>1900039074</t>
  </si>
  <si>
    <t>60002447</t>
  </si>
  <si>
    <t>CASAMIA FURNITURE CENTER, INC.</t>
  </si>
  <si>
    <t>4500030839</t>
  </si>
  <si>
    <t>5000054619</t>
  </si>
  <si>
    <t>S&amp;D of Roll-up Shades</t>
  </si>
  <si>
    <t>BIR SAN JUAN-FB-MCIP</t>
  </si>
  <si>
    <t>4500029413</t>
  </si>
  <si>
    <t>5000054623</t>
  </si>
  <si>
    <t>S&amp;I of FDAS</t>
  </si>
  <si>
    <t>BIR SAN JUAN-FB-JPRIME</t>
  </si>
  <si>
    <t>4500030253</t>
  </si>
  <si>
    <t>5000054674</t>
  </si>
  <si>
    <t>EXECUTIVE CHAIR (brown)</t>
  </si>
  <si>
    <t>BIR SAN JUAN-PB#1-EXTENSI</t>
  </si>
  <si>
    <t>5000054675</t>
  </si>
  <si>
    <t>HIGH BACK CHAIR</t>
  </si>
  <si>
    <t>5000054676</t>
  </si>
  <si>
    <t>LOW BACK CHAIR</t>
  </si>
  <si>
    <t>5000054683</t>
  </si>
  <si>
    <t>5000054684</t>
  </si>
  <si>
    <t>5000054685</t>
  </si>
  <si>
    <t>5000054686</t>
  </si>
  <si>
    <t>5000054688</t>
  </si>
  <si>
    <t>EXECUTIVE CHAIR (black)</t>
  </si>
  <si>
    <t>5000054689</t>
  </si>
  <si>
    <t>MID BACK CHAIR</t>
  </si>
  <si>
    <t>5000054690</t>
  </si>
  <si>
    <t>GUEST CHAIR</t>
  </si>
  <si>
    <t>5000054691</t>
  </si>
  <si>
    <t>MULTIPURPOSE CHAIR</t>
  </si>
  <si>
    <t>5000054692</t>
  </si>
  <si>
    <t>GUARD CHAIR</t>
  </si>
  <si>
    <t>5000054693</t>
  </si>
  <si>
    <t>HIGH CHAIR</t>
  </si>
  <si>
    <t>5000054694</t>
  </si>
  <si>
    <t>5-SEATER GANG CHAIR</t>
  </si>
  <si>
    <t>5000054696</t>
  </si>
  <si>
    <t>3-SEATER GANG CHAIR</t>
  </si>
  <si>
    <t>5000054698</t>
  </si>
  <si>
    <t>6-LAYER METAL OPEN SHELVES</t>
  </si>
  <si>
    <t>5000054699</t>
  </si>
  <si>
    <t>GENERAL STAFF WORKSTATION 8</t>
  </si>
  <si>
    <t>5000054705</t>
  </si>
  <si>
    <t>GENERAL STAFF WORKSTATION 4</t>
  </si>
  <si>
    <t>5000054706</t>
  </si>
  <si>
    <t>GENERAL STAFF WORKSTATION 2</t>
  </si>
  <si>
    <t>5000054707</t>
  </si>
  <si>
    <t>GENERAL STAFF WORKSTATION 3</t>
  </si>
  <si>
    <t>5000054717</t>
  </si>
  <si>
    <t>5000054718</t>
  </si>
  <si>
    <t>5000054719</t>
  </si>
  <si>
    <t>GENERAL STAFF WORKSTATION + SW</t>
  </si>
  <si>
    <t>5000054720</t>
  </si>
  <si>
    <t>5000054721</t>
  </si>
  <si>
    <t>5000054722</t>
  </si>
  <si>
    <t>5000054723</t>
  </si>
  <si>
    <t>TABLE PARTITION</t>
  </si>
  <si>
    <t>5000054724</t>
  </si>
  <si>
    <t>5000054725</t>
  </si>
  <si>
    <t>5000054726</t>
  </si>
  <si>
    <t>EXECUTIVE STAFF WORKSTATION</t>
  </si>
  <si>
    <t>5000054727</t>
  </si>
  <si>
    <t>5000054728</t>
  </si>
  <si>
    <t>5000054729</t>
  </si>
  <si>
    <t>SECTION CHIEF TABLE</t>
  </si>
  <si>
    <t>5000054730</t>
  </si>
  <si>
    <t>CONFERENCE TABLE (BROWN)</t>
  </si>
  <si>
    <t>5000054731</t>
  </si>
  <si>
    <t>CONFERENCE TABLE (GRAY)</t>
  </si>
  <si>
    <t>5000054732</t>
  </si>
  <si>
    <t>HUDDLE TABLE</t>
  </si>
  <si>
    <t>5000054733</t>
  </si>
  <si>
    <t>LOW PANTRY TABLE</t>
  </si>
  <si>
    <t>5000054734</t>
  </si>
  <si>
    <t>HIGH PANTRY TABLE</t>
  </si>
  <si>
    <t>5000054735</t>
  </si>
  <si>
    <t>GUARD PODUM</t>
  </si>
  <si>
    <t>5000054834</t>
  </si>
  <si>
    <t>S&amp;D of Sheer Curtains</t>
  </si>
  <si>
    <t>5100047561</t>
  </si>
  <si>
    <t>60003928</t>
  </si>
  <si>
    <t>EXTENSIVE SALES ENTERPRISES COMPANY</t>
  </si>
  <si>
    <t>5000055174</t>
  </si>
  <si>
    <t>4-LAYER LATERAL CABINET</t>
  </si>
  <si>
    <t>BIR SAN JUAN-PB#2-EXTENSI</t>
  </si>
  <si>
    <t>5000055175</t>
  </si>
  <si>
    <t>5000055176</t>
  </si>
  <si>
    <t>5000055177</t>
  </si>
  <si>
    <t>4-LAYER VERTICAL FILING CABINET</t>
  </si>
  <si>
    <t>5000055178</t>
  </si>
  <si>
    <t>3-LAYER MOBILE PEDESTAL</t>
  </si>
  <si>
    <t>5000055179</t>
  </si>
  <si>
    <t>6-DOOR LOCKER</t>
  </si>
  <si>
    <t>5100047844</t>
  </si>
  <si>
    <t>5100047908</t>
  </si>
  <si>
    <t>5100047910</t>
  </si>
  <si>
    <t>5100047912</t>
  </si>
  <si>
    <t>5100047914</t>
  </si>
  <si>
    <t>5100047915</t>
  </si>
  <si>
    <t>5100047916</t>
  </si>
  <si>
    <t>GH MALL VIP READER SYSTEM FOR B2 PARKING</t>
  </si>
  <si>
    <t>4500028985</t>
  </si>
  <si>
    <t>5000054447</t>
  </si>
  <si>
    <t>S&amp;I PROVISION OF POWER SUPPLY</t>
  </si>
  <si>
    <t>4500029627</t>
  </si>
  <si>
    <t>5000054466</t>
  </si>
  <si>
    <t>HANABISHI AIR COOLER 10L MODEL: HAC-500</t>
  </si>
  <si>
    <t>IBP ACP REPLACEMENT &amp; PUMP ROOM COVER</t>
  </si>
  <si>
    <t>5000055400</t>
  </si>
  <si>
    <t>ACP REPLACEMENT IN 10/F VERANDA</t>
  </si>
  <si>
    <t>1900331690</t>
  </si>
  <si>
    <t>60003540</t>
  </si>
  <si>
    <t>OCLP PETTY CASH CUSTODIAN</t>
  </si>
  <si>
    <t>1900331689</t>
  </si>
  <si>
    <t>90000018</t>
  </si>
  <si>
    <t>CITY TREASURER - PASIG CITY</t>
  </si>
  <si>
    <t>1900331693</t>
  </si>
  <si>
    <t>1900332027</t>
  </si>
  <si>
    <t>1900334425</t>
  </si>
  <si>
    <t>E2209726</t>
  </si>
  <si>
    <t>PAULINE MAE L.</t>
  </si>
  <si>
    <t>4500029576</t>
  </si>
  <si>
    <t>5000055043</t>
  </si>
  <si>
    <t>S&amp;D of Tiles for CC Redevelopment</t>
  </si>
  <si>
    <t>PB#4-CEBUOVERSEA-45-29576</t>
  </si>
  <si>
    <t>5000055048</t>
  </si>
  <si>
    <t>PB#5CEBUOVERSEA-45-29576</t>
  </si>
  <si>
    <t>5000055104</t>
  </si>
  <si>
    <t>PB#6CEBUOVERSEA-45-29576</t>
  </si>
  <si>
    <t>5000055108</t>
  </si>
  <si>
    <t>PB#7CEBUOVERSEA-45-29576</t>
  </si>
  <si>
    <t>5000055206</t>
  </si>
  <si>
    <t>5000055207</t>
  </si>
  <si>
    <t>5000055209</t>
  </si>
  <si>
    <t>5000055210</t>
  </si>
  <si>
    <t>5000055215</t>
  </si>
  <si>
    <t>FB -CEBUOVERSEA-45-29576</t>
  </si>
  <si>
    <t>5000055287</t>
  </si>
  <si>
    <t>4500029212</t>
  </si>
  <si>
    <t>5000055413</t>
  </si>
  <si>
    <t>Demolition and Retiling works</t>
  </si>
  <si>
    <t>5000055414</t>
  </si>
  <si>
    <t>4500030669</t>
  </si>
  <si>
    <t>5000054401</t>
  </si>
  <si>
    <t>July 1 - 31, 2025</t>
  </si>
  <si>
    <t>PB#01_PROJECT MANAGEMENT</t>
  </si>
  <si>
    <t>5000054404</t>
  </si>
  <si>
    <t>August 1 - 31, 2025</t>
  </si>
  <si>
    <t>PB#02_PROJECT MANAGEMENT</t>
  </si>
  <si>
    <t>4500029343</t>
  </si>
  <si>
    <t>5000054413</t>
  </si>
  <si>
    <t>S&amp;I of Trapezoidal Beam for Cistern Tank</t>
  </si>
  <si>
    <t>PB#3_S&amp;I OF TRAPEZDL BEAM</t>
  </si>
  <si>
    <t>5000054420</t>
  </si>
  <si>
    <t>September 1 - 30, 2025</t>
  </si>
  <si>
    <t>PB#03_PROJECT MANAGEMENT</t>
  </si>
  <si>
    <t>5100047168</t>
  </si>
  <si>
    <t>PO#4500029343</t>
  </si>
  <si>
    <t>5000055379</t>
  </si>
  <si>
    <t>October 1 - 31, 2025</t>
  </si>
  <si>
    <t>PB#04_PROJECT MANAGEMENT</t>
  </si>
  <si>
    <t>4500031073</t>
  </si>
  <si>
    <t>5000055380</t>
  </si>
  <si>
    <t>"JS Pump" (Taiwan) JS1500 Series</t>
  </si>
  <si>
    <t>PB#1_S&amp;D DEWATERING PUMP</t>
  </si>
  <si>
    <t>IEC Std. Simplex Type Direct Online Cont</t>
  </si>
  <si>
    <t>4500030576</t>
  </si>
  <si>
    <t>5000055386</t>
  </si>
  <si>
    <t>S&amp;I of Modular Fiberglass Water Tanks (C</t>
  </si>
  <si>
    <t>PB#1_S&amp;I OF WATER TANK</t>
  </si>
  <si>
    <t>5000055095</t>
  </si>
  <si>
    <t>EXTERIOR WALLS WATERPROOFING &amp; PAINTING</t>
  </si>
  <si>
    <t>5000054818</t>
  </si>
  <si>
    <t>Rehabilitation of VRF at SC2</t>
  </si>
  <si>
    <t>Rehabilitation of VRF at SC3</t>
  </si>
  <si>
    <t>GH MRF IMPROVEMENTS AND FAÇADE REPAINTIN</t>
  </si>
  <si>
    <t>4500030433</t>
  </si>
  <si>
    <t>5000054613</t>
  </si>
  <si>
    <t>FACADE REPAINTING WORKS</t>
  </si>
  <si>
    <t>4500030431</t>
  </si>
  <si>
    <t>5000055013</t>
  </si>
  <si>
    <t>MRF IMPROVEMENT WORKS</t>
  </si>
  <si>
    <t>5000055018</t>
  </si>
  <si>
    <t>DOE R&amp;M-Bldg</t>
  </si>
  <si>
    <t>1900039999</t>
  </si>
  <si>
    <t>TID-0000069896</t>
  </si>
  <si>
    <t>E2310876</t>
  </si>
  <si>
    <t>JOHN MICHAEL MALLARI</t>
  </si>
  <si>
    <t>4500031118</t>
  </si>
  <si>
    <t>YUCCA PLANT 3FT</t>
  </si>
  <si>
    <t>BIRD'S NEST FERN, 2-3FT</t>
  </si>
  <si>
    <t>POTHOS PLANT 1-2FT</t>
  </si>
  <si>
    <t>4500031304</t>
  </si>
  <si>
    <t>YUCCA PLANT</t>
  </si>
  <si>
    <t>BIRD'S NEST FERN</t>
  </si>
  <si>
    <t>BANANA LEAF</t>
  </si>
  <si>
    <t>PHILODENDRON XANADU 1FT.</t>
  </si>
  <si>
    <t>POTHOS PLANT</t>
  </si>
  <si>
    <t>4500031090</t>
  </si>
  <si>
    <t>5000054987</t>
  </si>
  <si>
    <t>S&amp;D OF TARPAULIN SIZE: 3M(W)X3.4M(H)</t>
  </si>
  <si>
    <t>4500031184</t>
  </si>
  <si>
    <t>5000055302</t>
  </si>
  <si>
    <t>INSTALLATION OF ADDITIONAL KITCHEN WASTE</t>
  </si>
  <si>
    <t>4500031183</t>
  </si>
  <si>
    <t>5000055303</t>
  </si>
  <si>
    <t>1900040051</t>
  </si>
  <si>
    <t>TID-0000067217</t>
  </si>
  <si>
    <t>60000033</t>
  </si>
  <si>
    <t>SASCOR ARMOR SECURITY CORPORATION</t>
  </si>
  <si>
    <t>1900040062</t>
  </si>
  <si>
    <t>52041401</t>
  </si>
  <si>
    <t>DOE  Security  Com</t>
  </si>
  <si>
    <t>1900040064</t>
  </si>
  <si>
    <t>TID-0000070552</t>
  </si>
  <si>
    <t>4500031024</t>
  </si>
  <si>
    <t>5000054880</t>
  </si>
  <si>
    <t>DEMOLITION OF EXISTING WALL ON ONEZO</t>
  </si>
  <si>
    <t>4500031161</t>
  </si>
  <si>
    <t>5000055159</t>
  </si>
  <si>
    <t>DIGITAL PRINT ON 13OZ TARP (3M X 3.4M)</t>
  </si>
  <si>
    <t>4500026631</t>
  </si>
  <si>
    <t>5000054476</t>
  </si>
  <si>
    <t>BIR - EOPT FOR OCLP</t>
  </si>
  <si>
    <t>4500026629</t>
  </si>
  <si>
    <t>5000054475</t>
  </si>
  <si>
    <t>BIR - EOPT FOR OCC</t>
  </si>
  <si>
    <t>4500030536</t>
  </si>
  <si>
    <t>5000054468</t>
  </si>
  <si>
    <t>WHIRLPOOL 8.5CUFT INVERTER REF</t>
  </si>
  <si>
    <t>WHIRLPOOL 20L MICROWAVE MWX 201-XEB</t>
  </si>
  <si>
    <t>IMARFLEX BOTTOM LOAD WATER DISPENSER</t>
  </si>
  <si>
    <t>IMARFLEX COFFEE MAKER 8-10 CUPS ICM-700S</t>
  </si>
  <si>
    <t>4500030385</t>
  </si>
  <si>
    <t>5000054469</t>
  </si>
  <si>
    <t>XIAOMI TV A PRO 65 INCHES</t>
  </si>
  <si>
    <t>HDMI CABLE MALE TO MALE</t>
  </si>
  <si>
    <t>SIGMA FIX/TILT WALL BRACKET</t>
  </si>
  <si>
    <t>4500030534</t>
  </si>
  <si>
    <t>5000054543</t>
  </si>
  <si>
    <t>BLACK AND DECKER VACUUM 10L WET &amp; DRY</t>
  </si>
  <si>
    <t>5100047257</t>
  </si>
  <si>
    <t>PO# 4500030536</t>
  </si>
  <si>
    <t>4500029965</t>
  </si>
  <si>
    <t>5000054960</t>
  </si>
  <si>
    <t>FIT-OUT WORKS</t>
  </si>
  <si>
    <t>4500031288</t>
  </si>
  <si>
    <t>5000055189</t>
  </si>
  <si>
    <t>MEKI 72X96 TRIPOD SCREEN</t>
  </si>
  <si>
    <t>TP LINK TAPO C200</t>
  </si>
  <si>
    <t>TP LINK RE505X</t>
  </si>
  <si>
    <t>5000055417</t>
  </si>
  <si>
    <t>5000055419</t>
  </si>
  <si>
    <t>CCIC MEZZANINE AND TOP GEAR B AIRCON UNI</t>
  </si>
  <si>
    <t>4500030530</t>
  </si>
  <si>
    <t>5000054408</t>
  </si>
  <si>
    <t>S&amp;I OF 2 UNITS AC@CCIC MEZZANINE SOARING</t>
  </si>
  <si>
    <t>4500030853</t>
  </si>
  <si>
    <t>5000054744</t>
  </si>
  <si>
    <t>2026 BYD TANG DM-I</t>
  </si>
  <si>
    <t>4500031128</t>
  </si>
  <si>
    <t>5000054915</t>
  </si>
  <si>
    <t>INSTALLATION OF LAMINATED CABINETS</t>
  </si>
  <si>
    <t>Cost element</t>
  </si>
  <si>
    <t>Company Code</t>
  </si>
  <si>
    <t>Document Date</t>
  </si>
  <si>
    <t>Debit date</t>
  </si>
  <si>
    <t>Reference document category</t>
  </si>
  <si>
    <t>Name</t>
  </si>
  <si>
    <t>Total Quantity</t>
  </si>
  <si>
    <t>Unit of Measure</t>
  </si>
  <si>
    <t>User Name</t>
  </si>
  <si>
    <t>78011101</t>
  </si>
  <si>
    <t>8000</t>
  </si>
  <si>
    <t>POrd</t>
  </si>
  <si>
    <t>4500016839</t>
  </si>
  <si>
    <t>GH VMALL PARK DESIGN</t>
  </si>
  <si>
    <t>LOT</t>
  </si>
  <si>
    <t>60000389</t>
  </si>
  <si>
    <t>LOPEZMV</t>
  </si>
  <si>
    <t>4500019107</t>
  </si>
  <si>
    <t>Utilities Relocation-Citiaire</t>
  </si>
  <si>
    <t>60000181</t>
  </si>
  <si>
    <t>VIGALDF</t>
  </si>
  <si>
    <t>4500028834</t>
  </si>
  <si>
    <t>GH STREETSCAPING SIGNAGES</t>
  </si>
  <si>
    <t>60003122</t>
  </si>
  <si>
    <t>CAMPONGSI</t>
  </si>
  <si>
    <t>4500024077</t>
  </si>
  <si>
    <t>S&amp;I ELECTRICAL WORKS AT GH STREETSCAPE</t>
  </si>
  <si>
    <t>60003331</t>
  </si>
  <si>
    <t>4500019418</t>
  </si>
  <si>
    <t>Upon Project Completion</t>
  </si>
  <si>
    <t>60002908</t>
  </si>
  <si>
    <t>ABEJARND</t>
  </si>
  <si>
    <t>8100</t>
  </si>
  <si>
    <t>4500022241</t>
  </si>
  <si>
    <t>RECTIFICATION OF LEAK AT SHOPPESVILLE</t>
  </si>
  <si>
    <t>60002847</t>
  </si>
  <si>
    <t>AGUILARIB</t>
  </si>
  <si>
    <t>4500022912</t>
  </si>
  <si>
    <t>EIFS DROPWALL</t>
  </si>
  <si>
    <t>60003426</t>
  </si>
  <si>
    <t>AP_OFC</t>
  </si>
  <si>
    <t>4500023106</t>
  </si>
  <si>
    <t>Supply and installation of 4Units AC</t>
  </si>
  <si>
    <t>60000283</t>
  </si>
  <si>
    <t>PANGANIBANCJ</t>
  </si>
  <si>
    <t>4500023470</t>
  </si>
  <si>
    <t>AC DISMANTLING AND INSTALLATION WORKS</t>
  </si>
  <si>
    <t>60002981</t>
  </si>
  <si>
    <t>MAGABILINPR</t>
  </si>
  <si>
    <t>Rehabilitation of VRF at SC4</t>
  </si>
  <si>
    <t>60003230</t>
  </si>
  <si>
    <t>4500028247</t>
  </si>
  <si>
    <t>GH Estate Lift Station</t>
  </si>
  <si>
    <t>DEJORASTJO</t>
  </si>
  <si>
    <t>4500027401</t>
  </si>
  <si>
    <t>KITCHEN SINK AND FAUCET</t>
  </si>
  <si>
    <t>SET</t>
  </si>
  <si>
    <t>60002230</t>
  </si>
  <si>
    <t>CABATAYAD</t>
  </si>
  <si>
    <t>S/S UTILITY &amp; MOP SINK W/ FAUCET (PRIMY)</t>
  </si>
  <si>
    <t>4500028476</t>
  </si>
  <si>
    <t>Waterproofing and Facade Works at GH Ph1</t>
  </si>
  <si>
    <t>60003343</t>
  </si>
  <si>
    <t>4500028488</t>
  </si>
  <si>
    <t>Ceiling Restoration Works at GH Ph1</t>
  </si>
  <si>
    <t>60001391</t>
  </si>
  <si>
    <t>CATIISLN</t>
  </si>
  <si>
    <t>4500028528</t>
  </si>
  <si>
    <t>Amenity Deck Tiling &amp; Landscaping Works</t>
  </si>
  <si>
    <t>60002085</t>
  </si>
  <si>
    <t>PARTS REPLACEMENT PASSENGER ELEVATOR 1</t>
  </si>
  <si>
    <t>60001452</t>
  </si>
  <si>
    <t>PARTS REPLACEMENT PASSENGER ELEVATOR 2</t>
  </si>
  <si>
    <t>PARTS REPLACEMENT PASSENGER ELEVATOR 3</t>
  </si>
  <si>
    <t>PARTS REPLACEMENT OF FREIGHT ELEVATOR 1</t>
  </si>
  <si>
    <t>S&amp;I OF 2 UNITS BLADDER MEMBRANE</t>
  </si>
  <si>
    <t>60000246</t>
  </si>
  <si>
    <t>S&amp;I OF DUPLEX PUMP CONTROLLER</t>
  </si>
  <si>
    <t>PReq</t>
  </si>
  <si>
    <t>10032488</t>
  </si>
  <si>
    <t>WATERPROOFING OF SC 2</t>
  </si>
  <si>
    <t>60003988</t>
  </si>
  <si>
    <t>4500030299</t>
  </si>
  <si>
    <t>SUPPLY &amp; INSTALLATION OF ISOLATOR SPRING</t>
  </si>
  <si>
    <t>60003096</t>
  </si>
  <si>
    <t>4500028295</t>
  </si>
  <si>
    <t>PROV.OF KITCHEN EXHAUST &amp; FRESH AIR DUCT</t>
  </si>
  <si>
    <t>60003042</t>
  </si>
  <si>
    <t>ORLINAKC</t>
  </si>
  <si>
    <t>10032960</t>
  </si>
  <si>
    <t>ADDITIONAL WORKS AT NEW ADMIN OFFICE</t>
  </si>
  <si>
    <t>CERTIFICOMDL</t>
  </si>
  <si>
    <t>10033015</t>
  </si>
  <si>
    <t>RELOCATION OF EXISTING PANASONIC</t>
  </si>
  <si>
    <t>UNI</t>
  </si>
  <si>
    <t>60001016</t>
  </si>
  <si>
    <t>4500029152</t>
  </si>
  <si>
    <t>WILCON POZZI 959600000583</t>
  </si>
  <si>
    <t>60001325</t>
  </si>
  <si>
    <t>60002747</t>
  </si>
  <si>
    <t>4500028271</t>
  </si>
  <si>
    <t>VERIFICATION AND AS-BUILT SURVEY</t>
  </si>
  <si>
    <t>60003027</t>
  </si>
  <si>
    <t>10032052</t>
  </si>
  <si>
    <t>SUPPLY &amp; INSTALLATION OF POWER SUPPLY FO</t>
  </si>
  <si>
    <t>DAYMIELJMA</t>
  </si>
  <si>
    <t>4500027972</t>
  </si>
  <si>
    <t>ADDITIONAL ELECTRICAL WORKS AT TEPPANYA</t>
  </si>
  <si>
    <t>60000349</t>
  </si>
  <si>
    <t>4500028004</t>
  </si>
  <si>
    <t>ADDITIONAL PROVISION OF COLD WATERLINE</t>
  </si>
  <si>
    <t>4500027861</t>
  </si>
  <si>
    <t>ACP Cladding on Column at GH Annex</t>
  </si>
  <si>
    <t>WATERPROOFING OF SC2 - 2,584.75 sq.m</t>
  </si>
  <si>
    <t>4500028207</t>
  </si>
  <si>
    <t>S&amp;I OF CONFESSION ROOM DIVIDER</t>
  </si>
  <si>
    <t>60002670</t>
  </si>
  <si>
    <t>10032326</t>
  </si>
  <si>
    <t>S&amp;I of Signages @ BIR Office</t>
  </si>
  <si>
    <t>TUBANIAEO</t>
  </si>
  <si>
    <t>10032342</t>
  </si>
  <si>
    <t>Solid Wood Top Mahogany</t>
  </si>
  <si>
    <t>LANSANGANRV</t>
  </si>
  <si>
    <t>10032343</t>
  </si>
  <si>
    <t>Supply &amp; Installation of Signages</t>
  </si>
  <si>
    <t>10032449</t>
  </si>
  <si>
    <t>Various revisions requested by BIR</t>
  </si>
  <si>
    <t>10032451</t>
  </si>
  <si>
    <t>Add'l AC for IT/Server Room</t>
  </si>
  <si>
    <t>10032566</t>
  </si>
  <si>
    <t>Carrucci 3 Seater Sofa</t>
  </si>
  <si>
    <t>Conakry 2 seater Sofa</t>
  </si>
  <si>
    <t>Crystal 2 seater Sofa</t>
  </si>
  <si>
    <t>Creston Sofa Set</t>
  </si>
  <si>
    <t>Gourtney Center Table</t>
  </si>
  <si>
    <t>Delivery Charfe</t>
  </si>
  <si>
    <t>10032567</t>
  </si>
  <si>
    <t>10033267</t>
  </si>
  <si>
    <t>Grommet</t>
  </si>
  <si>
    <t>PC</t>
  </si>
  <si>
    <t>E-Lounge 3 seater</t>
  </si>
  <si>
    <t>E-Lounge 2 seater</t>
  </si>
  <si>
    <t>Fit-Out Works</t>
  </si>
  <si>
    <t>60002970</t>
  </si>
  <si>
    <t>4500029412</t>
  </si>
  <si>
    <t>Fire Protection Works</t>
  </si>
  <si>
    <t>60004078</t>
  </si>
  <si>
    <t>4500029529</t>
  </si>
  <si>
    <t>Relocation of FCUs</t>
  </si>
  <si>
    <t>4500030682</t>
  </si>
  <si>
    <t>Add'l Works @ BIR Office</t>
  </si>
  <si>
    <t>4500030683</t>
  </si>
  <si>
    <t>Relocation of Ceiling Cassette Units VRF</t>
  </si>
  <si>
    <t>4500030726</t>
  </si>
  <si>
    <t>60002241</t>
  </si>
  <si>
    <t>4500030729</t>
  </si>
  <si>
    <t>60001999</t>
  </si>
  <si>
    <t>4500030804</t>
  </si>
  <si>
    <t>60000357</t>
  </si>
  <si>
    <t>4500030966</t>
  </si>
  <si>
    <t>4500031531</t>
  </si>
  <si>
    <t>60002643</t>
  </si>
  <si>
    <t>4500028914</t>
  </si>
  <si>
    <t>S&amp;I OF SEISMIC ACCELEROGRAPH SYSTEM</t>
  </si>
  <si>
    <t>60001645</t>
  </si>
  <si>
    <t>4500028576</t>
  </si>
  <si>
    <t>CC Drainage System Improvement Ph2</t>
  </si>
  <si>
    <t>60004008</t>
  </si>
  <si>
    <t>60004125</t>
  </si>
  <si>
    <t>10030872</t>
  </si>
  <si>
    <t>Tensile Structure (Events Place)</t>
  </si>
  <si>
    <t>AYALAJP</t>
  </si>
  <si>
    <t>10030874</t>
  </si>
  <si>
    <t>Lighting Fixtures</t>
  </si>
  <si>
    <t>10030878</t>
  </si>
  <si>
    <t>Garden Parasol</t>
  </si>
  <si>
    <t>60000112</t>
  </si>
  <si>
    <t>4500029369</t>
  </si>
  <si>
    <t>Landscape Refresh</t>
  </si>
  <si>
    <t>60002864</t>
  </si>
  <si>
    <t>60000272</t>
  </si>
  <si>
    <t>4500029660</t>
  </si>
  <si>
    <t>Walkway Canopy 1 &amp; 2</t>
  </si>
  <si>
    <t>60004009</t>
  </si>
  <si>
    <t>10032091</t>
  </si>
  <si>
    <t>REWATERPROOFING WORKS AT 6F</t>
  </si>
  <si>
    <t>4500030519</t>
  </si>
  <si>
    <t>WATERPROOFING AT 6F RD</t>
  </si>
  <si>
    <t>60004209</t>
  </si>
  <si>
    <t>10030956</t>
  </si>
  <si>
    <t>INSTALLATION OF TILES(ADBASCO)</t>
  </si>
  <si>
    <t>4500029855</t>
  </si>
  <si>
    <t>RETILING WORKS OF VMALL CHAPEL</t>
  </si>
  <si>
    <t>60004158</t>
  </si>
  <si>
    <t>10031588</t>
  </si>
  <si>
    <t>Gala Gate Valve Ductile Iron S-19-04</t>
  </si>
  <si>
    <t>RAMIREZGA</t>
  </si>
  <si>
    <t>Gala Gate Valve Ductile Iron S-19-06</t>
  </si>
  <si>
    <t>Gala Gate Valve Bronze S-02-02</t>
  </si>
  <si>
    <t>10032855</t>
  </si>
  <si>
    <t>MACARAEGCB</t>
  </si>
  <si>
    <t>10032882</t>
  </si>
  <si>
    <t>S &amp; I of Stainless Steel Square Tank</t>
  </si>
  <si>
    <t>4500029220</t>
  </si>
  <si>
    <t>S&amp;I of Stainless Steel Square Tank</t>
  </si>
  <si>
    <t>60004060</t>
  </si>
  <si>
    <t>4500029239</t>
  </si>
  <si>
    <t>S&amp;I of Modular Fiberglass Water Tanks #0</t>
  </si>
  <si>
    <t>60000770</t>
  </si>
  <si>
    <t>60003285</t>
  </si>
  <si>
    <t>4500029441</t>
  </si>
  <si>
    <t>Installation of GI Pipe for Main Water L</t>
  </si>
  <si>
    <t>60000261</t>
  </si>
  <si>
    <t>MON</t>
  </si>
  <si>
    <t>60001403</t>
  </si>
  <si>
    <t>60000627</t>
  </si>
  <si>
    <t>4500031256</t>
  </si>
  <si>
    <t>60002056</t>
  </si>
  <si>
    <t>4500029672</t>
  </si>
  <si>
    <t>CC STP Phase 1 - Rehab &amp; Upgrade</t>
  </si>
  <si>
    <t>60003435</t>
  </si>
  <si>
    <t>10031341</t>
  </si>
  <si>
    <t>ISOLATION VALVE REPLACEMENT FOR SC5</t>
  </si>
  <si>
    <t>Replacement of Isolation Valves at SC5</t>
  </si>
  <si>
    <t>Supply of Labor and Materials for the ST</t>
  </si>
  <si>
    <t>10033261</t>
  </si>
  <si>
    <t>STP REHAB SC1</t>
  </si>
  <si>
    <t>4500031488</t>
  </si>
  <si>
    <t>STP REHAB SC2&amp;3</t>
  </si>
  <si>
    <t>STP REHAB SC4</t>
  </si>
  <si>
    <t>4500030191</t>
  </si>
  <si>
    <t>MANNED HYBRID TERMINAL</t>
  </si>
  <si>
    <t>60000753</t>
  </si>
  <si>
    <t>LABOR, INSTALLATION,TESTING &amp; COMMISSION</t>
  </si>
  <si>
    <t>PORTABLE DEVICE TERMINAL (PDT)</t>
  </si>
  <si>
    <t>PROJECT MOBILIZATION</t>
  </si>
  <si>
    <t>60003877</t>
  </si>
  <si>
    <t>4500030556</t>
  </si>
  <si>
    <t>POWER KW-HR METER PROVISION</t>
  </si>
  <si>
    <t>4500030557</t>
  </si>
  <si>
    <t>WATERPROOFING WORKS IN VARIOUS AREAS</t>
  </si>
  <si>
    <t>60000344</t>
  </si>
  <si>
    <t>Rehabilitation of Turnstile System at Si</t>
  </si>
  <si>
    <t>4500031397</t>
  </si>
  <si>
    <t>REHABILITATION OF TURNSTILE AT SC3</t>
  </si>
  <si>
    <t>60000983</t>
  </si>
  <si>
    <t>10033042</t>
  </si>
  <si>
    <t>ARM BARRIER LED LIGHT 3M</t>
  </si>
  <si>
    <t>HPRT THERMAL PRINTER</t>
  </si>
  <si>
    <t>3M ARTICULATED BARRIER ARM</t>
  </si>
  <si>
    <t>3M STRAIGHT BARRIER ARM</t>
  </si>
  <si>
    <t>MOBILIZATION FEE</t>
  </si>
  <si>
    <t>10033279</t>
  </si>
  <si>
    <t>T8 18W / 6500K CDL LED TUBE</t>
  </si>
  <si>
    <t>TORRESRF</t>
  </si>
  <si>
    <t>10033280</t>
  </si>
  <si>
    <t>T5 16W/6500K CDL LED TUBE</t>
  </si>
  <si>
    <t>4500031361</t>
  </si>
  <si>
    <t>AUTOMATIC BARRIER GATE</t>
  </si>
  <si>
    <t>10032922</t>
  </si>
  <si>
    <t>10032930</t>
  </si>
  <si>
    <t>10033045</t>
  </si>
  <si>
    <t>ACRYLIC EPOXY SPRAY PAINT RJ BRAND400CC</t>
  </si>
  <si>
    <t>CAN</t>
  </si>
  <si>
    <t>60000173</t>
  </si>
  <si>
    <t>LAXAMANACA</t>
  </si>
  <si>
    <t>4500031263</t>
  </si>
  <si>
    <t>RJ ACRYLIC EPOXY MET CTM HONDA</t>
  </si>
  <si>
    <t>60002735</t>
  </si>
  <si>
    <t>BICERARH</t>
  </si>
  <si>
    <t>10032808</t>
  </si>
  <si>
    <t>S&amp;I OF YABU SIGNAGE AT GF, ESEW</t>
  </si>
  <si>
    <t>10032809</t>
  </si>
  <si>
    <t>S&amp;I OF PATCH LOCKS &amp; FLOOR HINGE FOR DEF</t>
  </si>
  <si>
    <t>10032824</t>
  </si>
  <si>
    <t>INSTALL. OF ADD. KITCHEN WASTE LINE &amp; CO</t>
  </si>
  <si>
    <t>10032825</t>
  </si>
  <si>
    <t>INSTALL. OF ADD. KTCHN WASTE LINE &amp; COLD</t>
  </si>
  <si>
    <t>10032880</t>
  </si>
  <si>
    <t>s&amp;d of tarpaulin size: 3m(w)x3.4m(h)</t>
  </si>
  <si>
    <t>10033037</t>
  </si>
  <si>
    <t>INSTALL. OF TINT FILM FOR GLASS CANOPY</t>
  </si>
  <si>
    <t>60003451</t>
  </si>
  <si>
    <t>4500031126</t>
  </si>
  <si>
    <t>S&amp;I OF PATCH LOCKS &amp; FLOOR HINGE</t>
  </si>
  <si>
    <t>60000823</t>
  </si>
  <si>
    <t>4500031264</t>
  </si>
  <si>
    <t>S&amp;I OF YABU SIGNAGE AT ESTANCIA GF NW</t>
  </si>
  <si>
    <t>60003514</t>
  </si>
  <si>
    <t>4500031268</t>
  </si>
  <si>
    <t>60001323</t>
  </si>
  <si>
    <t>10032810</t>
  </si>
  <si>
    <t>DEMOLITION OF EXIST. WALL ON ONEZO FORME</t>
  </si>
  <si>
    <t>10032826</t>
  </si>
  <si>
    <t>INSTALL. OF FDAS ON VACANT SPACES AT EEW</t>
  </si>
  <si>
    <t>10032827</t>
  </si>
  <si>
    <t>DEMOLI. OF EXISTING CHB WALL PARTITION</t>
  </si>
  <si>
    <t>10032931</t>
  </si>
  <si>
    <t>DEMOLITION WORKS ON STYLE LASH FORMER SP</t>
  </si>
  <si>
    <t>10032932</t>
  </si>
  <si>
    <t>DEMOLI. OF EXISTNG IMPRO. ON GRND HONG L</t>
  </si>
  <si>
    <t>10032933</t>
  </si>
  <si>
    <t>INSTALL. OF ADD. EXHAUST PROV. FOR RETAI</t>
  </si>
  <si>
    <t>10032935</t>
  </si>
  <si>
    <t>10032981</t>
  </si>
  <si>
    <t>REPAINTING WORKS FOR MUJI AT STRGE RM &amp;</t>
  </si>
  <si>
    <t>10033109</t>
  </si>
  <si>
    <t>GYPSUM BOARD 12MM X 4' X 8"</t>
  </si>
  <si>
    <t>GYPSUM BOARD 9MM X 4' X 8''</t>
  </si>
  <si>
    <t>10033278</t>
  </si>
  <si>
    <t>DSMNTLNG &amp; RE-INSTALL OF 5PCS SPRNKLR HE</t>
  </si>
  <si>
    <t>10033310</t>
  </si>
  <si>
    <t>INSTALL. OF VIBRATION ISOLATOR &amp; RPLCMNT</t>
  </si>
  <si>
    <t>4500031040</t>
  </si>
  <si>
    <t>S&amp;I OF SMOKE DETECTOR ON VACANT SPACES</t>
  </si>
  <si>
    <t>60000475</t>
  </si>
  <si>
    <t>4500031178</t>
  </si>
  <si>
    <t>INSTALLATION OF ADDITIONAL EXHAUST DUCT</t>
  </si>
  <si>
    <t>4500031185</t>
  </si>
  <si>
    <t>DEMOLITION OF GRAND HONG LOU</t>
  </si>
  <si>
    <t>4500031186</t>
  </si>
  <si>
    <t>DEMOLITION WORKS ON STYLE LASH</t>
  </si>
  <si>
    <t>4500031322</t>
  </si>
  <si>
    <t>REPAINTING WORKS FOR MUJI STORAGE ROOM</t>
  </si>
  <si>
    <t>4500031329</t>
  </si>
  <si>
    <t>4500031437</t>
  </si>
  <si>
    <t>DISMANTLING &amp; REINSTALLATION OF 5 PCS</t>
  </si>
  <si>
    <t>4500031478</t>
  </si>
  <si>
    <t>INSTALLATION OF VIBRATION ISOLATOR</t>
  </si>
  <si>
    <t>10033007</t>
  </si>
  <si>
    <t>SUPPLY AND INSTALLATION FEEDERLINE FLICK</t>
  </si>
  <si>
    <t>10033012</t>
  </si>
  <si>
    <t>INSTALLATION OF CHW PIPE STUB OUT FLICKE</t>
  </si>
  <si>
    <t>10033247</t>
  </si>
  <si>
    <t>RELOCATION OF DRYWALL AT GH ANNEX 3F</t>
  </si>
  <si>
    <t>10033250</t>
  </si>
  <si>
    <t>ADD'T FTTHH CABLING WORKS AT FLICKERBYTE</t>
  </si>
  <si>
    <t>10033251</t>
  </si>
  <si>
    <t>ADD'T FTTH CABLING WORKS @ DISNEY STORE</t>
  </si>
  <si>
    <t>10033262</t>
  </si>
  <si>
    <t>DEMOLITION AND INSTAL. STAIRSPWD RAMP</t>
  </si>
  <si>
    <t>DEMOLITION OF ESPRIT, CLARKS &amp; OSH KOSH</t>
  </si>
  <si>
    <t>10033314</t>
  </si>
  <si>
    <t>TENANT SPACE RECUT SM APPLIANCE,ADIDAS,P</t>
  </si>
  <si>
    <t>10033327</t>
  </si>
  <si>
    <t>DESIGN ASSESTMENT, STEEL PARKING, FORMWO</t>
  </si>
  <si>
    <t>4500031305</t>
  </si>
  <si>
    <t>S&amp;I OF CHW PIPE STUB OUT &amp; WALL MOUNTED</t>
  </si>
  <si>
    <t>4500031374</t>
  </si>
  <si>
    <t>S&amp;I ADDITIONAL FEEDERLINE 40AT, 1P, 230V</t>
  </si>
  <si>
    <t>4500031469</t>
  </si>
  <si>
    <t>4500031514</t>
  </si>
  <si>
    <t>ADDITIONAL  FTTH CABLING WORKS</t>
  </si>
  <si>
    <t>60000765</t>
  </si>
  <si>
    <t>4500031520</t>
  </si>
  <si>
    <t>10033120</t>
  </si>
  <si>
    <t>Replacement of Defective PRV at 10F</t>
  </si>
  <si>
    <t>10033121</t>
  </si>
  <si>
    <t>10033119</t>
  </si>
  <si>
    <t>Replacement at CCTV Room</t>
  </si>
  <si>
    <t>4500031436</t>
  </si>
  <si>
    <t>UPS REPLACEMENT AT CCTV ROOM</t>
  </si>
  <si>
    <t>60003210</t>
  </si>
  <si>
    <t>10033360</t>
  </si>
  <si>
    <t>WATERPROOFING OF ROOFDECK</t>
  </si>
  <si>
    <t>10033255</t>
  </si>
  <si>
    <t>STP Rehabilitation</t>
  </si>
  <si>
    <t>STP REHAB SC5</t>
  </si>
  <si>
    <t>10032890</t>
  </si>
  <si>
    <t>SC 4 - New parking system</t>
  </si>
  <si>
    <t>4500031330</t>
  </si>
  <si>
    <t>NEW PARKING SYSTEM AT SILVER CITY 4</t>
  </si>
  <si>
    <t>10033235</t>
  </si>
  <si>
    <t>10033237</t>
  </si>
  <si>
    <t>10033319</t>
  </si>
  <si>
    <t>WATERPROOFING OF ROOF GUTTER TO PARAPET</t>
  </si>
  <si>
    <t>10033236</t>
  </si>
  <si>
    <t>WATERPROOFING OF PASSENGER ELEVATOR PIT</t>
  </si>
  <si>
    <t>10033318</t>
  </si>
  <si>
    <t>INSTALLATION OF VENTILLATION SYSTEM FOR</t>
  </si>
  <si>
    <t>10033013</t>
  </si>
  <si>
    <t>Supply of Labor and Materials for Repair</t>
  </si>
  <si>
    <t>4500031399</t>
  </si>
  <si>
    <t>REPAIR OF AFFSS AT SILVER CITY 1</t>
  </si>
  <si>
    <t>REPAIR OF AFFSS AT SILVER CITY 2</t>
  </si>
  <si>
    <t>10033001</t>
  </si>
  <si>
    <t>SUPPLY OF LABOR AND MATERIALS FOR REPLAC</t>
  </si>
  <si>
    <t>4500031318</t>
  </si>
  <si>
    <t>REPLACEMENT OF FIRE PUMP LOGIC BOARD</t>
  </si>
  <si>
    <t>10033145</t>
  </si>
  <si>
    <t>GH BOLLARDS</t>
  </si>
  <si>
    <t>10033029</t>
  </si>
  <si>
    <t>REROUTING &amp; INSTALLATION OF KITCHEN WAST</t>
  </si>
  <si>
    <t>4500031350</t>
  </si>
  <si>
    <t>REROUTING&amp;INSTALLATION KITCHEN WASTELINE</t>
  </si>
  <si>
    <t>10033055</t>
  </si>
  <si>
    <t>Main Waterline Re-routing for OE</t>
  </si>
  <si>
    <t>4500031460</t>
  </si>
  <si>
    <t>MAIN WATERLINE RE-ROUTING</t>
  </si>
  <si>
    <t>10033123</t>
  </si>
  <si>
    <t>INSTALLATION OF CCTV AT PASSENGER &amp; SE</t>
  </si>
  <si>
    <t>10033124</t>
  </si>
  <si>
    <t>4500031424</t>
  </si>
  <si>
    <t>S&amp;I OF CCTV FOR ELEVATOR AT SC 2</t>
  </si>
  <si>
    <t>4500031425</t>
  </si>
  <si>
    <t>S&amp;I OF CCTV FOR ELEVATOR AT SC 3</t>
  </si>
  <si>
    <t>10033192</t>
  </si>
  <si>
    <t>GSTRIP RENOVATION &amp; CONNECTICUT RETILING</t>
  </si>
  <si>
    <t>10033200</t>
  </si>
  <si>
    <t>7 AHU COIL REPLACEMENT</t>
  </si>
  <si>
    <t>4500031335</t>
  </si>
  <si>
    <t>AHU Cooling Coil Replacement @ Lifestlyl</t>
  </si>
  <si>
    <t>60002072</t>
  </si>
  <si>
    <t>4500014589</t>
  </si>
  <si>
    <t>SELLERS' &amp; BUYERS' PORTAL DEV &amp;</t>
  </si>
  <si>
    <t>60001294</t>
  </si>
  <si>
    <t>BADILLAMJJ</t>
  </si>
  <si>
    <t>4500029628</t>
  </si>
  <si>
    <t>Additive CO1 - Additional Man Hours</t>
  </si>
  <si>
    <t>60003415</t>
  </si>
  <si>
    <t>AP_RED</t>
  </si>
  <si>
    <t>4500026838</t>
  </si>
  <si>
    <t>PARTITION 140Hx90W</t>
  </si>
  <si>
    <t>PARTITION 140Hx60W</t>
  </si>
  <si>
    <t>LAMINATED TABLE</t>
  </si>
  <si>
    <t>4500026889</t>
  </si>
  <si>
    <t>TOPGEAR SIGNAGE ACRYLIC BASE BOARD</t>
  </si>
  <si>
    <t>60003769</t>
  </si>
  <si>
    <t>10026745</t>
  </si>
  <si>
    <t>FIBER OPTIC CABLING WORKS</t>
  </si>
  <si>
    <t>BALVERDEEL</t>
  </si>
  <si>
    <t>10028026</t>
  </si>
  <si>
    <t>Fortune Plant</t>
  </si>
  <si>
    <t>Rubber Tree</t>
  </si>
  <si>
    <t>Snake Plant,</t>
  </si>
  <si>
    <t>4500025506</t>
  </si>
  <si>
    <t>FIRE EXTINGUISHER 10LBS – HCFC-123</t>
  </si>
  <si>
    <t>60003591</t>
  </si>
  <si>
    <t>4500024746</t>
  </si>
  <si>
    <t>Fit-Outworks incl. LED Wall</t>
  </si>
  <si>
    <t>60003586</t>
  </si>
  <si>
    <t>4500026813</t>
  </si>
  <si>
    <t>LOBBY/LOUNGE AREA</t>
  </si>
  <si>
    <t>4500028661</t>
  </si>
  <si>
    <t>MOP SINK</t>
  </si>
  <si>
    <t>60001657</t>
  </si>
  <si>
    <t>BIRKE MOP SINK W/ FAUCET</t>
  </si>
  <si>
    <t>4500029999</t>
  </si>
  <si>
    <t>WEB-SITE DEVELOPMENT</t>
  </si>
  <si>
    <t>60003146</t>
  </si>
  <si>
    <t>10032678</t>
  </si>
  <si>
    <t>REUPHI\OLSTERY FOR GLASTON OFFICE</t>
  </si>
  <si>
    <t>10032925</t>
  </si>
  <si>
    <t>MTECH FDAS GLASTON OFFICE</t>
  </si>
  <si>
    <t>10032953</t>
  </si>
  <si>
    <t>10032955</t>
  </si>
  <si>
    <t>WAREHOUSE RACKS</t>
  </si>
  <si>
    <t>10032964</t>
  </si>
  <si>
    <t>10033020</t>
  </si>
  <si>
    <t>50L TRASH BINS FOR GLASTON SALES OFFICE</t>
  </si>
  <si>
    <t>10033376</t>
  </si>
  <si>
    <t>SUPPLY &amp; INSTALLATION OF CCTV POWER PROV</t>
  </si>
  <si>
    <t>4500031290</t>
  </si>
  <si>
    <t>FDAS Works at Glaston Sales Office</t>
  </si>
  <si>
    <t>10032656</t>
  </si>
  <si>
    <t>2026 BYD TANG DMI</t>
  </si>
  <si>
    <t>60003366</t>
  </si>
  <si>
    <t>10032334</t>
  </si>
  <si>
    <t>Installation of Laminated cabinets for t</t>
  </si>
  <si>
    <t>10032927</t>
  </si>
  <si>
    <t>Hardware refresh - Migration to HCI</t>
  </si>
  <si>
    <t>4500031511</t>
  </si>
  <si>
    <t>Hardware Refresh - Migration to HCI</t>
  </si>
  <si>
    <t>60000772</t>
  </si>
  <si>
    <t>10032929</t>
  </si>
  <si>
    <t>HPE Aruba Networking 10G SFP+ LC SR 300m</t>
  </si>
  <si>
    <t>4500031224</t>
  </si>
  <si>
    <t>HPE ARUBA NETWORKING 10G SFP+ LC SR 300M</t>
  </si>
  <si>
    <t>60001025</t>
  </si>
  <si>
    <t>10033082</t>
  </si>
  <si>
    <t>2026 VIOS XE CVT</t>
  </si>
  <si>
    <t>DASH CAMERA</t>
  </si>
  <si>
    <t>4500031265</t>
  </si>
  <si>
    <t>2026 TOYOTA VIOS XE CVT</t>
  </si>
  <si>
    <t>60000541</t>
  </si>
  <si>
    <t>DASH CAMERA (front &amp; back)</t>
  </si>
  <si>
    <t>10033144</t>
  </si>
  <si>
    <t>GH CANTEEN AT MCKINLEY</t>
  </si>
  <si>
    <t>10033328</t>
  </si>
  <si>
    <t>DEMOLITION OF CANTEEN</t>
  </si>
  <si>
    <t>10033197</t>
  </si>
  <si>
    <t>PURCHASE OF THEATER MNGMNT SYSTEM</t>
  </si>
  <si>
    <t>10033196</t>
  </si>
  <si>
    <t>PURCHASE OF NEW THEATER MNGMNT SYSTEM</t>
  </si>
  <si>
    <t>10033201</t>
  </si>
  <si>
    <t>Uniview face recognition access control</t>
  </si>
  <si>
    <t>4500031502</t>
  </si>
  <si>
    <t>ACCESS CONTROL TERMINAL AT ESTANCIA HQ</t>
  </si>
  <si>
    <t>60000434</t>
  </si>
  <si>
    <t>10033352</t>
  </si>
  <si>
    <t>ASUS TUF A16 AMR7 32GB 1TB GAMING LAPTOP</t>
  </si>
  <si>
    <t>10033388</t>
  </si>
  <si>
    <t>NEW BYD SEALION 5 DM-i</t>
  </si>
  <si>
    <t>10033437</t>
  </si>
  <si>
    <t>NEW BYD SEAL 5 DYNAMIC DM -1</t>
  </si>
  <si>
    <t>Month</t>
  </si>
  <si>
    <t>Carry-over</t>
  </si>
  <si>
    <t>SAP PRD ENHANCEMENT - EOPT -</t>
  </si>
  <si>
    <t>2026 TOYOTA VIOS XE CVT E.TUBANIA</t>
  </si>
  <si>
    <t>TID-0000069805</t>
  </si>
  <si>
    <t>04/15/2026</t>
  </si>
  <si>
    <t>07/31/2026</t>
  </si>
  <si>
    <t>TID-0000069835</t>
  </si>
  <si>
    <t>VANESSA OPENIANO</t>
  </si>
  <si>
    <t>GH REPLACEMENT OF ELECTRICAL OUTDATED METERS</t>
  </si>
  <si>
    <t>TID-0000069836</t>
  </si>
  <si>
    <t>Escalator</t>
  </si>
  <si>
    <t>JOHN STEVEN CABALLERO</t>
  </si>
  <si>
    <t>TID-0000069837</t>
  </si>
  <si>
    <t>4500031540</t>
  </si>
  <si>
    <t>DEMOLITION OF LAMIER &amp; INSTALLATION</t>
  </si>
  <si>
    <t>4500028977</t>
  </si>
  <si>
    <t>Change Request: EOPT Forms and Reports</t>
  </si>
  <si>
    <t>60003348</t>
  </si>
  <si>
    <t>REANTASOGS</t>
  </si>
  <si>
    <t>Source</t>
  </si>
  <si>
    <t>Special Project?</t>
  </si>
  <si>
    <t>Y</t>
  </si>
  <si>
    <t>N</t>
  </si>
  <si>
    <t>M = C-D</t>
  </si>
  <si>
    <t>N = M/C</t>
  </si>
  <si>
    <t>AVAILABLE1</t>
  </si>
  <si>
    <t>AVAILABLE2</t>
  </si>
  <si>
    <r>
      <t xml:space="preserve">COMMITTED
</t>
    </r>
    <r>
      <rPr>
        <i/>
        <sz val="11"/>
        <color theme="0"/>
        <rFont val="Calibri"/>
        <family val="2"/>
      </rPr>
      <t>(open PR PO)</t>
    </r>
  </si>
  <si>
    <t>0300011391/ 0300011392/ 0300011408</t>
  </si>
  <si>
    <t>JJB-2026B-NPC001</t>
  </si>
  <si>
    <t>JJB-2026B-NPC002</t>
  </si>
  <si>
    <t>JJB-2026B-NPC003</t>
  </si>
  <si>
    <t>TID-0000072444</t>
  </si>
  <si>
    <t>GALLEON RESI MOCK-UP FLOOR AIR COOLER</t>
  </si>
  <si>
    <t>ANGELICA ROMO</t>
  </si>
  <si>
    <t>PAULINA AGUILAR</t>
  </si>
  <si>
    <t>TID-0000072626</t>
  </si>
  <si>
    <t>04/07/2026</t>
  </si>
  <si>
    <t>2026 RAV 4 CVT HEV C.MILLS</t>
  </si>
  <si>
    <t>TID-0000073093</t>
  </si>
  <si>
    <t>E = D/C</t>
  </si>
  <si>
    <t>F = C-D</t>
  </si>
  <si>
    <t>ES COVERED WALKWAY</t>
  </si>
  <si>
    <t>04/14/2026</t>
  </si>
  <si>
    <t>12/15/2026</t>
  </si>
  <si>
    <t>0300011412</t>
  </si>
  <si>
    <t>Estancia Towers</t>
  </si>
  <si>
    <t>TID-0000073098</t>
  </si>
  <si>
    <t>07/15/2026</t>
  </si>
  <si>
    <t>ESTANCIA TOWERS - PH 0</t>
  </si>
  <si>
    <t>JOSE RAFAEL DINO</t>
  </si>
  <si>
    <t>RAYMOND SANTOS</t>
  </si>
  <si>
    <t>0300011413</t>
  </si>
  <si>
    <t>Walkway</t>
  </si>
  <si>
    <t>GH Mall to Mckinley Lobby</t>
  </si>
  <si>
    <t>MCKINLEY TO GH MALL ACCESS UPDATE</t>
  </si>
  <si>
    <t>Project CAPEX</t>
  </si>
  <si>
    <t>SHOPPESVILLE AHU COOLING COILS REPLACEMENT</t>
  </si>
  <si>
    <t>CV Bridge</t>
  </si>
  <si>
    <t>CV PARKLINKS BRIDGE</t>
  </si>
  <si>
    <t>LEE ROSE OLLINA</t>
  </si>
  <si>
    <t>TID-0000073132</t>
  </si>
  <si>
    <t>04/02/2026</t>
  </si>
  <si>
    <t>01/31/2028</t>
  </si>
  <si>
    <t>SAP IO</t>
  </si>
  <si>
    <t>Board Approved vs SAP IO</t>
  </si>
  <si>
    <t>04/21/2026</t>
  </si>
  <si>
    <t>04/22/2026</t>
  </si>
  <si>
    <t>0300011417</t>
  </si>
  <si>
    <t>ES MAIN MALL NON-POTABLE WATER LINE</t>
  </si>
  <si>
    <t>TID-0000072511</t>
  </si>
  <si>
    <t>04/23/2026</t>
  </si>
  <si>
    <t>0300011418</t>
  </si>
  <si>
    <t>TID-0000067742/ TID-0000073905</t>
  </si>
  <si>
    <t>TID-0000073905</t>
  </si>
  <si>
    <t>ES EW PARKING WHEEL STOPPERS</t>
  </si>
  <si>
    <t>05/01/2026</t>
  </si>
  <si>
    <t>04/28/2026</t>
  </si>
  <si>
    <t>0300011419</t>
  </si>
  <si>
    <t>0300011314/ '0300011420</t>
  </si>
  <si>
    <t>0300011298/ 0300011421</t>
  </si>
  <si>
    <t>0300011393/ 0300011422</t>
  </si>
  <si>
    <t>MCKINLEY TO GH MALL ACCESS U</t>
  </si>
  <si>
    <t>SHOPPESVILLE AHU COOLING COI</t>
  </si>
  <si>
    <t>ES MAIN MALL NON-POTABLE WAT</t>
  </si>
  <si>
    <t>GALLEON RESI MOCK-UP FLOOR A</t>
  </si>
  <si>
    <t>SC4 VRF SYSTEM RECONDITIONING</t>
  </si>
  <si>
    <t>5000055823</t>
  </si>
  <si>
    <t>GH NEW MALL REWATERPROOFING PROJECT</t>
  </si>
  <si>
    <t>5000055813</t>
  </si>
  <si>
    <t>EONS ELEVATORS PARTS REPLACEMENT</t>
  </si>
  <si>
    <t>5000055592</t>
  </si>
  <si>
    <t>ESW LIFT STATION REHABILITATION</t>
  </si>
  <si>
    <t>5000055824</t>
  </si>
  <si>
    <t>5000055492</t>
  </si>
  <si>
    <t>5000055493</t>
  </si>
  <si>
    <t>5000055775</t>
  </si>
  <si>
    <t>5000055523</t>
  </si>
  <si>
    <t>BIR SAN JUAN-FB-FLECS</t>
  </si>
  <si>
    <t>5000055524</t>
  </si>
  <si>
    <t>BIR SAN JUAN-FBCO2-FLECS</t>
  </si>
  <si>
    <t>5000055525</t>
  </si>
  <si>
    <t>BIR SAN JUAN-FBCO3-FLECS</t>
  </si>
  <si>
    <t>5000055568</t>
  </si>
  <si>
    <t>BIR SAN JUAN-FB-SUPER8 A1</t>
  </si>
  <si>
    <t>1900040644</t>
  </si>
  <si>
    <t>FORMS &amp; LINES EXCELLENCE CONSTRUCTI</t>
  </si>
  <si>
    <t>1700003462</t>
  </si>
  <si>
    <t>1900040646</t>
  </si>
  <si>
    <t>5000055867</t>
  </si>
  <si>
    <t>BIR SAN JUAN-FB-AADD</t>
  </si>
  <si>
    <t>5000055868</t>
  </si>
  <si>
    <t>5000055507</t>
  </si>
  <si>
    <t>PB#2-ADBASCO-CC PARK REDE</t>
  </si>
  <si>
    <t>5000055522</t>
  </si>
  <si>
    <t>5000055862</t>
  </si>
  <si>
    <t>PB#4_S&amp;I OF TRAPEZDL BEAM</t>
  </si>
  <si>
    <t>5000055700</t>
  </si>
  <si>
    <t>SC5 ISOLATION VALVES REPLACEMENT FOR CHI</t>
  </si>
  <si>
    <t>5000055599</t>
  </si>
  <si>
    <t>5000055603</t>
  </si>
  <si>
    <t>5000055449</t>
  </si>
  <si>
    <t>SC3 REHABILITATION OF TURNSTILE SYSTEM</t>
  </si>
  <si>
    <t>5000055825</t>
  </si>
  <si>
    <t>5000054985</t>
  </si>
  <si>
    <t>5000055316</t>
  </si>
  <si>
    <t>101676181</t>
  </si>
  <si>
    <t>2026/03 MANUAL SETTLEMENT</t>
  </si>
  <si>
    <t>12602101</t>
  </si>
  <si>
    <t>5000055798</t>
  </si>
  <si>
    <t>101680448</t>
  </si>
  <si>
    <t>2026/04 MANUAL SETTLEMENT</t>
  </si>
  <si>
    <t>TID-0000070542</t>
  </si>
  <si>
    <t>5000055468</t>
  </si>
  <si>
    <t>1900040721</t>
  </si>
  <si>
    <t>TID-0000073412</t>
  </si>
  <si>
    <t>4500031672</t>
  </si>
  <si>
    <t>5000055847</t>
  </si>
  <si>
    <t>S&amp;I OF NEW ESTANCIA BOARD-UP TARP</t>
  </si>
  <si>
    <t>5000055465</t>
  </si>
  <si>
    <t>5000055581</t>
  </si>
  <si>
    <t>5000055722</t>
  </si>
  <si>
    <t>5000055745</t>
  </si>
  <si>
    <t>1900040746</t>
  </si>
  <si>
    <t>TID-0000073325</t>
  </si>
  <si>
    <t>4500031666</t>
  </si>
  <si>
    <t>5000055837</t>
  </si>
  <si>
    <t>GH TENANT SPACE RE-CUT &amp; UTILITIES STUB-</t>
  </si>
  <si>
    <t>5000055518</t>
  </si>
  <si>
    <t>5000055519</t>
  </si>
  <si>
    <t>5000055520</t>
  </si>
  <si>
    <t>5000055606</t>
  </si>
  <si>
    <t>4500031585</t>
  </si>
  <si>
    <t>5000055607</t>
  </si>
  <si>
    <t>CO 1: Tenant Space Recut (GH Mall)</t>
  </si>
  <si>
    <t>5000055626</t>
  </si>
  <si>
    <t>SC3 FIRE AND JOCKEY PUMPS PARTS REPLACEM</t>
  </si>
  <si>
    <t>5000055828</t>
  </si>
  <si>
    <t>5000055608</t>
  </si>
  <si>
    <t>5000055462</t>
  </si>
  <si>
    <t>5000055668</t>
  </si>
  <si>
    <t>1900342029</t>
  </si>
  <si>
    <t>E1612233</t>
  </si>
  <si>
    <t>LEE ROSE</t>
  </si>
  <si>
    <t>4500031801</t>
  </si>
  <si>
    <t>5000055865</t>
  </si>
  <si>
    <t>Topographic and Hydrographic Survey</t>
  </si>
  <si>
    <t>TOPOGRAPHIC AND HYDROGRAP</t>
  </si>
  <si>
    <t>5000055554</t>
  </si>
  <si>
    <t>5000055555</t>
  </si>
  <si>
    <t>5000055557</t>
  </si>
  <si>
    <t>5000055663</t>
  </si>
  <si>
    <t>5000055712</t>
  </si>
  <si>
    <t>5000055713</t>
  </si>
  <si>
    <t>5000055817</t>
  </si>
  <si>
    <t>10033577</t>
  </si>
  <si>
    <t>10033555</t>
  </si>
  <si>
    <t>FBRCTION &amp; INSTALL. OF PWD LIGHTED SIGNA</t>
  </si>
  <si>
    <t>10033617</t>
  </si>
  <si>
    <t>S&amp;I FOR THE REPLCMNT OF EXIST. CARPET W/</t>
  </si>
  <si>
    <t>MATAAB</t>
  </si>
  <si>
    <t>10033618</t>
  </si>
  <si>
    <t>WHITE ROUND WATERLILY RUG 60CM</t>
  </si>
  <si>
    <t>WHITE ROUND WATERLILY RUG 100CM</t>
  </si>
  <si>
    <t>DELIVERY FEE</t>
  </si>
  <si>
    <t>10033510</t>
  </si>
  <si>
    <t>SEAT COVER (MODEL: CF8500A) - HCG</t>
  </si>
  <si>
    <t>10033556</t>
  </si>
  <si>
    <t>S&amp;I OF BACK-LIT VANITY MIRRORS FOR ES MA</t>
  </si>
  <si>
    <t>10033580</t>
  </si>
  <si>
    <t>RPLCMNT OF SPRING ASSEMBLY FOR ROLL-UPS</t>
  </si>
  <si>
    <t>PM OF ROLL-UPS AT ES MAIN CR's (M&amp;F)</t>
  </si>
  <si>
    <t>10033581</t>
  </si>
  <si>
    <t>RPLCMNT OF SPRING ASSEM. AT LG ESEW</t>
  </si>
  <si>
    <t>RPLCMNT OF ALUMINUM TUBES &amp; STRIPS 2F EW</t>
  </si>
  <si>
    <t>PM OF ROLL-UPS AT ESEW CR's</t>
  </si>
  <si>
    <t>4500031764</t>
  </si>
  <si>
    <t>60000447</t>
  </si>
  <si>
    <t>10033743</t>
  </si>
  <si>
    <t>Re-tiling of Gastro perimeter sidewalk</t>
  </si>
  <si>
    <t>10033744</t>
  </si>
  <si>
    <t>CONOCARPUS PLANTS</t>
  </si>
  <si>
    <t>10033509</t>
  </si>
  <si>
    <t>S&amp;I OF NEW ESTANCIA BOARD-UP TARP AT VAC</t>
  </si>
  <si>
    <t>10033663</t>
  </si>
  <si>
    <t>S&amp;I OF NEW ES BOARD-UP TARP AT VACANT SP</t>
  </si>
  <si>
    <t>10033664</t>
  </si>
  <si>
    <t>10033507</t>
  </si>
  <si>
    <t>10033597</t>
  </si>
  <si>
    <t>10033639</t>
  </si>
  <si>
    <t>ORDINARY PLYWOOD 1/4" X 4' X 8'</t>
  </si>
  <si>
    <t>10033753</t>
  </si>
  <si>
    <t>S&amp;I OF POWER SUPPLY 4KIOSK 2F CENTERMALL</t>
  </si>
  <si>
    <t>10033765</t>
  </si>
  <si>
    <t>S&amp;I OF POWER SUPPLY FOR 4 KIOSK 2F CENTE</t>
  </si>
  <si>
    <t>4500031590</t>
  </si>
  <si>
    <t>MANHOLE STRUCTURE RETROFITTING</t>
  </si>
  <si>
    <t>10033482</t>
  </si>
  <si>
    <t>Additional and Relocation of Sprinklers</t>
  </si>
  <si>
    <t>S&amp;I of Bladder Membrane</t>
  </si>
  <si>
    <t>4500031784</t>
  </si>
  <si>
    <t>S&amp;I OF BLADDER MEMBRANE AT IBP ROOFDECK</t>
  </si>
  <si>
    <t>4500031690</t>
  </si>
  <si>
    <t>STP REHABILITATION AT IBP TOWER</t>
  </si>
  <si>
    <t>10033621</t>
  </si>
  <si>
    <t>ACTIVATION OF INTERCOM AT AUXILLIARY COP</t>
  </si>
  <si>
    <t>10033631</t>
  </si>
  <si>
    <t>SUPPLY OF ACCESSORIES FOR AUGER MACHINE</t>
  </si>
  <si>
    <t>10033443</t>
  </si>
  <si>
    <t>WALL FACADE WATERPROOFING AND REPAINTING</t>
  </si>
  <si>
    <t>4500031671</t>
  </si>
  <si>
    <t>10033630</t>
  </si>
  <si>
    <t>4500031725</t>
  </si>
  <si>
    <t>INSTALLATION OF VENTILATION SYSTEM</t>
  </si>
  <si>
    <t>60000292</t>
  </si>
  <si>
    <t>10033747</t>
  </si>
  <si>
    <t>10033586</t>
  </si>
  <si>
    <t>BAR SCREEN INSTALLATION &amp; 5HP PUMP</t>
  </si>
  <si>
    <t>10033526</t>
  </si>
  <si>
    <t>Rehabilitation and Upgrade of Material R</t>
  </si>
  <si>
    <t>10033573</t>
  </si>
  <si>
    <t>STRUCTURAL DESIGN &amp; ANALYSIS OF ES COVER</t>
  </si>
  <si>
    <t>4500031766</t>
  </si>
  <si>
    <t>STRUCTURAL ENGINEERING INVESTIGATION</t>
  </si>
  <si>
    <t>60001377</t>
  </si>
  <si>
    <t>10033703</t>
  </si>
  <si>
    <t>Architectural Concept Masterplan</t>
  </si>
  <si>
    <t>10033734</t>
  </si>
  <si>
    <t>MCKINLEY-GH MALL ACCESS 3F &amp; FLR FINISH</t>
  </si>
  <si>
    <t>10033561</t>
  </si>
  <si>
    <t>10033623</t>
  </si>
  <si>
    <t>Inspection of Completed Bridge</t>
  </si>
  <si>
    <t>BOLISAYFJV</t>
  </si>
  <si>
    <t>10033625</t>
  </si>
  <si>
    <t>Soil Investigation</t>
  </si>
  <si>
    <t>10033635</t>
  </si>
  <si>
    <t>Design of CV to Parklinks Bridge</t>
  </si>
  <si>
    <t>10033648</t>
  </si>
  <si>
    <t>10033650</t>
  </si>
  <si>
    <t>Geotechnical Assessment</t>
  </si>
  <si>
    <t>4500031763</t>
  </si>
  <si>
    <t>60002549</t>
  </si>
  <si>
    <t>4500031803</t>
  </si>
  <si>
    <t>60001709</t>
  </si>
  <si>
    <t>10033716</t>
  </si>
  <si>
    <t>INSTALL. OF NON-POTABLE WATER LINE &amp; PUM</t>
  </si>
  <si>
    <t>10033634</t>
  </si>
  <si>
    <t>WHITEBOARD FREESTANDING</t>
  </si>
  <si>
    <t>WHITEBOARD WALL MOUNTED</t>
  </si>
  <si>
    <t>DELIVERY CHARGE</t>
  </si>
  <si>
    <t>4500031789</t>
  </si>
  <si>
    <t>ASUS TUF A14 FA401UU AMR7 32GB 1TB</t>
  </si>
  <si>
    <t>TABILINSA</t>
  </si>
  <si>
    <t>4500031578</t>
  </si>
  <si>
    <t>2026 BYD SEALION 5 DM-i</t>
  </si>
  <si>
    <t>60004052</t>
  </si>
  <si>
    <t>4500031686</t>
  </si>
  <si>
    <t>2026 BYD SEAL 5 Dynamic DM-i</t>
  </si>
  <si>
    <t>60004341</t>
  </si>
  <si>
    <t>REMAINING</t>
  </si>
  <si>
    <t>GH WATERPROOFING &amp; ROOF PROTECTION</t>
  </si>
  <si>
    <t>04/24/2026</t>
  </si>
  <si>
    <t>04/29/2026</t>
  </si>
  <si>
    <t>0300011416/ 0300011424</t>
  </si>
  <si>
    <t>0300011425</t>
  </si>
  <si>
    <t>GH WATERPROOFING &amp; ROOF PROT</t>
  </si>
  <si>
    <t>ES EW PARTS REPLACEMENT OF E</t>
  </si>
  <si>
    <t>5100048423</t>
  </si>
  <si>
    <t>AADD OFFICE FURNITURE TRADING</t>
  </si>
  <si>
    <t>5000055881</t>
  </si>
  <si>
    <t>101680880</t>
  </si>
  <si>
    <t>100706411</t>
  </si>
  <si>
    <t>2026/04 IO SETTLEMENT</t>
  </si>
  <si>
    <t>22551101</t>
  </si>
  <si>
    <t>Res.Prop dev't</t>
  </si>
  <si>
    <t>10033769</t>
  </si>
  <si>
    <t>4500031842</t>
  </si>
  <si>
    <t>REPLACEMENT OF CARPET WITH FLOOR TILES</t>
  </si>
  <si>
    <t>10033770</t>
  </si>
  <si>
    <t>WATERPROOFING WORKS AT LG, ES MAIN MALL</t>
  </si>
  <si>
    <t>10033771</t>
  </si>
  <si>
    <t>ACTUATOR PLATE GEBERIT</t>
  </si>
  <si>
    <t>CONCEALED CISTERN TANK</t>
  </si>
  <si>
    <t>10033772</t>
  </si>
  <si>
    <t>TOILET IMPROVE. WORKS AT LG, ES MAIN MAL</t>
  </si>
  <si>
    <t>10033773</t>
  </si>
  <si>
    <t>FORTUNE VARIEGATED PLANT</t>
  </si>
  <si>
    <t>10033784</t>
  </si>
  <si>
    <t>PHLIPS LED RECESSED FRAMELITE TRIO DL WW</t>
  </si>
  <si>
    <t>10033785</t>
  </si>
  <si>
    <t>S&amp;I OF TRAFFIC CONE STICKER FOR PARKING</t>
  </si>
  <si>
    <t>10033768</t>
  </si>
  <si>
    <t>HAULING &amp; CLEARING OF CONSTRUC. DEBRIS</t>
  </si>
  <si>
    <t>TR</t>
  </si>
  <si>
    <t>10033786</t>
  </si>
  <si>
    <t>DGTAL PRINT ON 13OZ TARP (SIZE:58FTX11FT</t>
  </si>
  <si>
    <t>MOBILIZATION &amp; INSTALLATION FEE</t>
  </si>
  <si>
    <t>4500031856</t>
  </si>
  <si>
    <t>SUPPLY&amp;INSTALL OF PRV AT 10F IBP TOWER</t>
  </si>
  <si>
    <t>4500031854</t>
  </si>
  <si>
    <t>10033807</t>
  </si>
  <si>
    <t>CHAPEL IMROVEMENT PROJECT</t>
  </si>
  <si>
    <t>4500031835</t>
  </si>
  <si>
    <t>60004356</t>
  </si>
  <si>
    <t>TID-0000074323</t>
  </si>
  <si>
    <t>12/01/2026</t>
  </si>
  <si>
    <t>05/04/2026</t>
  </si>
  <si>
    <t>0300011426</t>
  </si>
  <si>
    <t>0300011427</t>
  </si>
  <si>
    <t>TID-0000074651</t>
  </si>
  <si>
    <t>2026 CHERY TIGGO REV LE C-DM H.GARCIA</t>
  </si>
  <si>
    <t>TID-0000072626/ TID-0000074657</t>
  </si>
  <si>
    <t>TID-0000074655</t>
  </si>
  <si>
    <t>TID-0000074653</t>
  </si>
  <si>
    <t>MAYCA AMANTE</t>
  </si>
  <si>
    <t>2026 BYD SEAL 5 DM-i DYNAMIC M.AMANTE</t>
  </si>
  <si>
    <t>Showroom</t>
  </si>
  <si>
    <t>Mock-up Floor</t>
  </si>
  <si>
    <t>JOSHUA CANO</t>
  </si>
  <si>
    <t>TID-0000074212</t>
  </si>
  <si>
    <t>ES SHOWROOM STORAGE RACKS AND PUSHCARTS</t>
  </si>
  <si>
    <t>0300011432</t>
  </si>
  <si>
    <t>LORIE MAY BRIVA</t>
  </si>
  <si>
    <t>TID-0000074652</t>
  </si>
  <si>
    <t>2026 WIGO G CVT TOYOTA SHAW L.BRIVA</t>
  </si>
  <si>
    <t>CC STP REHAB AND REPAIR, PHASE 2</t>
  </si>
  <si>
    <t>TID-0000074816</t>
  </si>
  <si>
    <t>0300011434</t>
  </si>
  <si>
    <t>GH MCKINLEY PARKING WAYFINDING</t>
  </si>
  <si>
    <t>TID-0000075692</t>
  </si>
  <si>
    <t>05/26/2026</t>
  </si>
  <si>
    <t>05/20/2026</t>
  </si>
  <si>
    <t>0300011435</t>
  </si>
  <si>
    <t>0300011437</t>
  </si>
  <si>
    <t>CC STP REHAB AND REPAIR, PHA</t>
  </si>
  <si>
    <t>GH MCKINLEY PARKING WAYFINDI</t>
  </si>
  <si>
    <t>2026 CHERY TIGGO REV LE C-DM</t>
  </si>
  <si>
    <t>2026 BYD SEAL 5 DM-i DYNAMIC</t>
  </si>
  <si>
    <t>ES SHOWROOM STORAGE RACKS AN</t>
  </si>
  <si>
    <t>2026 WIGO G CVT TOYOTA SHAW</t>
  </si>
  <si>
    <t>10001136</t>
  </si>
  <si>
    <t>CCIC SALES OFFICE SPLIT-TYPE AIRCON</t>
  </si>
  <si>
    <t>5000056499</t>
  </si>
  <si>
    <t>10001190</t>
  </si>
  <si>
    <t>10001262</t>
  </si>
  <si>
    <t>10001269</t>
  </si>
  <si>
    <t>10001270</t>
  </si>
  <si>
    <t>10001281</t>
  </si>
  <si>
    <t>10001294</t>
  </si>
  <si>
    <t>10001296</t>
  </si>
  <si>
    <t>10001311</t>
  </si>
  <si>
    <t>10001314</t>
  </si>
  <si>
    <t>10001315</t>
  </si>
  <si>
    <t>10001322</t>
  </si>
  <si>
    <t>CC DRAINAGE IMPROVEMENT PHASE 2</t>
  </si>
  <si>
    <t>5000056371</t>
  </si>
  <si>
    <t>10001340</t>
  </si>
  <si>
    <t>10001341</t>
  </si>
  <si>
    <t>10001350</t>
  </si>
  <si>
    <t>10001360</t>
  </si>
  <si>
    <t>10001361</t>
  </si>
  <si>
    <t>10001363</t>
  </si>
  <si>
    <t>10001364</t>
  </si>
  <si>
    <t>10001365</t>
  </si>
  <si>
    <t>10001366</t>
  </si>
  <si>
    <t>10001374</t>
  </si>
  <si>
    <t>10001378</t>
  </si>
  <si>
    <t>THE STRIP VARIOUS TENANCY PROJECTS</t>
  </si>
  <si>
    <t>5000056305</t>
  </si>
  <si>
    <t>10001381</t>
  </si>
  <si>
    <t>10001387</t>
  </si>
  <si>
    <t>101689028</t>
  </si>
  <si>
    <t>RECLASS</t>
  </si>
  <si>
    <t>101689042</t>
  </si>
  <si>
    <t>101689043</t>
  </si>
  <si>
    <t>4500031939</t>
  </si>
  <si>
    <t>5000056158</t>
  </si>
  <si>
    <t>BIRD'S NEST FERN 2-3FT</t>
  </si>
  <si>
    <t>5000056244</t>
  </si>
  <si>
    <t>101689010</t>
  </si>
  <si>
    <t>2026/05 MANUAL SETTLEMENT</t>
  </si>
  <si>
    <t>101689013</t>
  </si>
  <si>
    <t>10001388</t>
  </si>
  <si>
    <t>5000055956</t>
  </si>
  <si>
    <t>10001389</t>
  </si>
  <si>
    <t>4500031973</t>
  </si>
  <si>
    <t>5000056318</t>
  </si>
  <si>
    <t>4500031966</t>
  </si>
  <si>
    <t>5000056453</t>
  </si>
  <si>
    <t>FORTUNE PLANT 5FT</t>
  </si>
  <si>
    <t>10001390</t>
  </si>
  <si>
    <t>4500031946</t>
  </si>
  <si>
    <t>5000056157</t>
  </si>
  <si>
    <t>4500032093</t>
  </si>
  <si>
    <t>5000056449</t>
  </si>
  <si>
    <t>10001393</t>
  </si>
  <si>
    <t>5000055955</t>
  </si>
  <si>
    <t>5000056096</t>
  </si>
  <si>
    <t>4500031872</t>
  </si>
  <si>
    <t>5000056147</t>
  </si>
  <si>
    <t>S&amp;I OF NEW ES BOARD-UP TARP</t>
  </si>
  <si>
    <t>4500031874</t>
  </si>
  <si>
    <t>5000056148</t>
  </si>
  <si>
    <t>1900041179</t>
  </si>
  <si>
    <t>TID-0000075003</t>
  </si>
  <si>
    <t>4500032076</t>
  </si>
  <si>
    <t>5000056486</t>
  </si>
  <si>
    <t>BOARD UP - GRAND HONG LOU TARP</t>
  </si>
  <si>
    <t>10001394</t>
  </si>
  <si>
    <t>1700003490</t>
  </si>
  <si>
    <t>5000056441</t>
  </si>
  <si>
    <t>4500032077</t>
  </si>
  <si>
    <t>5000056485</t>
  </si>
  <si>
    <t>ES BOARD UP (VACANT SPACE)</t>
  </si>
  <si>
    <t>10001395</t>
  </si>
  <si>
    <t>5000055986</t>
  </si>
  <si>
    <t>10001398</t>
  </si>
  <si>
    <t>10001404</t>
  </si>
  <si>
    <t>10001426</t>
  </si>
  <si>
    <t>10001435</t>
  </si>
  <si>
    <t>4500032028</t>
  </si>
  <si>
    <t>5000056346</t>
  </si>
  <si>
    <t>DIVERSION OF MAIN COLLECTORS @GH MALL LG</t>
  </si>
  <si>
    <t>10001443</t>
  </si>
  <si>
    <t>10001444</t>
  </si>
  <si>
    <t>SC2&amp;3 INSTALLATION OF CCTV AT PASSENGER</t>
  </si>
  <si>
    <t>5000056342</t>
  </si>
  <si>
    <t>5000056343</t>
  </si>
  <si>
    <t>10001446</t>
  </si>
  <si>
    <t>10001448</t>
  </si>
  <si>
    <t>4500032063</t>
  </si>
  <si>
    <t>5000056445</t>
  </si>
  <si>
    <t>HUDSON POLYURETHANE TOPCOAT</t>
  </si>
  <si>
    <t>B/S SANDING SEALER</t>
  </si>
  <si>
    <t>LACQUER THINNER</t>
  </si>
  <si>
    <t>PAINT THINNER</t>
  </si>
  <si>
    <t>5100048924</t>
  </si>
  <si>
    <t>DENISON GENERAL MERCHANDISE, INC.</t>
  </si>
  <si>
    <t>10001454</t>
  </si>
  <si>
    <t>40001062</t>
  </si>
  <si>
    <t>40001209</t>
  </si>
  <si>
    <t>40001235</t>
  </si>
  <si>
    <t>4500032102</t>
  </si>
  <si>
    <t>5000056237</t>
  </si>
  <si>
    <t>S&amp;I of CCTV Power Provisions</t>
  </si>
  <si>
    <t>40001243</t>
  </si>
  <si>
    <t>40001261</t>
  </si>
  <si>
    <t>40001262</t>
  </si>
  <si>
    <t>40001263</t>
  </si>
  <si>
    <t>5000056112</t>
  </si>
  <si>
    <t>40001264</t>
  </si>
  <si>
    <t>40001265</t>
  </si>
  <si>
    <t>5000055937</t>
  </si>
  <si>
    <t>40001282</t>
  </si>
  <si>
    <t>5000056367</t>
  </si>
  <si>
    <t>40001283</t>
  </si>
  <si>
    <t>5000055931</t>
  </si>
  <si>
    <t>40001284</t>
  </si>
  <si>
    <t>5000055959</t>
  </si>
  <si>
    <t>40001287</t>
  </si>
  <si>
    <t>100716857</t>
  </si>
  <si>
    <t>40001291</t>
  </si>
  <si>
    <t>4500032243</t>
  </si>
  <si>
    <t>5000056479</t>
  </si>
  <si>
    <t>STEEL RACKS 5 LAYER WHITE 90X45X200</t>
  </si>
  <si>
    <t>40001292</t>
  </si>
  <si>
    <t>4500032008</t>
  </si>
  <si>
    <t>5000056412</t>
  </si>
  <si>
    <t>2026 TOYOTA WIGO G 1.0 AT</t>
  </si>
  <si>
    <t>Full Windshield Tint</t>
  </si>
  <si>
    <t>Plate Ending (#3)</t>
  </si>
  <si>
    <t>10033833</t>
  </si>
  <si>
    <t>T-Connector &amp; Accessories</t>
  </si>
  <si>
    <t>T-Connector Alum. Alloy Cover</t>
  </si>
  <si>
    <t>End Cover</t>
  </si>
  <si>
    <t>End Alum. Alloy Cover</t>
  </si>
  <si>
    <t>Corner Connector &amp; Accessories</t>
  </si>
  <si>
    <t>Corner Connector Alum Aloy</t>
  </si>
  <si>
    <t>1.5x1.2 Partition w/ Middle Connector</t>
  </si>
  <si>
    <t>1.6x1.2 Partition Panel (Inc. Top Alum.</t>
  </si>
  <si>
    <t>1.2x1.2 Partition Panel</t>
  </si>
  <si>
    <t>0.7x1.2 Partition Panel</t>
  </si>
  <si>
    <t>Table Top Metal Support</t>
  </si>
  <si>
    <t>L-Shape Table Metal support</t>
  </si>
  <si>
    <t>Metal Legs for 1.2x0.7 Table</t>
  </si>
  <si>
    <t>Single Workstation (1.2x0.7)</t>
  </si>
  <si>
    <t>Furniture Sticker White</t>
  </si>
  <si>
    <t>Assembly Fee</t>
  </si>
  <si>
    <t>4500032119</t>
  </si>
  <si>
    <t>10033920</t>
  </si>
  <si>
    <t>S&amp;I of Additional Lighting &amp; Submersible</t>
  </si>
  <si>
    <t>4500031888</t>
  </si>
  <si>
    <t>4500032129</t>
  </si>
  <si>
    <t>10034172</t>
  </si>
  <si>
    <t>SLIDING DOORS FOR GH NEW MALL &amp; LIFESTYL</t>
  </si>
  <si>
    <t>10033903</t>
  </si>
  <si>
    <t>ADD. ROUGHING-INS WIRING OF POWER &amp; DATA</t>
  </si>
  <si>
    <t>4500032018</t>
  </si>
  <si>
    <t>FABRICATION &amp; INSTALLATION PWD LIGHTED</t>
  </si>
  <si>
    <t>60002619</t>
  </si>
  <si>
    <t>4500032033</t>
  </si>
  <si>
    <t>ADDITIONAL ROUGHING-INS &amp; WIRING</t>
  </si>
  <si>
    <t>10034090</t>
  </si>
  <si>
    <t>RECESSED LED DOWNLIGHT DG-E07A 20W W.WHI</t>
  </si>
  <si>
    <t>T8 LED TUBE GES ET8A-16W WW</t>
  </si>
  <si>
    <t>10034091</t>
  </si>
  <si>
    <t>SENSOR TYPE FAUCET</t>
  </si>
  <si>
    <t>HCG WALL-MOUNTED URINAL</t>
  </si>
  <si>
    <t>AUTOMATIC HANDSOAP DISPENSER</t>
  </si>
  <si>
    <t>4500032019</t>
  </si>
  <si>
    <t>ACTUATOR PLATE</t>
  </si>
  <si>
    <t>60000169</t>
  </si>
  <si>
    <t>4500032101</t>
  </si>
  <si>
    <t>TOILET IMPROVEMENT WORKS AT LG ESTANCIA</t>
  </si>
  <si>
    <t>60004316</t>
  </si>
  <si>
    <t>4500032205</t>
  </si>
  <si>
    <t>WATERPROOFING WORKS AT LOWER GROUND</t>
  </si>
  <si>
    <t>10033952</t>
  </si>
  <si>
    <t>INSTALL. OF 2UN BRAND NEW WALL MOUNTED</t>
  </si>
  <si>
    <t>10034150</t>
  </si>
  <si>
    <t>SUBMERSIBLE PUMP - 2HP (BRAND: SHOWFU)</t>
  </si>
  <si>
    <t>60002790</t>
  </si>
  <si>
    <t>10033940</t>
  </si>
  <si>
    <t>10034157</t>
  </si>
  <si>
    <t>GOODLITE LED-905 UFO HIGHBAY LIGHTS 300W</t>
  </si>
  <si>
    <t>10034058</t>
  </si>
  <si>
    <t>ORANGE RUBBERIZED TRAFFIC CONE 30" HT.</t>
  </si>
  <si>
    <t>10034100</t>
  </si>
  <si>
    <t>TOP: 6IN(H)X18.25IN(W) BOTTOM: 6IN(H)X29</t>
  </si>
  <si>
    <t>DISMNTLNG OF EXTNG MAT. &amp; INSTALL FEE</t>
  </si>
  <si>
    <t>SIZE: 18X24IN - PARKING PAYMENT STATION</t>
  </si>
  <si>
    <t>SIZE: 150CM X 50CM</t>
  </si>
  <si>
    <t>4500031933</t>
  </si>
  <si>
    <t>S&amp;I OF TRAFFIC CONE STICKER</t>
  </si>
  <si>
    <t>4500032270</t>
  </si>
  <si>
    <t>60003503</t>
  </si>
  <si>
    <t>10033866</t>
  </si>
  <si>
    <t>SIZE: 809IN (L) X 134IN (H) 13OZ TARP.</t>
  </si>
  <si>
    <t>10033994</t>
  </si>
  <si>
    <t>UPGRDE OF LLAO-LLAO PWR PROV. FROM 60A,</t>
  </si>
  <si>
    <t>10033995</t>
  </si>
  <si>
    <t>S&amp;I OF VOLUME DAMPER AT BEYOND THE BOOTH</t>
  </si>
  <si>
    <t>4500032203</t>
  </si>
  <si>
    <t>UPGRADE OF LLAO-LLAO POWER PROVISION</t>
  </si>
  <si>
    <t>4500032244</t>
  </si>
  <si>
    <t>4500032246</t>
  </si>
  <si>
    <t>60003113</t>
  </si>
  <si>
    <t>10033867</t>
  </si>
  <si>
    <t>SIZE: 808CM (L) X 337CM (H) 13OZ TARP.</t>
  </si>
  <si>
    <t>10034056</t>
  </si>
  <si>
    <t>CHB LAYING FOR RETAIL 8 AT ESEW</t>
  </si>
  <si>
    <t>10034167</t>
  </si>
  <si>
    <t>CHB LAYING FOR 2L-14 &amp; 2L-15</t>
  </si>
  <si>
    <t>4500031873</t>
  </si>
  <si>
    <t>4500031895</t>
  </si>
  <si>
    <t>60000256</t>
  </si>
  <si>
    <t>10034017</t>
  </si>
  <si>
    <t>RE-CUT OF SPACE FOR THE RELOCATION AREA</t>
  </si>
  <si>
    <t>10034114</t>
  </si>
  <si>
    <t>S&amp;I OF LPG STUB-OUT @ H PROPER GH MALL</t>
  </si>
  <si>
    <t>10034115</t>
  </si>
  <si>
    <t>S&amp;I OF MECHANICAL STUBOUT &amp;H PROPER GH M</t>
  </si>
  <si>
    <t>10034126</t>
  </si>
  <si>
    <t>S&amp;I OF PLUMBING/SANITARY STUB OUT @ GH M</t>
  </si>
  <si>
    <t>10034127</t>
  </si>
  <si>
    <t>S&amp;I OF ADDITIONAL FEEDERLINE @ GH MALL</t>
  </si>
  <si>
    <t>4500031893</t>
  </si>
  <si>
    <t>S&amp;I OF POWER SUPPLY FOR 4 KIOSK</t>
  </si>
  <si>
    <t>4500032280</t>
  </si>
  <si>
    <t>RE-CUT SPACE FOR THE RELOCATION AREA</t>
  </si>
  <si>
    <t>4500032046</t>
  </si>
  <si>
    <t>10033870</t>
  </si>
  <si>
    <t>SC1A Roofdeck Waterproofing</t>
  </si>
  <si>
    <t>10033869</t>
  </si>
  <si>
    <t>Rehabilitation of 4 units Common CR at S</t>
  </si>
  <si>
    <t>10033871</t>
  </si>
  <si>
    <t>ESTANCIA NORTHWING WATERPROOFING</t>
  </si>
  <si>
    <t>4500032113</t>
  </si>
  <si>
    <t>60000423</t>
  </si>
  <si>
    <t>4500032175</t>
  </si>
  <si>
    <t>SUPPLY OF ACCESSORIES OF AUGER MACHINE</t>
  </si>
  <si>
    <t>60004278</t>
  </si>
  <si>
    <t>4500031834</t>
  </si>
  <si>
    <t>4500032096</t>
  </si>
  <si>
    <t>REPLACEMENT OF LOGIC BOARD &amp; KEYPAD</t>
  </si>
  <si>
    <t>4500032064</t>
  </si>
  <si>
    <t>S&amp;I OF BOLLARDS AT GH</t>
  </si>
  <si>
    <t>60002032</t>
  </si>
  <si>
    <t>10033832</t>
  </si>
  <si>
    <t>DIVERSION OF MAIN COLLECTORS @ GH MALL</t>
  </si>
  <si>
    <t>4500032130</t>
  </si>
  <si>
    <t>Bar Screen &amp; Pump Upgrade</t>
  </si>
  <si>
    <t>4500031942</t>
  </si>
  <si>
    <t>Rehabilitation and Upgrade of MRF at CC</t>
  </si>
  <si>
    <t>60002353</t>
  </si>
  <si>
    <t>10033930</t>
  </si>
  <si>
    <t>REHABILITATION OF TURNSTILE AT SC2</t>
  </si>
  <si>
    <t>4500032281</t>
  </si>
  <si>
    <t>10033733</t>
  </si>
  <si>
    <t>LEATHER TOUCH BROWN</t>
  </si>
  <si>
    <t>ROL</t>
  </si>
  <si>
    <t>SHOE TACKS</t>
  </si>
  <si>
    <t>BX</t>
  </si>
  <si>
    <t>STAPLE WIRE 5/8</t>
  </si>
  <si>
    <t>URATEX FOAM</t>
  </si>
  <si>
    <t>DELIVERY</t>
  </si>
  <si>
    <t>10033933</t>
  </si>
  <si>
    <t>CHAPEL REFURBISHMENT PROJECT</t>
  </si>
  <si>
    <t>10033935</t>
  </si>
  <si>
    <t>POLYURETHANE WOOD VARNISH</t>
  </si>
  <si>
    <t>GAL</t>
  </si>
  <si>
    <t>10033938</t>
  </si>
  <si>
    <t>URATEX FOAM 4" X 60" X 75"</t>
  </si>
  <si>
    <t>URATEX FOAM 4" X 35" X 75"</t>
  </si>
  <si>
    <t>10034138</t>
  </si>
  <si>
    <t>LEATHER TOUCH</t>
  </si>
  <si>
    <t>4500031943</t>
  </si>
  <si>
    <t>4500032062</t>
  </si>
  <si>
    <t>URATEX FOAM 4" X 36" X 75"</t>
  </si>
  <si>
    <t>10033934</t>
  </si>
  <si>
    <t>GTM DEMOLITION</t>
  </si>
  <si>
    <t>10034174</t>
  </si>
  <si>
    <t>Mechanical Engineering Services</t>
  </si>
  <si>
    <t>10034176</t>
  </si>
  <si>
    <t>Electrical System Design</t>
  </si>
  <si>
    <t>4500031920</t>
  </si>
  <si>
    <t>60001671</t>
  </si>
  <si>
    <t>10033873</t>
  </si>
  <si>
    <t>RUBBER WHEEL STOPPER 570MM LENGTH</t>
  </si>
  <si>
    <t>10033850</t>
  </si>
  <si>
    <t>WATERPROOFING WORKS @ HEALTHCUBE PH4</t>
  </si>
  <si>
    <t>10033905</t>
  </si>
  <si>
    <t>GH MALL SKYLIGHT WATERPROOFING</t>
  </si>
  <si>
    <t>10034099</t>
  </si>
  <si>
    <t>WATERPROOFING FOR FIRE TANK @ PROMENADE</t>
  </si>
  <si>
    <t>4500032108</t>
  </si>
  <si>
    <t>WATERPROOFING WORKS@HEALTHCUBE PHASE 4</t>
  </si>
  <si>
    <t>4500032186</t>
  </si>
  <si>
    <t>SKYLIGHT WATERPROOFING AT GH MALL</t>
  </si>
  <si>
    <t>4500032289</t>
  </si>
  <si>
    <t>WATERPROOFING FOR FIRE TANK AT GP3</t>
  </si>
  <si>
    <t>10033944</t>
  </si>
  <si>
    <t>Pre-Engineering Studies</t>
  </si>
  <si>
    <t>10034129</t>
  </si>
  <si>
    <t>Bathymetric Survey</t>
  </si>
  <si>
    <t>4500032043</t>
  </si>
  <si>
    <t>60002918</t>
  </si>
  <si>
    <t>10033901</t>
  </si>
  <si>
    <t>10033950</t>
  </si>
  <si>
    <t>STP Rehabilitation and Upgrade Phase 2</t>
  </si>
  <si>
    <t>4500032050</t>
  </si>
  <si>
    <t>CC STP Rehab &amp; Upgrade Phase 2</t>
  </si>
  <si>
    <t>4500031975</t>
  </si>
  <si>
    <t>WS 303 FLIPCHART WHITEBOARD 2X3 VERTICAL</t>
  </si>
  <si>
    <t>60002769</t>
  </si>
  <si>
    <t>4500032071</t>
  </si>
  <si>
    <t>10033884</t>
  </si>
  <si>
    <t>4500032087</t>
  </si>
  <si>
    <t>2026 TOYOTA RAV4 ADV HEV CVT</t>
  </si>
  <si>
    <t>10033928</t>
  </si>
  <si>
    <t>2026 CHERY REV LE C-DM</t>
  </si>
  <si>
    <t>4500032092</t>
  </si>
  <si>
    <t>60004379</t>
  </si>
  <si>
    <t>10033885</t>
  </si>
  <si>
    <t>2026 RAV 4 CVT HEV</t>
  </si>
  <si>
    <t>White Pearl Color</t>
  </si>
  <si>
    <t>4500032084</t>
  </si>
  <si>
    <t>2026 TOYOTA RAV4 LTD HEV CVT</t>
  </si>
  <si>
    <t>10033887</t>
  </si>
  <si>
    <t>BYD SEAL 5 DM- I DYNAMIC 2026</t>
  </si>
  <si>
    <t>4500032287</t>
  </si>
  <si>
    <t>60004394</t>
  </si>
  <si>
    <t>10033893</t>
  </si>
  <si>
    <t>MYSTAR Pushcart 300kg</t>
  </si>
  <si>
    <t>Spare Wheels 5x2</t>
  </si>
  <si>
    <t>10033894</t>
  </si>
  <si>
    <t>Steel Racks 5 layers White</t>
  </si>
  <si>
    <t>10033886</t>
  </si>
  <si>
    <t>2026 WIGO F 1.0 AT 2026</t>
  </si>
  <si>
    <t>Tint Full Windshield</t>
  </si>
  <si>
    <t>Ending Plate#3</t>
  </si>
  <si>
    <t>60000539</t>
  </si>
  <si>
    <t>10034215</t>
  </si>
  <si>
    <t>Supply of Imported Manual Curtain</t>
  </si>
  <si>
    <t>4500032343</t>
  </si>
  <si>
    <t>S&amp;I OF BACK-LIT VANITY MIRRORS</t>
  </si>
  <si>
    <t>60003881</t>
  </si>
  <si>
    <t>10034190</t>
  </si>
  <si>
    <t>Replacement of TOA evacuation frame for</t>
  </si>
  <si>
    <t>10034206</t>
  </si>
  <si>
    <t>Construction of Conference Room</t>
  </si>
  <si>
    <t>4500032348</t>
  </si>
  <si>
    <t>ROOF DECK WATERPROOFING WORKS</t>
  </si>
  <si>
    <t>10001400</t>
  </si>
  <si>
    <t>HOISTING ROPE &amp; LOAD TESTING</t>
  </si>
  <si>
    <t>HOISTING ROPE &amp; OTHER MAJOR PARTS</t>
  </si>
  <si>
    <t>4500032334</t>
  </si>
  <si>
    <t>10034187</t>
  </si>
  <si>
    <t>GH MALL RAILINGS GOING TO CONNOR</t>
  </si>
  <si>
    <t>4500032358</t>
  </si>
  <si>
    <t>GH MALL 3F RAILINGS GOING TO CONNOR</t>
  </si>
  <si>
    <t>10001457</t>
  </si>
  <si>
    <t>4500032336</t>
  </si>
  <si>
    <t>WHITEBOARD WALL MOUNTED 4 x 5FT</t>
  </si>
  <si>
    <t>4500032360</t>
  </si>
  <si>
    <t>PUSHCART 300KG</t>
  </si>
  <si>
    <t>60002739</t>
  </si>
  <si>
    <t>SPARE WHEELS 5X2</t>
  </si>
  <si>
    <t>5000056590</t>
  </si>
  <si>
    <t>5000056548</t>
  </si>
  <si>
    <t>5000056549</t>
  </si>
  <si>
    <t>5000056552</t>
  </si>
  <si>
    <t>5000056554</t>
  </si>
  <si>
    <t>5000056556</t>
  </si>
  <si>
    <t>5000056523</t>
  </si>
  <si>
    <t>TID-0000067736/ TID-0000076680</t>
  </si>
  <si>
    <t>TID-0000076680</t>
  </si>
  <si>
    <t>ENS REPLACEMENT OF SYNCHRONIZE PANEL CONTROLLER (MALL)</t>
  </si>
  <si>
    <t>RAZEL ANN VILLANUEVA/ VIEL ECHON</t>
  </si>
  <si>
    <t>06/06/2026</t>
  </si>
  <si>
    <t>06/15/2026</t>
  </si>
  <si>
    <t>06/10/2026</t>
  </si>
  <si>
    <t>0300011439</t>
  </si>
  <si>
    <t>ENS REPLACEMENT OF SYNCHRONIZE PANEL CONTROLLER (OFFICES)</t>
  </si>
  <si>
    <t>TID-0000076976</t>
  </si>
  <si>
    <t>TID-0000068984/ TID-0000076976</t>
  </si>
  <si>
    <t>06/11/2026</t>
  </si>
  <si>
    <t>0300011341/ 0300011440</t>
  </si>
  <si>
    <t>0300011441</t>
  </si>
  <si>
    <t>SEASORY CARD PRINTER S22</t>
  </si>
  <si>
    <t>RENELYN OCTAVO</t>
  </si>
  <si>
    <t>TID-0000075969</t>
  </si>
  <si>
    <t>05/25/2026</t>
  </si>
  <si>
    <t>05/15/2026</t>
  </si>
  <si>
    <t>06/17/2026</t>
  </si>
  <si>
    <t>0300011442</t>
  </si>
  <si>
    <t>Printer</t>
  </si>
  <si>
    <t>GH ESCALATORS/ELEVATORS MAJOR REPAIRS</t>
  </si>
  <si>
    <t>Metropoli Bridge</t>
  </si>
  <si>
    <t>CONSTRUCTION OF METROPOLI BRIDGE</t>
  </si>
  <si>
    <t>TID-0000077495</t>
  </si>
  <si>
    <t>06/22/2026</t>
  </si>
  <si>
    <t>07/31/2027</t>
  </si>
  <si>
    <t>06/18/2026</t>
  </si>
  <si>
    <t>TID-0000072871/ TID-0000077603</t>
  </si>
  <si>
    <t>0300011415/ 0300011444</t>
  </si>
  <si>
    <t>BATTERY REPLACEMENT OF UPS EATON 650VA</t>
  </si>
  <si>
    <t>TID-0000077258</t>
  </si>
  <si>
    <t>06/16/2026</t>
  </si>
  <si>
    <t>Battery</t>
  </si>
  <si>
    <t>0300011445</t>
  </si>
  <si>
    <t>0300011443/ 0300011446</t>
  </si>
  <si>
    <t>TID-0000077361</t>
  </si>
  <si>
    <t>CC STANDARDIZE ESTATE SIGNAGES</t>
  </si>
  <si>
    <t>0300011447</t>
  </si>
  <si>
    <t>TID-0000077363</t>
  </si>
  <si>
    <t>CC ELF TRUCK</t>
  </si>
  <si>
    <t>Truck</t>
  </si>
  <si>
    <t>0300011448</t>
  </si>
  <si>
    <t>CC TRAFFIC CONES, BOLLARD &amp; CHAIN</t>
  </si>
  <si>
    <t>TID-0000077366</t>
  </si>
  <si>
    <t>Traffic Control</t>
  </si>
  <si>
    <t>0300011449</t>
  </si>
  <si>
    <t>RENEE CAJARDO</t>
  </si>
  <si>
    <t>TID-0000077464</t>
  </si>
  <si>
    <t>0300011450</t>
  </si>
  <si>
    <t>O-PARKLANE PARKING TRAFFIC CONE</t>
  </si>
  <si>
    <t>TID-0000077365</t>
  </si>
  <si>
    <t>CC CCTV SYSTEM</t>
  </si>
  <si>
    <t>0300011451</t>
  </si>
  <si>
    <t>TID-0000069862/ TID-0000077799</t>
  </si>
  <si>
    <t>0300011372/ 0300011452</t>
  </si>
  <si>
    <t>TID-0000077799</t>
  </si>
  <si>
    <t>06/24/2026</t>
  </si>
  <si>
    <t>CC RUMBLE STRIP &amp; PEDESTRIAN CROSSING FOR WALKWAY CANOPIES</t>
  </si>
  <si>
    <t>Estate Improvements</t>
  </si>
  <si>
    <t>0300011453</t>
  </si>
  <si>
    <t>2026 MERCEDEZ C 180 AVANTGARDE MDIA</t>
  </si>
  <si>
    <t>TID-0000078954</t>
  </si>
  <si>
    <t>LAPTOPS FOR A.MATA &amp; R.CAJARDO</t>
  </si>
  <si>
    <t>07/09/2026</t>
  </si>
  <si>
    <t>GH ESCALATORS/ELEVATORS MAJO</t>
  </si>
  <si>
    <t>ENS REPLACEMENT OF SYNCHRONI</t>
  </si>
  <si>
    <t>CONSTRUCTION OF METROPOLI BR</t>
  </si>
  <si>
    <t>CC STANDARDIZE ESTATE SIGNAG</t>
  </si>
  <si>
    <t>CC TRAFFIC CONES, BOLLARD &amp;</t>
  </si>
  <si>
    <t>O-PARKLANE PARKING TRAFFIC C</t>
  </si>
  <si>
    <t>CC RUMBLE STRIP &amp; PEDESTRIAN</t>
  </si>
  <si>
    <t>2026 MERCEDEZ C 180 AVANTGAR</t>
  </si>
  <si>
    <t>BATTERY REPLACEMENT OF UPS E</t>
  </si>
  <si>
    <t>10001298</t>
  </si>
  <si>
    <t>1900352470</t>
  </si>
  <si>
    <t>PO#4500027421</t>
  </si>
  <si>
    <t>ADBASCO ENGINEERING WORKS AND</t>
  </si>
  <si>
    <t>5000057014</t>
  </si>
  <si>
    <t>5000057015</t>
  </si>
  <si>
    <t>5000056646</t>
  </si>
  <si>
    <t>45-29369-CC PARK REDEVT</t>
  </si>
  <si>
    <t>5000056650</t>
  </si>
  <si>
    <t>10001362</t>
  </si>
  <si>
    <t>5000057103</t>
  </si>
  <si>
    <t>5000056871</t>
  </si>
  <si>
    <t>10001386</t>
  </si>
  <si>
    <t>5000056922</t>
  </si>
  <si>
    <t>5000056823</t>
  </si>
  <si>
    <t>1900041694</t>
  </si>
  <si>
    <t>TID-0000077432</t>
  </si>
  <si>
    <t>5000056798</t>
  </si>
  <si>
    <t>5000056830</t>
  </si>
  <si>
    <t>5000057138</t>
  </si>
  <si>
    <t>10001401</t>
  </si>
  <si>
    <t>5000056873</t>
  </si>
  <si>
    <t>5000057018</t>
  </si>
  <si>
    <t>5000057019</t>
  </si>
  <si>
    <t>10001407</t>
  </si>
  <si>
    <t>5000057144</t>
  </si>
  <si>
    <t>10001417</t>
  </si>
  <si>
    <t>ENS REPLACEMENT OF BARSCREEN WITH STAINL</t>
  </si>
  <si>
    <t>5000056832</t>
  </si>
  <si>
    <t>10001419</t>
  </si>
  <si>
    <t>EWW ROOFDECK WATERPROOFING REPAIR AND RE</t>
  </si>
  <si>
    <t>5000056671</t>
  </si>
  <si>
    <t>10001420</t>
  </si>
  <si>
    <t>EWW WATERPROOFING OF ELEVATOR PIT'S PERI</t>
  </si>
  <si>
    <t>5000056670</t>
  </si>
  <si>
    <t>10001428</t>
  </si>
  <si>
    <t>SC5 FIRE AND JOCKEY PUMPS PARTS REPLACEM</t>
  </si>
  <si>
    <t>5000056945</t>
  </si>
  <si>
    <t>10001440</t>
  </si>
  <si>
    <t>5000056870</t>
  </si>
  <si>
    <t>10001447</t>
  </si>
  <si>
    <t>5000056952</t>
  </si>
  <si>
    <t>10001451</t>
  </si>
  <si>
    <t>5000056963</t>
  </si>
  <si>
    <t>ESTANCIA EXPANSION-PB1-VA</t>
  </si>
  <si>
    <t>5000057119</t>
  </si>
  <si>
    <t>5000057120</t>
  </si>
  <si>
    <t>10001452</t>
  </si>
  <si>
    <t>5000056937</t>
  </si>
  <si>
    <t>5000056697</t>
  </si>
  <si>
    <t>5000057024</t>
  </si>
  <si>
    <t>SOIL INVESTIGATION</t>
  </si>
  <si>
    <t>5000057083</t>
  </si>
  <si>
    <t>GEOTECHNICAL ASSESSMENT</t>
  </si>
  <si>
    <t>10001458</t>
  </si>
  <si>
    <t>5000056700</t>
  </si>
  <si>
    <t>BATHYMETRIC SURVEY</t>
  </si>
  <si>
    <t>5000056861</t>
  </si>
  <si>
    <t>PRE ENGINEERING STUDIES</t>
  </si>
  <si>
    <t>5100049262</t>
  </si>
  <si>
    <t>PO#4500032336</t>
  </si>
  <si>
    <t>5000056736</t>
  </si>
  <si>
    <t>5000056760</t>
  </si>
  <si>
    <t>40001285</t>
  </si>
  <si>
    <t>5000056930</t>
  </si>
  <si>
    <t>40001288</t>
  </si>
  <si>
    <t>5000056704</t>
  </si>
  <si>
    <t>40001293</t>
  </si>
  <si>
    <t>4500032545</t>
  </si>
  <si>
    <t>5000057072</t>
  </si>
  <si>
    <t>SEASORY S22 DUAL SIDED (PRINTER)</t>
  </si>
  <si>
    <t>10034422</t>
  </si>
  <si>
    <t>UPS BATTERY 12V 7AH FOR UPS 650VA</t>
  </si>
  <si>
    <t>4500032520</t>
  </si>
  <si>
    <t>10034291</t>
  </si>
  <si>
    <t>Fire Extinguisher</t>
  </si>
  <si>
    <t>10034299</t>
  </si>
  <si>
    <t>Bollard Light Fixture</t>
  </si>
  <si>
    <t>4500032521</t>
  </si>
  <si>
    <t>BOLLARD LIGHT FIXTURE</t>
  </si>
  <si>
    <t>10034498</t>
  </si>
  <si>
    <t>KEYSWITCH</t>
  </si>
  <si>
    <t>4500032620</t>
  </si>
  <si>
    <t>SLIDING DOORS FOR GH NEW MALL&amp;LIFESTYLE</t>
  </si>
  <si>
    <t>60004416</t>
  </si>
  <si>
    <t>4500032621</t>
  </si>
  <si>
    <t>10034318</t>
  </si>
  <si>
    <t>AIR-FREIGHT CHARGE FOR DELIVERY OF 22 AC</t>
  </si>
  <si>
    <t>10034446</t>
  </si>
  <si>
    <t>ADD. IMPROV. WORKS AT LG SW MCR &amp; FCR</t>
  </si>
  <si>
    <t>4500032543</t>
  </si>
  <si>
    <t>REPLACE OF SPRING ASSEMBLY FOR ROLL-UPS</t>
  </si>
  <si>
    <t>60004438</t>
  </si>
  <si>
    <t>4500032563</t>
  </si>
  <si>
    <t>AIR-FREIGHT CHARGE FOR DELIVERY</t>
  </si>
  <si>
    <t>4500032614</t>
  </si>
  <si>
    <t>REPLACEMENT OF SPRING ASSEMBLY AT LG</t>
  </si>
  <si>
    <t>REPLACEMENT OF ALUMINUM TUBES &amp; STRIPS</t>
  </si>
  <si>
    <t>PM OF ROLL-UPS AT ESTANCIA EASTWING</t>
  </si>
  <si>
    <t>10034271</t>
  </si>
  <si>
    <t>CAPUCINO MTL601202SH LAVA LGHTGRY 60X120</t>
  </si>
  <si>
    <t>10034316</t>
  </si>
  <si>
    <t>INTERACTIVE DIRECTORIES SOFTWARE RENEWAL</t>
  </si>
  <si>
    <t>10034520</t>
  </si>
  <si>
    <t>PROGRAM. OF 1UN TOA AMPLIFIER EVACUATION</t>
  </si>
  <si>
    <t>4500032447</t>
  </si>
  <si>
    <t>60001869</t>
  </si>
  <si>
    <t>4500032450</t>
  </si>
  <si>
    <t>4500032478</t>
  </si>
  <si>
    <t>REPLACEMENT OF TOA EVACUATION FRAME</t>
  </si>
  <si>
    <t>60004116</t>
  </si>
  <si>
    <t>4500032530</t>
  </si>
  <si>
    <t>S&amp;I OF NEW 2UNITS AC WALL MOUNTED</t>
  </si>
  <si>
    <t>10034272</t>
  </si>
  <si>
    <t>LEDDOWNLIGHT 15W SURFACEMOUNTD W/BRACKET</t>
  </si>
  <si>
    <t>10034273</t>
  </si>
  <si>
    <t>10034343</t>
  </si>
  <si>
    <t>SG FLORA BLACK W/ REPLACEABLE LED GU10</t>
  </si>
  <si>
    <t>10034344</t>
  </si>
  <si>
    <t>10034345</t>
  </si>
  <si>
    <t>BOLLARD LIGHT W/ LED BULB 12W E27</t>
  </si>
  <si>
    <t>10034346</t>
  </si>
  <si>
    <t>10034347</t>
  </si>
  <si>
    <t>PERUVIAN FERNS</t>
  </si>
  <si>
    <t>4500032464</t>
  </si>
  <si>
    <t>4500032565</t>
  </si>
  <si>
    <t>60001848</t>
  </si>
  <si>
    <t>4500032566</t>
  </si>
  <si>
    <t>4500032615</t>
  </si>
  <si>
    <t>PERUVIAN FERNS, 2FT</t>
  </si>
  <si>
    <t>YUCCA PLANT, 4-5FT (2 HEADS)</t>
  </si>
  <si>
    <t>4500032618</t>
  </si>
  <si>
    <t>10034290</t>
  </si>
  <si>
    <t>B/S ACQUA EPOXY B2900N637-C3 PETAL</t>
  </si>
  <si>
    <t>4500032458</t>
  </si>
  <si>
    <t>IMPROVEMENT WORKS ON GOING</t>
  </si>
  <si>
    <t>PARKING PAYMENT STATION</t>
  </si>
  <si>
    <t>4500032511</t>
  </si>
  <si>
    <t>BOYSEN AQUA EPOXY B2900N637-C3 PETAL</t>
  </si>
  <si>
    <t>10034317</t>
  </si>
  <si>
    <t>HAULING &amp; CLEARING OF CONSTR. DEBRIS</t>
  </si>
  <si>
    <t>4500032474</t>
  </si>
  <si>
    <t>HAULING &amp;CLEARING OF CONSTRUCTION DEBRIS</t>
  </si>
  <si>
    <t>10034409</t>
  </si>
  <si>
    <t>REPAIR OF DAMAGED AHU S&amp;RETURN DUCT - 2F</t>
  </si>
  <si>
    <t>4500032457</t>
  </si>
  <si>
    <t>4500032539</t>
  </si>
  <si>
    <t>CHB LAYING FOR RETAIL 8-G/F MAVEN TOWER</t>
  </si>
  <si>
    <t>10034337</t>
  </si>
  <si>
    <t>4" KITCHEN WASTE PIPE PROVISION FOR CHAG</t>
  </si>
  <si>
    <t>10034339</t>
  </si>
  <si>
    <t>S&amp;I OF 3PCS SMOKE DETECTOR  CONVENTIONAL</t>
  </si>
  <si>
    <t>10034341</t>
  </si>
  <si>
    <t>S&amp;I OF 5PCS. HEAT DETECTOR W/ROUGHING IN</t>
  </si>
  <si>
    <t>10034462</t>
  </si>
  <si>
    <t>CHIPPING &amp; RESTORATION @ UNIMART DROP OF</t>
  </si>
  <si>
    <t>4500032383</t>
  </si>
  <si>
    <t>S&amp;I OF ADDITIONAL FEEDERLINE 60AT, 3P</t>
  </si>
  <si>
    <t>4500032401</t>
  </si>
  <si>
    <t>S&amp;I OF MECHANICAL STUB-OUT (KED &amp; KSD)</t>
  </si>
  <si>
    <t>4500032499</t>
  </si>
  <si>
    <t>S&amp;I OF LPG STUB-OUT AT H PROPER, GH MALL</t>
  </si>
  <si>
    <t>60004432</t>
  </si>
  <si>
    <t>4500032525</t>
  </si>
  <si>
    <t>S&amp;I OF PLUMBING/ SANITARY STUB OUT</t>
  </si>
  <si>
    <t>4500032624</t>
  </si>
  <si>
    <t>S&amp;I OF 3PCS CONVENTIONAL SMOKE DETECTOR</t>
  </si>
  <si>
    <t>4500032440</t>
  </si>
  <si>
    <t>60000355</t>
  </si>
  <si>
    <t>10034328</t>
  </si>
  <si>
    <t>PARTS REPLACEMENT FOR PASSENGER ELEVATOR</t>
  </si>
  <si>
    <t>4500032386</t>
  </si>
  <si>
    <t>ELEVATOR PARTS REPAIR - PE5</t>
  </si>
  <si>
    <t>ELEVATOR PARTS REPAIR - PE6</t>
  </si>
  <si>
    <t>4500032519</t>
  </si>
  <si>
    <t>PARTS REPLACEMENT FOR MITSUBISHI PE#3</t>
  </si>
  <si>
    <t>10034329</t>
  </si>
  <si>
    <t>REPLACEMENT OF SOFT STARTER FOR CONDENSE</t>
  </si>
  <si>
    <t>4500032527</t>
  </si>
  <si>
    <t>REPLACEMENT SOFT STARTER FOR CONDENSER</t>
  </si>
  <si>
    <t>PE#1 - REPAIR &amp; PARTS REPLACEMENT</t>
  </si>
  <si>
    <t>PE#2 - REPAIR &amp; PARTS REPLACEMENT</t>
  </si>
  <si>
    <t>PE#3 - REPAIR &amp; PARTS REPLACEMENT</t>
  </si>
  <si>
    <t>FE#1 - REPAIR &amp; PARTS REPLACEMENT</t>
  </si>
  <si>
    <t>10034229</t>
  </si>
  <si>
    <t>S&amp;I OF ESC. PARTS FOR ESC#1 @ SHOPPESVIL</t>
  </si>
  <si>
    <t>10034338</t>
  </si>
  <si>
    <t>S&amp;I OF STEP CHAIN ASSEMBLY FUJI</t>
  </si>
  <si>
    <t>4500032567</t>
  </si>
  <si>
    <t>S&amp;I OF ESCALATOR PARTS FOR HYUNDAI ESC#1</t>
  </si>
  <si>
    <t>10034436</t>
  </si>
  <si>
    <t>CC Lift Station Manhole Rehab</t>
  </si>
  <si>
    <t>4500032605</t>
  </si>
  <si>
    <t>10034526</t>
  </si>
  <si>
    <t>CONSTRUCTION OF CROSSWALK CANOPY AT ES</t>
  </si>
  <si>
    <t>4500032576</t>
  </si>
  <si>
    <t>60000791</t>
  </si>
  <si>
    <t>AHU 2 (70TR CAPACITY)</t>
  </si>
  <si>
    <t>AHU 3 (70TR CAPACITY)</t>
  </si>
  <si>
    <t>AHU 6 (70TR CAPACITY)</t>
  </si>
  <si>
    <t>AHU 13 (30TR CAPACITY)</t>
  </si>
  <si>
    <t>AHU 12 (20TR CAPACITY)</t>
  </si>
  <si>
    <t>10034466</t>
  </si>
  <si>
    <t>S&amp;I WATER PROOFING WORKS MMGI ADMIN OFF.</t>
  </si>
  <si>
    <t>10034348</t>
  </si>
  <si>
    <t>Parklinks Metropoli Bridge CP-01</t>
  </si>
  <si>
    <t>10034350</t>
  </si>
  <si>
    <t>Parklinks Metropoli Bridge due to Fuel P</t>
  </si>
  <si>
    <t>4500032529</t>
  </si>
  <si>
    <t>60000620</t>
  </si>
  <si>
    <t>4500032531</t>
  </si>
  <si>
    <t>REPAIR &amp; PARTS REPLACEMENT (ESC NO. 8)</t>
  </si>
  <si>
    <t>REPAIR &amp; PARTS REPLACEMENT (ESC NO. 21)</t>
  </si>
  <si>
    <t>REPAIR &amp; PARTS REPLACEMENT (ESC NO. 23)</t>
  </si>
  <si>
    <t>REPAIR &amp; PARTS REPLACEMENT (ESC NO. 28)</t>
  </si>
  <si>
    <t>REP. &amp; PARTS RPLCMENT (ESC NO. 29) W/NTP</t>
  </si>
  <si>
    <t>REPAIR &amp; PARTS REPLACEMENT (ESC NO. 31)</t>
  </si>
  <si>
    <t>REP. &amp; PARTS RPLCMENT (ESC NO. 34) W/NTP</t>
  </si>
  <si>
    <t>ESC NO. 29 BALANCE</t>
  </si>
  <si>
    <t>ESC NO. 34 BALANCE</t>
  </si>
  <si>
    <t>4500032431</t>
  </si>
  <si>
    <t>ESCALATOR 29 REPAIR</t>
  </si>
  <si>
    <t>ESCALATOR 34 REPAIR</t>
  </si>
  <si>
    <t>10034257</t>
  </si>
  <si>
    <t>REPLCMNT OF 5UN OF SYNCHRONIZE PANEL CON</t>
  </si>
  <si>
    <t>10034260</t>
  </si>
  <si>
    <t>REPLACEMENT OF 5 UNITS SYCHRONIZE PANEL</t>
  </si>
  <si>
    <t>2025 Mercedes Benz C 180 Avantgarde</t>
  </si>
  <si>
    <t>4500032608</t>
  </si>
  <si>
    <t>MYSTAR PUSHCART 300KG 920X610X870MM</t>
  </si>
  <si>
    <t>60003025</t>
  </si>
  <si>
    <t>ESPOSJC</t>
  </si>
  <si>
    <t>10033954</t>
  </si>
  <si>
    <t>SEASORY S2 Dual Sided</t>
  </si>
  <si>
    <t>60003198</t>
  </si>
  <si>
    <t>02/24/2026/ 0300011455</t>
  </si>
  <si>
    <t>0300011428/ 0300011457</t>
  </si>
  <si>
    <t>0300011431/ 0300011458</t>
  </si>
  <si>
    <t>0300011433/ 0300011459</t>
  </si>
  <si>
    <t>07/10/2026</t>
  </si>
  <si>
    <t>0300011460</t>
  </si>
  <si>
    <t>LAPTOPS FOR A.MATA &amp; R.CAJAR</t>
  </si>
  <si>
    <t>Updated as of</t>
  </si>
  <si>
    <t>07/13/2026</t>
  </si>
  <si>
    <t>REMAINING1 (vs Allotted)</t>
  </si>
  <si>
    <t>REMAINING2 (vs Actual)</t>
  </si>
  <si>
    <t>5000057165</t>
  </si>
  <si>
    <t>10034542</t>
  </si>
  <si>
    <t>BASIC FINISHED WORKS @ PETSHOP CONNECTIC</t>
  </si>
  <si>
    <t>4500032648</t>
  </si>
  <si>
    <t>60002198</t>
  </si>
  <si>
    <t>10034548</t>
  </si>
  <si>
    <t>REWATERPROOFING OF FIRE TANK ADD'T @ GH</t>
  </si>
  <si>
    <t>10034536</t>
  </si>
  <si>
    <t>PF for Lot Plan with Vicinity Map1B-6 Lo</t>
  </si>
  <si>
    <t>4500032652</t>
  </si>
  <si>
    <t>60004452</t>
  </si>
  <si>
    <t>LAPTOPS FOR J.DURAN, J.IGNACIO, J.GALANG</t>
  </si>
  <si>
    <t>TID-0000078772</t>
  </si>
  <si>
    <t>LAPTOPS FOR J.DURAN, J.IGNAC</t>
  </si>
  <si>
    <t>100731408</t>
  </si>
  <si>
    <t>21307111</t>
  </si>
  <si>
    <t>Accrued Pay- Interco</t>
  </si>
  <si>
    <t>4500032689</t>
  </si>
  <si>
    <t>5000057548</t>
  </si>
  <si>
    <t>5000057367</t>
  </si>
  <si>
    <t>5100049917</t>
  </si>
  <si>
    <t>45000329660</t>
  </si>
  <si>
    <t>5100049918</t>
  </si>
  <si>
    <t>5100049911</t>
  </si>
  <si>
    <t>5000057533</t>
  </si>
  <si>
    <t>PB#1-45-29660-DCMANITA</t>
  </si>
  <si>
    <t>10001342</t>
  </si>
  <si>
    <t>GH EXISTING MALL PRE-WATERPROOFING</t>
  </si>
  <si>
    <t>5000057402</t>
  </si>
  <si>
    <t>5000057261</t>
  </si>
  <si>
    <t>PB#1_S&amp;I SS SQUARE TANK2</t>
  </si>
  <si>
    <t>10001385</t>
  </si>
  <si>
    <t>5000057374</t>
  </si>
  <si>
    <t>5000057423</t>
  </si>
  <si>
    <t>5100049611</t>
  </si>
  <si>
    <t>SMARTPARK SYSTEMS SOLUTIONS INC.</t>
  </si>
  <si>
    <t>4500032908</t>
  </si>
  <si>
    <t>5000057642</t>
  </si>
  <si>
    <t>5000057192</t>
  </si>
  <si>
    <t>5000057425</t>
  </si>
  <si>
    <t>10001391</t>
  </si>
  <si>
    <t>ES REPAINTING &amp; IMPROVEMENT OF PARKING S</t>
  </si>
  <si>
    <t>5000057640</t>
  </si>
  <si>
    <t>5000057331</t>
  </si>
  <si>
    <t>5000057311</t>
  </si>
  <si>
    <t>5000057354</t>
  </si>
  <si>
    <t>5000057205</t>
  </si>
  <si>
    <t>1900042332</t>
  </si>
  <si>
    <t>TID-0000078992</t>
  </si>
  <si>
    <t>5000057449</t>
  </si>
  <si>
    <t>5000057450</t>
  </si>
  <si>
    <t>1900042322</t>
  </si>
  <si>
    <t>TID-0000079876</t>
  </si>
  <si>
    <t>EBCRUZ AND PARTNERS ELECTRICAL</t>
  </si>
  <si>
    <t>1900042347</t>
  </si>
  <si>
    <t>TID-0000079041</t>
  </si>
  <si>
    <t>60002620</t>
  </si>
  <si>
    <t>POLYSTAR GENERAL SERVICES,</t>
  </si>
  <si>
    <t>4500032757</t>
  </si>
  <si>
    <t>5000057557</t>
  </si>
  <si>
    <t>KITCHEN WASTE PROVISION FOR CHAGEE</t>
  </si>
  <si>
    <t>10001397</t>
  </si>
  <si>
    <t>5000057569</t>
  </si>
  <si>
    <t>10001416</t>
  </si>
  <si>
    <t>ENS REINSULATION OF MAIN CHILLED WATER P</t>
  </si>
  <si>
    <t>5000057325</t>
  </si>
  <si>
    <t>10001423</t>
  </si>
  <si>
    <t>SC1 FIRE AND JOCKEY PUMPS PARTS REPLACEM</t>
  </si>
  <si>
    <t>5000057236</t>
  </si>
  <si>
    <t>10001425</t>
  </si>
  <si>
    <t>SC2 FIRE AND JOCKEY PUMPS PARTS REPLACEM</t>
  </si>
  <si>
    <t>5000057573</t>
  </si>
  <si>
    <t>10001450</t>
  </si>
  <si>
    <t>5000057189</t>
  </si>
  <si>
    <t>10001453</t>
  </si>
  <si>
    <t>SHOPPESVILLE AHU COOLING COILS REPLACEME</t>
  </si>
  <si>
    <t>5000057574</t>
  </si>
  <si>
    <t>4500032700</t>
  </si>
  <si>
    <t>5000057603</t>
  </si>
  <si>
    <t>PF FOR LOT PLAN WITH VICI</t>
  </si>
  <si>
    <t>40001289</t>
  </si>
  <si>
    <t>5000057591</t>
  </si>
  <si>
    <t>40001290</t>
  </si>
  <si>
    <t>5000057266</t>
  </si>
  <si>
    <t>5000057570</t>
  </si>
  <si>
    <t>40001296</t>
  </si>
  <si>
    <t>4500032837</t>
  </si>
  <si>
    <t>5000057592</t>
  </si>
  <si>
    <t>LENOVO TP E14 G7 U5 32GB</t>
  </si>
  <si>
    <t>40001297</t>
  </si>
  <si>
    <t>4500032836</t>
  </si>
  <si>
    <t>5000057558</t>
  </si>
  <si>
    <t>10034726</t>
  </si>
  <si>
    <t>Additional Plants &amp; Soil at CC Park</t>
  </si>
  <si>
    <t>4500033000</t>
  </si>
  <si>
    <t>10034798</t>
  </si>
  <si>
    <t>ST KLENZALL CLEANER CONC 20L PAIL</t>
  </si>
  <si>
    <t>ST RESTORE CLEANER CONC 20L PAIL</t>
  </si>
  <si>
    <t>10034805</t>
  </si>
  <si>
    <t>Ventillation System for Water Tank Area</t>
  </si>
  <si>
    <t>10034622</t>
  </si>
  <si>
    <t>S&amp;I OF POWER SUPPLY &amp; FDAS</t>
  </si>
  <si>
    <t>4500032835</t>
  </si>
  <si>
    <t>10034779</t>
  </si>
  <si>
    <t>WALL RE-TILING WORKS AT LG, ES MALL CR</t>
  </si>
  <si>
    <t>4500032815</t>
  </si>
  <si>
    <t>ADDITIONAL IMPROVEMENT WORKS AT ESTANCIA</t>
  </si>
  <si>
    <t>4500032906</t>
  </si>
  <si>
    <t>CCAS6519.312, AMERICAN STANDARD</t>
  </si>
  <si>
    <t>60003670</t>
  </si>
  <si>
    <t>4500032907</t>
  </si>
  <si>
    <t>60000409</t>
  </si>
  <si>
    <t>4500032925</t>
  </si>
  <si>
    <t>SENSOR TYPE FAUCET  HCG AF303HPX NC</t>
  </si>
  <si>
    <t>HANDSOAP DISPENSER -  HCG SD1205AC NC</t>
  </si>
  <si>
    <t>10034806</t>
  </si>
  <si>
    <t>IMPRVMNT OF CONCEIRGE BOOTH AT GF, ESEW</t>
  </si>
  <si>
    <t>4500032832</t>
  </si>
  <si>
    <t>RENEWAL OF 12 UNITS INTERACTIVE</t>
  </si>
  <si>
    <t>60003242</t>
  </si>
  <si>
    <t>4500032847</t>
  </si>
  <si>
    <t>PROGRAMMING OF TOA EVACUATION FRAME</t>
  </si>
  <si>
    <t>10034578</t>
  </si>
  <si>
    <t>10034582</t>
  </si>
  <si>
    <t>JUSTICIA GENDARASO 2FT.</t>
  </si>
  <si>
    <t>10034583</t>
  </si>
  <si>
    <t>S&amp;I OF MOCK-UP PLANTBOX PROV. AT ES MAIN</t>
  </si>
  <si>
    <t>10034677</t>
  </si>
  <si>
    <t>S&amp;I OF CANOPY NEON LIGHTS AT ESEW DROP-O</t>
  </si>
  <si>
    <t>4500032716</t>
  </si>
  <si>
    <t>4500032805</t>
  </si>
  <si>
    <t>4500032851</t>
  </si>
  <si>
    <t>4500032853</t>
  </si>
  <si>
    <t>4500032926</t>
  </si>
  <si>
    <t>S&amp;I OF MOCK-UP PLANTBOX PROVISION</t>
  </si>
  <si>
    <t>10034785</t>
  </si>
  <si>
    <t>TP:6"(H)X18.25"(W) &amp; BM:6"(H)X29.75"(W)</t>
  </si>
  <si>
    <t>INSTALLATION FEE</t>
  </si>
  <si>
    <t>10034678</t>
  </si>
  <si>
    <t>SIZE: 3M X 3.4M - DIGITAL PRINT ON 13OZ</t>
  </si>
  <si>
    <t>10034749</t>
  </si>
  <si>
    <t>4TB HARD DRIVE DISK (SEAGATE)</t>
  </si>
  <si>
    <t>4500032967</t>
  </si>
  <si>
    <t>4TB HARD DRIVE DISK (SEAGATE) - GRAY</t>
  </si>
  <si>
    <t>60000938</t>
  </si>
  <si>
    <t>4500032972</t>
  </si>
  <si>
    <t>MARUGAME UDON - STICKER BOARD UP</t>
  </si>
  <si>
    <t>10034600</t>
  </si>
  <si>
    <t>INSTALL. OF BOARD-UP RETAIL-8 AT ES MALL</t>
  </si>
  <si>
    <t>10034679</t>
  </si>
  <si>
    <t>SIZE: 3M X 3.4M DGTAL PRNT ON 13OZ TARP.</t>
  </si>
  <si>
    <t>SIZE: 58FT X 11FT-SUPPLY &amp; INSTALLATION</t>
  </si>
  <si>
    <t>10034804</t>
  </si>
  <si>
    <t>ADD. 60A,1P,230V POWER &amp; DATA PROV.</t>
  </si>
  <si>
    <t>10034827</t>
  </si>
  <si>
    <t>10034842</t>
  </si>
  <si>
    <t>CHILLED WATER PIPING FOR WOLHWA AT ES</t>
  </si>
  <si>
    <t>S&amp;D OF NEW ESTANCIA BOARD-UP TARP</t>
  </si>
  <si>
    <t>4500032956</t>
  </si>
  <si>
    <t>REPAIR OF AHU SUPPLY AND RETURN DUCT</t>
  </si>
  <si>
    <t>4500032966</t>
  </si>
  <si>
    <t>GANSO SHABUWAY - BOARD UP</t>
  </si>
  <si>
    <t>ES BOARD UP (ULTRABOXX)</t>
  </si>
  <si>
    <t>4500033005</t>
  </si>
  <si>
    <t>60004495</t>
  </si>
  <si>
    <t>10034674</t>
  </si>
  <si>
    <t>TENANT PROVISION FOR BIDAWASH</t>
  </si>
  <si>
    <t>4500032886</t>
  </si>
  <si>
    <t>BASIC FINISHED WORKS FOR PET STOP</t>
  </si>
  <si>
    <t>4500032930</t>
  </si>
  <si>
    <t>S&amp;I OF 5PCS HEAT DETECTOR FOR TEATRINO</t>
  </si>
  <si>
    <t>4500032979</t>
  </si>
  <si>
    <t>CHIPPING AND RESTORATION WORKS</t>
  </si>
  <si>
    <t>4500032983</t>
  </si>
  <si>
    <t>GH TENANT UTILITY PROVISION FOR BIDAWASH</t>
  </si>
  <si>
    <t>10034595</t>
  </si>
  <si>
    <t>STP Rehabilitation (Pump Replacements, S</t>
  </si>
  <si>
    <t>4500032957</t>
  </si>
  <si>
    <t>STP REHABILITATION PHASE 2 AT IBP TOWER</t>
  </si>
  <si>
    <t>4500032645</t>
  </si>
  <si>
    <t>ELEVATOR PARTS REPAIR - PE1</t>
  </si>
  <si>
    <t>ELEVATOR PARTS REPAIR - PE2</t>
  </si>
  <si>
    <t>ELEVATOR PARTS REPAIR - PE3</t>
  </si>
  <si>
    <t>ELEVATOR PARTS REPAIR - FE1</t>
  </si>
  <si>
    <t>10034762</t>
  </si>
  <si>
    <t>S&amp;I ELEVATOR PARTSS FOR SERNTA SCENIC</t>
  </si>
  <si>
    <t>10034591</t>
  </si>
  <si>
    <t>HAULING,SIPHONING, MANUAL CLEANING OF SE</t>
  </si>
  <si>
    <t>10034764</t>
  </si>
  <si>
    <t>RECONDITIONING OF LIFT STATION PUMP @ MC</t>
  </si>
  <si>
    <t>4500032951</t>
  </si>
  <si>
    <t>HAULING, SIPHONING &amp; MANUAL CLEANING</t>
  </si>
  <si>
    <t>10034808</t>
  </si>
  <si>
    <t>Sanitary Engineering Design Services,</t>
  </si>
  <si>
    <t>10034783</t>
  </si>
  <si>
    <t>AHU 11</t>
  </si>
  <si>
    <t>AHU 24</t>
  </si>
  <si>
    <t>4500032984</t>
  </si>
  <si>
    <t>REPLACEMENT OF AHU COOLING COIL (AHU 11)</t>
  </si>
  <si>
    <t>REPLACEMENT OF AHU COOLING COIL (AHU 24)</t>
  </si>
  <si>
    <t>DETAILED ENGINEERING &amp; PRE-CONS. ACTVTIE</t>
  </si>
  <si>
    <t>CIVIL, MECHNCAL, &amp; ELECT. WORKS WITHN ES</t>
  </si>
  <si>
    <t>CIVIL, MECHNCAL, &amp; ELECT. WORKS OUTSIDE</t>
  </si>
  <si>
    <t>10034661</t>
  </si>
  <si>
    <t>PEER REVIEW FOR THE PROPSD NON-POTABLE W</t>
  </si>
  <si>
    <t>4500032876</t>
  </si>
  <si>
    <t>DETAILED ENGINEERING &amp; PRE-CONSTRUCTION</t>
  </si>
  <si>
    <t>60002867</t>
  </si>
  <si>
    <t>4500032877</t>
  </si>
  <si>
    <t>CIVIL, MECHANICAL, AND ELECTRICAL WORKS</t>
  </si>
  <si>
    <t>10034641</t>
  </si>
  <si>
    <t>PROPOSED WATERPROOFWORKS FORTHE ROOFDECK</t>
  </si>
  <si>
    <t>4500032711</t>
  </si>
  <si>
    <t>4500032739</t>
  </si>
  <si>
    <t>WATERPROOFING WORKS AT GH PROMENADE</t>
  </si>
  <si>
    <t>60004441</t>
  </si>
  <si>
    <t>4500032958</t>
  </si>
  <si>
    <t>ESCALATOR 8 REPAIR</t>
  </si>
  <si>
    <t>ESCALATOR 21 REPAIR</t>
  </si>
  <si>
    <t>ESCALATOR 23 REPAIR</t>
  </si>
  <si>
    <t>ESCALATOR 28 REPAIR</t>
  </si>
  <si>
    <t>ESCALATOR 31 REPAIR</t>
  </si>
  <si>
    <t>4500032992</t>
  </si>
  <si>
    <t>REPLACEMENT OF SYNC. CONTROLLER (DSE)</t>
  </si>
  <si>
    <t>60003865</t>
  </si>
  <si>
    <t>10034710</t>
  </si>
  <si>
    <t>Traffic Cones 30” Orange with Black Bas</t>
  </si>
  <si>
    <t>Safety Bollards 42” Orange, with Rubber</t>
  </si>
  <si>
    <t>Safety Yellow Chain 25m per roll</t>
  </si>
  <si>
    <t>10034596</t>
  </si>
  <si>
    <t>30" Traffic Cone w/ Orange Black Base</t>
  </si>
  <si>
    <t>4500032813</t>
  </si>
  <si>
    <t>30" TRAFFIC CONE W/ ORANGE BLACK BASE</t>
  </si>
  <si>
    <t>10034597</t>
  </si>
  <si>
    <t>CCTV System Upgrade for Capitol Commons</t>
  </si>
  <si>
    <t>10034720</t>
  </si>
  <si>
    <t>SUPPLY OF 5 TR AC UNIT</t>
  </si>
  <si>
    <t>ELECTRIC BAIN MARIE 6 BASINS MDL: VB-95</t>
  </si>
  <si>
    <t>RECTANGULAR NON-SLIP TRAY FIBERGLASS</t>
  </si>
  <si>
    <t>LAMINATED MARINE TABLE TOP W/STEEL LEG</t>
  </si>
  <si>
    <t>PLASTIC BENCH</t>
  </si>
  <si>
    <t>10034614</t>
  </si>
  <si>
    <t>10034612</t>
  </si>
  <si>
    <t>1.6M upcoming laptops</t>
  </si>
  <si>
    <t>LIFETIME CHAIRS AND TABLES</t>
  </si>
  <si>
    <t>TID-0000081172</t>
  </si>
  <si>
    <t>08/12/2026</t>
  </si>
  <si>
    <t>08/30/2026</t>
  </si>
  <si>
    <t>08/13/2026</t>
  </si>
  <si>
    <t>0300011411/ 0300011429/ 0300011456/ 0300011462/ 0300011466</t>
  </si>
  <si>
    <t>0300011467</t>
  </si>
  <si>
    <t>LAPTOPS FOR NEW HIRES</t>
  </si>
  <si>
    <t>REY HAROLD QUIJANO</t>
  </si>
  <si>
    <t>TID-0000081369</t>
  </si>
  <si>
    <t>08/17/2026</t>
  </si>
  <si>
    <t>0300011469</t>
  </si>
  <si>
    <t>5000057734</t>
  </si>
  <si>
    <t>BIR SAN JUAN-FB-EXTENSIVE</t>
  </si>
  <si>
    <t>5000057735</t>
  </si>
  <si>
    <t>5000057736</t>
  </si>
  <si>
    <t>5000057741</t>
  </si>
  <si>
    <t>5000057740</t>
  </si>
  <si>
    <t>1900042551</t>
  </si>
  <si>
    <t>TID-0000080241</t>
  </si>
  <si>
    <t>5000057767</t>
  </si>
  <si>
    <t>40001234</t>
  </si>
  <si>
    <t>5000057674</t>
  </si>
  <si>
    <t>10034923</t>
  </si>
  <si>
    <t>PIETRA BEIGE ANTI-SLIP 60X60CM FLR TILES</t>
  </si>
  <si>
    <t>10034936</t>
  </si>
  <si>
    <t>DELIVERY &amp; AIR FREIGHT CHARGE</t>
  </si>
  <si>
    <t>10034949</t>
  </si>
  <si>
    <t>SENSOR FAUCET AF303H AC220V/60HZ DC6V</t>
  </si>
  <si>
    <t>4500033093</t>
  </si>
  <si>
    <t>REPLACEMENT OF WALL TILES</t>
  </si>
  <si>
    <t>10034924</t>
  </si>
  <si>
    <t>S&amp;I OF SINGLE COMPARTMENT SINK W/ UNDERS</t>
  </si>
  <si>
    <t>4500033056</t>
  </si>
  <si>
    <t>3M EGP HONEYCOMB REFLECTIVE STICKER</t>
  </si>
  <si>
    <t>10034946</t>
  </si>
  <si>
    <t>ADDITIONAL WASTE LINE PROV. FOR KATHERIN</t>
  </si>
  <si>
    <t>4500033073</t>
  </si>
  <si>
    <t>S&amp;I ELECTRICAL PROVISION-COUNTER KIOSK</t>
  </si>
  <si>
    <t>10034941</t>
  </si>
  <si>
    <t>REPLACEMENT OF OUTDATED ELECTRICAL METER</t>
  </si>
  <si>
    <t>4500033069</t>
  </si>
  <si>
    <t>60001861</t>
  </si>
  <si>
    <t>10034947</t>
  </si>
  <si>
    <t>S&amp;I SINGLE PLY TORCH-APPLIED BITUMEN</t>
  </si>
  <si>
    <t>4500033016</t>
  </si>
  <si>
    <t>TRAFFIC CONES 30” ORANGE WITH BLACK BASE</t>
  </si>
  <si>
    <t>SAFETY BOLLARDS 42” ORANGE, WITH RUBBER</t>
  </si>
  <si>
    <t>6MM PLASTIC CHAIN ORANGE 25M PER ROLL</t>
  </si>
  <si>
    <t>4500033088</t>
  </si>
  <si>
    <t>ELECTRIC BAIN MARIE 6 BASINS / PANS</t>
  </si>
  <si>
    <t>60002239</t>
  </si>
  <si>
    <t>4500033089</t>
  </si>
  <si>
    <t>2026 HONDA CRV 2.0 VX HEV E-CVT HONDA SE</t>
  </si>
  <si>
    <t>Platinum Pearl White</t>
  </si>
  <si>
    <t>10034849</t>
  </si>
  <si>
    <t>SALVACIONLIC</t>
  </si>
  <si>
    <t>10034839</t>
  </si>
  <si>
    <t>LIFETIME FLDNG CHR GRY</t>
  </si>
  <si>
    <t>LIFETIME 4FT GRAY TABLE</t>
  </si>
  <si>
    <t>LIFETIME 6FT GRAY TABLE</t>
  </si>
  <si>
    <t>0300011430/ 0300011454/ 0300011470</t>
  </si>
  <si>
    <t>TID-0000081477</t>
  </si>
  <si>
    <t>OUTSOURCED TIMEKEEPING SYSTEM</t>
  </si>
  <si>
    <t>KAREN CAPARAS</t>
  </si>
  <si>
    <t>08/18/2026</t>
  </si>
  <si>
    <t>10/09/2026</t>
  </si>
  <si>
    <t>08/19/2026</t>
  </si>
  <si>
    <t>Malls - IT</t>
  </si>
  <si>
    <t>0300011471</t>
  </si>
  <si>
    <t>LAPTOP FOR W.ALCANTARA</t>
  </si>
  <si>
    <t>TID-0000081506</t>
  </si>
  <si>
    <t>TID-0000081530</t>
  </si>
  <si>
    <t>JEWEL VALERIE MACARANAS</t>
  </si>
  <si>
    <t>ES CINEMA DESKTOP COMPUTERS</t>
  </si>
  <si>
    <t>0300011473</t>
  </si>
  <si>
    <t>TID-0000067738/ TID-0000081551</t>
  </si>
  <si>
    <t>TID-0000067733/ TID-0000081551</t>
  </si>
  <si>
    <t>0300011312/ 0300011475</t>
  </si>
  <si>
    <t>0300011316/ 0300011476</t>
  </si>
  <si>
    <t>PRINTERS FOR TREASURY</t>
  </si>
  <si>
    <t>TID-0000081817/ TID-0000081810</t>
  </si>
  <si>
    <t>08/24/2026</t>
  </si>
  <si>
    <t>0300011477</t>
  </si>
  <si>
    <t>JERCEE SELDA</t>
  </si>
  <si>
    <t>TID-0000081640</t>
  </si>
  <si>
    <t>08/20/2026</t>
  </si>
  <si>
    <t>08/28/2026</t>
  </si>
  <si>
    <t>LAPTOP REPLACEMENT (6 UNITS)</t>
  </si>
  <si>
    <t>0300011478</t>
  </si>
  <si>
    <t>TID-0000070239/ TID-0000082356</t>
  </si>
  <si>
    <t>TID-0000082356</t>
  </si>
  <si>
    <t>GH CINEMA ZEBRA PRINTER</t>
  </si>
  <si>
    <t>09/02/2026</t>
  </si>
  <si>
    <t>09/01/2026</t>
  </si>
  <si>
    <t>0300011479</t>
  </si>
  <si>
    <t>TID-0000070244/ TID-0000081530/ TID-0000082357</t>
  </si>
  <si>
    <t>TID-0000082357</t>
  </si>
  <si>
    <t>ES CINEMA ZEBRA PRINTER</t>
  </si>
  <si>
    <t>December 31, 2026</t>
  </si>
  <si>
    <t>TID-0000067151/ TID-0000082623</t>
  </si>
  <si>
    <t>0300011305/ 0300011480</t>
  </si>
  <si>
    <t>0300011482</t>
  </si>
  <si>
    <t>0300011375/ 0300011473/ 0300011483</t>
  </si>
  <si>
    <t>0300011374/ 0300011484</t>
  </si>
  <si>
    <t>TID-0000082675</t>
  </si>
  <si>
    <t>ENW WATERPROOFING AND REPAINTING OF FAÇADE</t>
  </si>
  <si>
    <t>09/04/2026</t>
  </si>
  <si>
    <t>09/07/2026</t>
  </si>
  <si>
    <t>0300011485</t>
  </si>
  <si>
    <t>LAPTOPS FOR NEW HIRES (15 UNITS)</t>
  </si>
  <si>
    <t>LAPTOP REPLACEMENT (5 UNITS)</t>
  </si>
  <si>
    <t>TID-0000083055</t>
  </si>
  <si>
    <t>09/10/2026</t>
  </si>
  <si>
    <t>09/14/2026</t>
  </si>
  <si>
    <t>0300011489</t>
  </si>
  <si>
    <t>TID-0000068113/ TID-0000079802/ TID-0000083133</t>
  </si>
  <si>
    <t>TID-0000069827/ TID-0000082623/ TID-0000083133</t>
  </si>
  <si>
    <t>0300011481/ 0300011490</t>
  </si>
  <si>
    <t>0300011317/ 0300011461/ 0300011491</t>
  </si>
  <si>
    <t>TID-0000083334</t>
  </si>
  <si>
    <t>KATH CONERAS</t>
  </si>
  <si>
    <t>2026 CHERY TIGGO K.CONERAS</t>
  </si>
  <si>
    <t>0300011492</t>
  </si>
  <si>
    <t>TID-0000068981/ TID-0000082675/ TID-0000083210</t>
  </si>
  <si>
    <t>TID-0000068985/ TID-0000083210</t>
  </si>
  <si>
    <t>0300011340/ 0300011410/ 0300011493</t>
  </si>
  <si>
    <t>0300011346/ 0300011409/ 0300011486/ 0300011494</t>
  </si>
  <si>
    <t>09/15/2026</t>
  </si>
  <si>
    <t>SBAR - Additional</t>
  </si>
  <si>
    <t>ENW WATERPROOFING AND REPAIN</t>
  </si>
  <si>
    <t>OUTSOURCED TIMEKEEPING SYSTE</t>
  </si>
  <si>
    <t>5000057861</t>
  </si>
  <si>
    <t>FB-ADBASCO-CCPARK45-29212</t>
  </si>
  <si>
    <t>5000058109</t>
  </si>
  <si>
    <t>5000058108</t>
  </si>
  <si>
    <t>5000058090</t>
  </si>
  <si>
    <t>5000057958</t>
  </si>
  <si>
    <t>5000057819</t>
  </si>
  <si>
    <t>5000058023</t>
  </si>
  <si>
    <t>5000057956</t>
  </si>
  <si>
    <t>5000057955</t>
  </si>
  <si>
    <t>5000057928</t>
  </si>
  <si>
    <t>5000057919</t>
  </si>
  <si>
    <t>5000057944</t>
  </si>
  <si>
    <t>5000057943</t>
  </si>
  <si>
    <t>5000057942</t>
  </si>
  <si>
    <t>5000058158</t>
  </si>
  <si>
    <t>5000057914</t>
  </si>
  <si>
    <t>5000058268</t>
  </si>
  <si>
    <t>5000057829</t>
  </si>
  <si>
    <t>5000057840</t>
  </si>
  <si>
    <t>5000057835</t>
  </si>
  <si>
    <t>5000057843</t>
  </si>
  <si>
    <t>1900043114</t>
  </si>
  <si>
    <t>TID-0000081757</t>
  </si>
  <si>
    <t>4500033103</t>
  </si>
  <si>
    <t>5000058157</t>
  </si>
  <si>
    <t>CHILLED WATER PIPING FOR WOLHWA</t>
  </si>
  <si>
    <t>5000058093</t>
  </si>
  <si>
    <t>5000058196</t>
  </si>
  <si>
    <t>5000057978</t>
  </si>
  <si>
    <t>10001422</t>
  </si>
  <si>
    <t>ENS INSTALLATION OF VENTILATION SYSTEM A</t>
  </si>
  <si>
    <t>5000058011</t>
  </si>
  <si>
    <t>10001441</t>
  </si>
  <si>
    <t>5000058147</t>
  </si>
  <si>
    <t>5000057896</t>
  </si>
  <si>
    <t>5100050211</t>
  </si>
  <si>
    <t>5000057907</t>
  </si>
  <si>
    <t>5000058197</t>
  </si>
  <si>
    <t>5000058028</t>
  </si>
  <si>
    <t>5000058029</t>
  </si>
  <si>
    <t>5000057996</t>
  </si>
  <si>
    <t>PRE-ENGINEERING STUDIES</t>
  </si>
  <si>
    <t>5000058184</t>
  </si>
  <si>
    <t>5000058110</t>
  </si>
  <si>
    <t>5100050498</t>
  </si>
  <si>
    <t>10001459</t>
  </si>
  <si>
    <t>ES EW PARTS REPLACEMENT OF ELEVATOR/ESCA</t>
  </si>
  <si>
    <t>5000057921</t>
  </si>
  <si>
    <t>40001266</t>
  </si>
  <si>
    <t>5000058042</t>
  </si>
  <si>
    <t>40001299</t>
  </si>
  <si>
    <t>4500033233</t>
  </si>
  <si>
    <t>5000058221</t>
  </si>
  <si>
    <t>40001303</t>
  </si>
  <si>
    <t>4500033231</t>
  </si>
  <si>
    <t>5000058112</t>
  </si>
  <si>
    <t>EPSON RIBBON LX-310</t>
  </si>
  <si>
    <t>4500033230</t>
  </si>
  <si>
    <t>5000058113</t>
  </si>
  <si>
    <t>EPSON PRINTER LX-310</t>
  </si>
  <si>
    <t>4500033338</t>
  </si>
  <si>
    <t>4500033180</t>
  </si>
  <si>
    <t>60004526</t>
  </si>
  <si>
    <t>10035224</t>
  </si>
  <si>
    <t>10W LED UPLIGHT 3000K</t>
  </si>
  <si>
    <t>4500033174</t>
  </si>
  <si>
    <t>10035209</t>
  </si>
  <si>
    <t>Slab Opening &amp; Retrofitting for Cistern</t>
  </si>
  <si>
    <t>10035190</t>
  </si>
  <si>
    <t>GH Automatic Sliding Doors NEWMALL &amp; ANN</t>
  </si>
  <si>
    <t>10035103</t>
  </si>
  <si>
    <t>STONE PROJECT GREY FALDA LAPATTO 60X60</t>
  </si>
  <si>
    <t>10035160</t>
  </si>
  <si>
    <t>CABLE TIE 4MM X 12" (100 PCS/PACK)</t>
  </si>
  <si>
    <t>PAC</t>
  </si>
  <si>
    <t>CABLE TIE 4MM X 8" (100 PCS/PACK)</t>
  </si>
  <si>
    <t>CABLE TIE 3MM X 8" (100 PCS/PACK)</t>
  </si>
  <si>
    <t>METAL DRILL BIT 1/8</t>
  </si>
  <si>
    <t>METAL DRILL BIT 3/16</t>
  </si>
  <si>
    <t>ELECTRICAL TAPE 1"</t>
  </si>
  <si>
    <t>FLAT CORD #14 PHILFLEX</t>
  </si>
  <si>
    <t>FLAT CORD #16 PHILFLEX</t>
  </si>
  <si>
    <t>FLAT CORD #12 PHILFLEX</t>
  </si>
  <si>
    <t>10034991</t>
  </si>
  <si>
    <t>10035096</t>
  </si>
  <si>
    <t>TOILET IMPRVMNT WORKS AT GF, ES MAIN</t>
  </si>
  <si>
    <t>10035102</t>
  </si>
  <si>
    <t>STONE PROJECT GREY FALDA LAPATTO 60X120</t>
  </si>
  <si>
    <t>10035191</t>
  </si>
  <si>
    <t>S/S BOTTOM SUPPORT COVER</t>
  </si>
  <si>
    <t>S/S SHOEBOX/KICK PLATE</t>
  </si>
  <si>
    <t>M</t>
  </si>
  <si>
    <t>INDICATOR DOOR LOCK - STAINLESS STEEL</t>
  </si>
  <si>
    <t>TOILET CUBICLE S/S DOORKNOB</t>
  </si>
  <si>
    <t>CUBICLE DOOR HOOK</t>
  </si>
  <si>
    <t>CUBICLE S/S DOOR HINGE</t>
  </si>
  <si>
    <t>CUBICLE S/S ANGLE BRACKET</t>
  </si>
  <si>
    <t>4500033151</t>
  </si>
  <si>
    <t>4500033152</t>
  </si>
  <si>
    <t>4500033188</t>
  </si>
  <si>
    <t>4500033226</t>
  </si>
  <si>
    <t>BACKLIT VANITY MIRRORS 1150MM X 600MM</t>
  </si>
  <si>
    <t>10034952</t>
  </si>
  <si>
    <t>1150MM (L) X 699MM (W) W/ MARINE PLYWOOD</t>
  </si>
  <si>
    <t>10034955</t>
  </si>
  <si>
    <t>HCG SENSOR TYPE HANDSOAP DISPENSER</t>
  </si>
  <si>
    <t>4500033271</t>
  </si>
  <si>
    <t>S&amp;I OF SINGLE COMPARTMENT SINK</t>
  </si>
  <si>
    <t>60003414</t>
  </si>
  <si>
    <t>10035115</t>
  </si>
  <si>
    <t>4500033196</t>
  </si>
  <si>
    <t>S&amp;I OF CANOPY NEON LIGHTS</t>
  </si>
  <si>
    <t>60000419</t>
  </si>
  <si>
    <t>10035033</t>
  </si>
  <si>
    <t>WATER LINE &amp; PLUMBNG PROV. FOR COUNTER K</t>
  </si>
  <si>
    <t>10035034</t>
  </si>
  <si>
    <t>ADD. POWER PROV. FOR DAIRY QUEEN STORAGE</t>
  </si>
  <si>
    <t>10035054</t>
  </si>
  <si>
    <t>CORRECTION OF DAMAGE STORM DRAINAGE PIPE</t>
  </si>
  <si>
    <t>10035162</t>
  </si>
  <si>
    <t>RUBBER INSULATION 2" THK 2-3/8"</t>
  </si>
  <si>
    <t>RUBBER INSULATION 2" THK 3-1/2"</t>
  </si>
  <si>
    <t>4500033311</t>
  </si>
  <si>
    <t>WATER LINE AND PLUMBING PROVISION</t>
  </si>
  <si>
    <t>4500033322</t>
  </si>
  <si>
    <t>CORRECTION OF STORM DRAINAGE PIPE</t>
  </si>
  <si>
    <t>4500033348</t>
  </si>
  <si>
    <t>ADDITIONAL POWER PROV. FOR DAIRY QUEEN</t>
  </si>
  <si>
    <t>10035129</t>
  </si>
  <si>
    <t>WATERPROOFING OF PASSSENGER ELEVATOR PIT</t>
  </si>
  <si>
    <t>10035128</t>
  </si>
  <si>
    <t>WATERPROOFING OF MACHINE ROOM FOR FREIGH</t>
  </si>
  <si>
    <t>GRUNDFOS SUBMERSIBLE PUMP MDL#DPK158055</t>
  </si>
  <si>
    <t>10035088</t>
  </si>
  <si>
    <t>S&amp;I OF ESC 1 VMALL</t>
  </si>
  <si>
    <t>4500033186</t>
  </si>
  <si>
    <t>S&amp;I OF PARTS FOR SERNTA SCENIC ELEVATOR</t>
  </si>
  <si>
    <t>4500033219</t>
  </si>
  <si>
    <t>RECONDITIONING OF LIFT STATION PUMP</t>
  </si>
  <si>
    <t>60003542</t>
  </si>
  <si>
    <t>4500033157</t>
  </si>
  <si>
    <t>60004082</t>
  </si>
  <si>
    <t>4500033290</t>
  </si>
  <si>
    <t>RUBBER WHEEL STOPPER 130MMx500MMX130MM</t>
  </si>
  <si>
    <t>60001517</t>
  </si>
  <si>
    <t>10034953</t>
  </si>
  <si>
    <t>PROPOSEWATERPROOF WRKSGH ANNEX ARCWINDOW</t>
  </si>
  <si>
    <t>PROPOSEWATERPROOF WRKS GH ANNEX ARCH</t>
  </si>
  <si>
    <t>10035118</t>
  </si>
  <si>
    <t>REPAIR SECONDARY ROOF@P6G&amp;O PANDAEXPRESS</t>
  </si>
  <si>
    <t>10035147</t>
  </si>
  <si>
    <t>10035148</t>
  </si>
  <si>
    <t>S&amp;I SINGLEPLY TORCH APPLIED BITUMENGSTRP</t>
  </si>
  <si>
    <t>4500033175</t>
  </si>
  <si>
    <t>WATERPROOFING WORKS GH ANNEX ARC WINDOW</t>
  </si>
  <si>
    <t>WATERPROOFING WORKS GH ANNEX CANOPY ROOF</t>
  </si>
  <si>
    <t>4500033279</t>
  </si>
  <si>
    <t>WATERPROOFING WORKS @EMBER DANCE STUDIO</t>
  </si>
  <si>
    <t>4500033345</t>
  </si>
  <si>
    <t>WATERPROOFINGWORKS ROOFDECK SHOPPESVILLE</t>
  </si>
  <si>
    <t>10035192</t>
  </si>
  <si>
    <t>ENW Waterproofing and repainting of faca</t>
  </si>
  <si>
    <t>4500033138</t>
  </si>
  <si>
    <t>IDU+ODU-FLOOR CEILING TYPE/ REMOTE/ R32</t>
  </si>
  <si>
    <t>60003980</t>
  </si>
  <si>
    <t>4500033194</t>
  </si>
  <si>
    <t>LAMINATED MARINE TABLE TOP W/ STEEL LEG</t>
  </si>
  <si>
    <t>COFTA 69" 4 SEATER PLASTIC BENCH , WHITE</t>
  </si>
  <si>
    <t>4500033217</t>
  </si>
  <si>
    <t>PURCHASE OF NEW THEATER MGT SYSTEM</t>
  </si>
  <si>
    <t>60003063</t>
  </si>
  <si>
    <t>4500033144</t>
  </si>
  <si>
    <t>60004518</t>
  </si>
  <si>
    <t>4500033136</t>
  </si>
  <si>
    <t>LIFETIME FLDNG CHR GRY CLASSIC ESSENTIAL</t>
  </si>
  <si>
    <t>60004522</t>
  </si>
  <si>
    <t>LIFETIME 4FT GRAY TABLE #80612</t>
  </si>
  <si>
    <t>LIFETIME 6FT GRAY TABLE #80611</t>
  </si>
  <si>
    <t>10034970</t>
  </si>
  <si>
    <t>10034978</t>
  </si>
  <si>
    <t>LENOVOTHINKPAD E14 GEN4 I7 16GB DISCRETE</t>
  </si>
  <si>
    <t>4500033254</t>
  </si>
  <si>
    <t>LENOVOTHINKPAD Intel® Core™ Ultra 5 225U</t>
  </si>
  <si>
    <t>10034982</t>
  </si>
  <si>
    <t>DESKTOP CLONE AMD (DESKTOP COMPUTER)</t>
  </si>
  <si>
    <t>10035073</t>
  </si>
  <si>
    <t>10035074</t>
  </si>
  <si>
    <t>10035187</t>
  </si>
  <si>
    <t>10035163</t>
  </si>
  <si>
    <t>ZEBRA ZT23142-T0P000FZ BARCODE PRINTER</t>
  </si>
  <si>
    <t>10035164</t>
  </si>
  <si>
    <t>IO Code</t>
  </si>
  <si>
    <t>Budget Transfer</t>
  </si>
  <si>
    <t>TID-0000073905/ TID-0000073905</t>
  </si>
  <si>
    <t>TID-0000082356/ TID-0000082356</t>
  </si>
  <si>
    <t>TID-0000081530/ TID-0000081530</t>
  </si>
  <si>
    <t>TID-0000082357/ TID-0000082357</t>
  </si>
  <si>
    <t>TID-0000077603</t>
  </si>
  <si>
    <t>TID-0000069032/ TID-0000079802/ TID-0000083749</t>
  </si>
  <si>
    <t>TID-0000083749</t>
  </si>
  <si>
    <t>09/16/2026</t>
  </si>
  <si>
    <t>VMALL SPACE RE-CUT AT FORMER EXECUTIVE OPTICAL SPACE</t>
  </si>
  <si>
    <t>ERISH JORDAN MARIANO</t>
  </si>
  <si>
    <t>09/23/2026</t>
  </si>
  <si>
    <t>09/22/2026</t>
  </si>
  <si>
    <t>0300011496</t>
  </si>
  <si>
    <t>ES CINEMA MAIN SERVER SPARE PARTS</t>
  </si>
  <si>
    <t>TID-0000082969</t>
  </si>
  <si>
    <t>09/09/2026</t>
  </si>
  <si>
    <t>09/25/2026</t>
  </si>
  <si>
    <t>0300011497</t>
  </si>
  <si>
    <t>TID-0000084750</t>
  </si>
  <si>
    <t>TID-0000069835/ TID-0000084750</t>
  </si>
  <si>
    <t>TID-0000073956/ TID-0000084750</t>
  </si>
  <si>
    <t>LPA-2026B-NPC001</t>
  </si>
  <si>
    <t>TID-0000072991/ TID-0000084750</t>
  </si>
  <si>
    <t>JLC-2026B-NPC015/ JLC-2026B-NPC024/ JLC-2026B-NPC014/ 10001452</t>
  </si>
  <si>
    <t>TID-0000082623</t>
  </si>
  <si>
    <t>0300011414/ '0300011437/ 0300011498</t>
  </si>
  <si>
    <t>0300011423/ 0300011499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</si>
</sst>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.00_);_(* \(#,##0.00\);_(* &quot;-&quot;??_);_(@_)"/>
    <numFmt numFmtId="165" formatCode="mm/dd/yy;@"/>
    <numFmt numFmtId="166" formatCode="m/d/yyyy;@"/>
    <numFmt numFmtId="167" formatCode="_(* #,##0_);_(* \(#,##0\);_(* &quot;-&quot;??_);_(@_)"/>
    <numFmt numFmtId="168" formatCode="#,##0.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b/>
      <sz val="11"/>
      <color theme="0"/>
      <name val="Calibri"/>
      <family val="2"/>
    </font>
    <font>
      <i/>
      <sz val="11"/>
      <color theme="0"/>
      <name val="Calibri"/>
      <family val="2"/>
    </font>
    <font>
      <b/>
      <i/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0" tint="-0.499984740745262"/>
      <name val="Aptos Narrow"/>
      <family val="2"/>
      <scheme val="minor"/>
    </font>
    <font>
      <i/>
      <sz val="11"/>
      <color rgb="FFFF00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66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13">
    <xf numFmtId="0" fontId="0" fillId="0" borderId="0" xfId="0"/>
    <xf numFmtId="43" fontId="0" fillId="0" borderId="0" xfId="1" applyFont="1"/>
    <xf numFmtId="0" fontId="4" fillId="0" borderId="0" xfId="3" applyFill="1"/>
    <xf numFmtId="0" fontId="5" fillId="0" borderId="0" xfId="0" applyFont="1"/>
    <xf numFmtId="0" fontId="3" fillId="0" borderId="0" xfId="0" applyFont="1"/>
    <xf numFmtId="0" fontId="0" fillId="0" borderId="0" xfId="0" applyAlignment="1">
      <alignment vertical="top"/>
    </xf>
    <xf numFmtId="43" fontId="6" fillId="0" borderId="0" xfId="1" applyFont="1"/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7" fillId="0" borderId="0" xfId="0" applyFont="1"/>
    <xf numFmtId="0" fontId="6" fillId="0" borderId="0" xfId="0" applyFont="1"/>
    <xf numFmtId="43" fontId="0" fillId="0" borderId="0" xfId="0" applyNumberFormat="1"/>
    <xf numFmtId="43" fontId="6" fillId="0" borderId="0" xfId="0" applyNumberFormat="1" applyFont="1"/>
    <xf numFmtId="43" fontId="7" fillId="0" borderId="0" xfId="0" applyNumberFormat="1" applyFont="1"/>
    <xf numFmtId="0" fontId="2" fillId="0" borderId="0" xfId="0" applyFont="1"/>
    <xf numFmtId="165" fontId="0" fillId="0" borderId="0" xfId="0" applyNumberFormat="1"/>
    <xf numFmtId="9" fontId="0" fillId="0" borderId="0" xfId="2" applyFo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43" fontId="6" fillId="3" borderId="0" xfId="1" applyFont="1" applyFill="1"/>
    <xf numFmtId="0" fontId="3" fillId="3" borderId="1" xfId="0" applyFont="1" applyFill="1" applyBorder="1" applyAlignment="1">
      <alignment horizontal="center"/>
    </xf>
    <xf numFmtId="43" fontId="0" fillId="3" borderId="0" xfId="1" applyFont="1" applyFill="1"/>
    <xf numFmtId="0" fontId="0" fillId="0" borderId="0" xfId="0" applyAlignment="1">
      <alignment horizontal="left"/>
    </xf>
    <xf numFmtId="4" fontId="0" fillId="0" borderId="0" xfId="0" applyNumberFormat="1"/>
    <xf numFmtId="0" fontId="3" fillId="3" borderId="1" xfId="0" applyFont="1" applyFill="1" applyBorder="1" applyAlignment="1">
      <alignment vertical="center"/>
    </xf>
    <xf numFmtId="14" fontId="3" fillId="0" borderId="1" xfId="0" applyNumberFormat="1" applyFont="1" applyBorder="1" applyAlignment="1">
      <alignment horizontal="center"/>
    </xf>
    <xf numFmtId="166" fontId="0" fillId="0" borderId="0" xfId="0" applyNumberFormat="1"/>
    <xf numFmtId="43" fontId="8" fillId="0" borderId="0" xfId="1" applyFont="1"/>
    <xf numFmtId="0" fontId="9" fillId="0" borderId="0" xfId="0" applyFont="1"/>
    <xf numFmtId="43" fontId="11" fillId="6" borderId="1" xfId="1" applyFont="1" applyFill="1" applyBorder="1" applyAlignment="1">
      <alignment horizontal="center" vertical="center" wrapText="1"/>
    </xf>
    <xf numFmtId="43" fontId="11" fillId="6" borderId="14" xfId="1" applyFont="1" applyFill="1" applyBorder="1" applyAlignment="1">
      <alignment horizontal="center" vertical="center" wrapText="1"/>
    </xf>
    <xf numFmtId="43" fontId="11" fillId="7" borderId="17" xfId="1" applyFont="1" applyFill="1" applyBorder="1" applyAlignment="1">
      <alignment horizontal="center" vertical="center" wrapText="1"/>
    </xf>
    <xf numFmtId="43" fontId="11" fillId="7" borderId="14" xfId="1" applyFont="1" applyFill="1" applyBorder="1" applyAlignment="1">
      <alignment horizontal="center" vertical="center" wrapText="1"/>
    </xf>
    <xf numFmtId="43" fontId="11" fillId="7" borderId="20" xfId="1" applyFont="1" applyFill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/>
    </xf>
    <xf numFmtId="43" fontId="12" fillId="0" borderId="22" xfId="1" applyFont="1" applyFill="1" applyBorder="1" applyAlignment="1">
      <alignment horizontal="center" vertical="center" wrapText="1"/>
    </xf>
    <xf numFmtId="43" fontId="12" fillId="0" borderId="0" xfId="1" applyFont="1" applyFill="1" applyBorder="1" applyAlignment="1">
      <alignment horizontal="center" vertical="center" wrapText="1"/>
    </xf>
    <xf numFmtId="43" fontId="12" fillId="0" borderId="23" xfId="1" applyFont="1" applyFill="1" applyBorder="1" applyAlignment="1">
      <alignment horizontal="center" vertical="center" wrapText="1"/>
    </xf>
    <xf numFmtId="0" fontId="13" fillId="0" borderId="21" xfId="1" applyNumberFormat="1" applyFont="1" applyBorder="1"/>
    <xf numFmtId="167" fontId="13" fillId="0" borderId="22" xfId="1" applyNumberFormat="1" applyFont="1" applyBorder="1"/>
    <xf numFmtId="167" fontId="13" fillId="0" borderId="0" xfId="1" applyNumberFormat="1" applyFont="1" applyBorder="1"/>
    <xf numFmtId="9" fontId="13" fillId="0" borderId="23" xfId="2" applyFont="1" applyBorder="1"/>
    <xf numFmtId="43" fontId="13" fillId="0" borderId="0" xfId="1" applyFont="1" applyBorder="1"/>
    <xf numFmtId="164" fontId="13" fillId="0" borderId="23" xfId="2" applyNumberFormat="1" applyFont="1" applyBorder="1"/>
    <xf numFmtId="0" fontId="14" fillId="0" borderId="24" xfId="1" applyNumberFormat="1" applyFont="1" applyBorder="1"/>
    <xf numFmtId="167" fontId="14" fillId="0" borderId="25" xfId="1" applyNumberFormat="1" applyFont="1" applyBorder="1"/>
    <xf numFmtId="167" fontId="14" fillId="0" borderId="26" xfId="1" applyNumberFormat="1" applyFont="1" applyBorder="1"/>
    <xf numFmtId="9" fontId="14" fillId="0" borderId="27" xfId="2" applyFont="1" applyBorder="1"/>
    <xf numFmtId="164" fontId="14" fillId="0" borderId="26" xfId="2" applyNumberFormat="1" applyFont="1" applyBorder="1"/>
    <xf numFmtId="164" fontId="14" fillId="0" borderId="27" xfId="2" applyNumberFormat="1" applyFont="1" applyBorder="1"/>
    <xf numFmtId="0" fontId="3" fillId="0" borderId="0" xfId="0" quotePrefix="1" applyFont="1"/>
    <xf numFmtId="0" fontId="6" fillId="8" borderId="0" xfId="0" quotePrefix="1" applyFont="1" applyFill="1"/>
    <xf numFmtId="43" fontId="0" fillId="0" borderId="0" xfId="1" applyFont="1" applyBorder="1"/>
    <xf numFmtId="0" fontId="0" fillId="3" borderId="0" xfId="0" applyFill="1"/>
    <xf numFmtId="43" fontId="0" fillId="3" borderId="0" xfId="0" applyNumberFormat="1" applyFill="1"/>
    <xf numFmtId="0" fontId="0" fillId="9" borderId="1" xfId="0" applyFill="1" applyBorder="1" applyAlignment="1">
      <alignment vertical="top"/>
    </xf>
    <xf numFmtId="0" fontId="0" fillId="9" borderId="1" xfId="0" applyFill="1" applyBorder="1" applyAlignment="1">
      <alignment vertical="top" wrapText="1"/>
    </xf>
    <xf numFmtId="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8" fillId="0" borderId="0" xfId="0" applyFont="1"/>
    <xf numFmtId="14" fontId="0" fillId="0" borderId="0" xfId="0" quotePrefix="1" applyNumberFormat="1" applyAlignment="1">
      <alignment horizontal="left"/>
    </xf>
    <xf numFmtId="14" fontId="0" fillId="0" borderId="0" xfId="0" quotePrefix="1" applyNumberFormat="1"/>
    <xf numFmtId="14" fontId="0" fillId="0" borderId="0" xfId="0" quotePrefix="1" applyNumberFormat="1" applyAlignment="1">
      <alignment horizontal="left" wrapText="1"/>
    </xf>
    <xf numFmtId="0" fontId="0" fillId="0" borderId="0" xfId="0" quotePrefix="1"/>
    <xf numFmtId="14" fontId="0" fillId="0" borderId="0" xfId="0" applyNumberFormat="1" applyAlignment="1">
      <alignment horizontal="left"/>
    </xf>
    <xf numFmtId="0" fontId="16" fillId="2" borderId="0" xfId="0" applyFont="1" applyFill="1" applyAlignment="1">
      <alignment horizontal="center" vertical="center" wrapText="1"/>
    </xf>
    <xf numFmtId="0" fontId="17" fillId="2" borderId="0" xfId="0" applyFont="1" applyFill="1" applyAlignment="1">
      <alignment horizontal="center" vertical="center" wrapText="1"/>
    </xf>
    <xf numFmtId="43" fontId="16" fillId="2" borderId="0" xfId="1" applyFont="1" applyFill="1" applyAlignment="1">
      <alignment horizontal="center" vertical="center" wrapText="1"/>
    </xf>
    <xf numFmtId="14" fontId="16" fillId="2" borderId="0" xfId="0" applyNumberFormat="1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43" fontId="8" fillId="0" borderId="0" xfId="1" applyFont="1" applyFill="1" applyAlignment="1">
      <alignment horizontal="center" vertical="center" wrapText="1"/>
    </xf>
    <xf numFmtId="14" fontId="8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43" fontId="18" fillId="0" borderId="0" xfId="0" applyNumberFormat="1" applyFont="1"/>
    <xf numFmtId="0" fontId="0" fillId="3" borderId="1" xfId="0" applyFill="1" applyBorder="1" applyAlignment="1">
      <alignment vertical="top"/>
    </xf>
    <xf numFmtId="167" fontId="0" fillId="0" borderId="0" xfId="0" applyNumberFormat="1"/>
    <xf numFmtId="9" fontId="13" fillId="0" borderId="0" xfId="2" applyFont="1" applyBorder="1"/>
    <xf numFmtId="9" fontId="14" fillId="0" borderId="26" xfId="2" applyFont="1" applyBorder="1"/>
    <xf numFmtId="0" fontId="14" fillId="0" borderId="0" xfId="1" applyNumberFormat="1" applyFont="1" applyBorder="1"/>
    <xf numFmtId="167" fontId="14" fillId="0" borderId="0" xfId="1" applyNumberFormat="1" applyFont="1" applyBorder="1"/>
    <xf numFmtId="9" fontId="14" fillId="0" borderId="0" xfId="2" applyFont="1" applyBorder="1"/>
    <xf numFmtId="43" fontId="11" fillId="6" borderId="20" xfId="1" applyFont="1" applyFill="1" applyBorder="1" applyAlignment="1">
      <alignment horizontal="center" vertical="center" wrapText="1"/>
    </xf>
    <xf numFmtId="0" fontId="8" fillId="0" borderId="0" xfId="0" quotePrefix="1" applyFont="1" applyAlignment="1">
      <alignment horizontal="center" vertical="center"/>
    </xf>
    <xf numFmtId="4" fontId="0" fillId="3" borderId="0" xfId="0" applyNumberFormat="1" applyFill="1"/>
    <xf numFmtId="0" fontId="8" fillId="0" borderId="0" xfId="0" quotePrefix="1" applyFont="1" applyAlignment="1">
      <alignment horizontal="left" vertical="center"/>
    </xf>
    <xf numFmtId="14" fontId="0" fillId="8" borderId="0" xfId="0" applyNumberFormat="1" applyFill="1"/>
    <xf numFmtId="43" fontId="0" fillId="0" borderId="0" xfId="1" applyFont="1" applyFill="1"/>
    <xf numFmtId="3" fontId="0" fillId="0" borderId="0" xfId="0" applyNumberFormat="1"/>
    <xf numFmtId="43" fontId="10" fillId="6" borderId="11" xfId="1" applyFont="1" applyFill="1" applyBorder="1" applyAlignment="1">
      <alignment horizontal="center" vertical="center" wrapText="1"/>
    </xf>
    <xf numFmtId="43" fontId="10" fillId="6" borderId="4" xfId="1" applyFont="1" applyFill="1" applyBorder="1" applyAlignment="1">
      <alignment horizontal="center" vertical="center" wrapText="1"/>
    </xf>
    <xf numFmtId="0" fontId="10" fillId="7" borderId="8" xfId="0" applyFont="1" applyFill="1" applyBorder="1" applyAlignment="1">
      <alignment horizontal="center" vertical="center" wrapText="1"/>
    </xf>
    <xf numFmtId="0" fontId="10" fillId="7" borderId="4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43" fontId="10" fillId="5" borderId="3" xfId="1" applyFont="1" applyFill="1" applyBorder="1" applyAlignment="1">
      <alignment horizontal="center" vertical="center" wrapText="1"/>
    </xf>
    <xf numFmtId="43" fontId="10" fillId="5" borderId="13" xfId="1" applyFont="1" applyFill="1" applyBorder="1" applyAlignment="1">
      <alignment horizontal="center" vertical="center" wrapText="1"/>
    </xf>
    <xf numFmtId="43" fontId="10" fillId="5" borderId="28" xfId="1" applyFont="1" applyFill="1" applyBorder="1" applyAlignment="1">
      <alignment horizontal="center" vertical="center" wrapText="1"/>
    </xf>
    <xf numFmtId="43" fontId="10" fillId="5" borderId="29" xfId="1" applyFont="1" applyFill="1" applyBorder="1" applyAlignment="1">
      <alignment horizontal="center" vertical="center" wrapText="1"/>
    </xf>
    <xf numFmtId="43" fontId="10" fillId="5" borderId="4" xfId="1" applyFont="1" applyFill="1" applyBorder="1" applyAlignment="1">
      <alignment horizontal="center" vertical="center" wrapText="1"/>
    </xf>
    <xf numFmtId="43" fontId="10" fillId="5" borderId="14" xfId="1" applyFont="1" applyFill="1" applyBorder="1" applyAlignment="1">
      <alignment horizontal="center" vertical="center" wrapText="1"/>
    </xf>
    <xf numFmtId="43" fontId="10" fillId="6" borderId="5" xfId="1" applyFont="1" applyFill="1" applyBorder="1" applyAlignment="1">
      <alignment horizontal="center" vertical="center" wrapText="1"/>
    </xf>
    <xf numFmtId="43" fontId="10" fillId="6" borderId="15" xfId="1" applyFont="1" applyFill="1" applyBorder="1" applyAlignment="1">
      <alignment horizontal="center" vertical="center" wrapText="1"/>
    </xf>
    <xf numFmtId="43" fontId="10" fillId="6" borderId="6" xfId="1" applyFont="1" applyFill="1" applyBorder="1" applyAlignment="1">
      <alignment horizontal="center" vertical="center" wrapText="1"/>
    </xf>
    <xf numFmtId="43" fontId="10" fillId="6" borderId="16" xfId="1" applyFont="1" applyFill="1" applyBorder="1" applyAlignment="1">
      <alignment horizontal="center" vertical="center" wrapText="1"/>
    </xf>
    <xf numFmtId="0" fontId="10" fillId="6" borderId="9" xfId="0" applyFont="1" applyFill="1" applyBorder="1" applyAlignment="1">
      <alignment horizontal="center" vertical="center" wrapText="1"/>
    </xf>
    <xf numFmtId="0" fontId="10" fillId="6" borderId="18" xfId="0" applyFont="1" applyFill="1" applyBorder="1" applyAlignment="1">
      <alignment horizontal="center" vertical="center" wrapText="1"/>
    </xf>
    <xf numFmtId="43" fontId="10" fillId="6" borderId="7" xfId="1" applyFont="1" applyFill="1" applyBorder="1" applyAlignment="1">
      <alignment horizontal="center" vertical="center" wrapText="1"/>
    </xf>
    <xf numFmtId="43" fontId="10" fillId="6" borderId="10" xfId="1" applyFont="1" applyFill="1" applyBorder="1" applyAlignment="1">
      <alignment horizontal="center" vertical="center" wrapText="1"/>
    </xf>
    <xf numFmtId="43" fontId="10" fillId="6" borderId="19" xfId="1" applyFont="1" applyFill="1" applyBorder="1" applyAlignment="1">
      <alignment horizontal="center" vertical="center" wrapText="1"/>
    </xf>
    <xf numFmtId="0" fontId="10" fillId="7" borderId="11" xfId="0" applyFont="1" applyFill="1" applyBorder="1" applyAlignment="1">
      <alignment horizontal="center" vertical="center" wrapText="1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57150</xdr:rowOff>
    </xdr:from>
    <xdr:to>
      <xdr:col>6</xdr:col>
      <xdr:colOff>472299</xdr:colOff>
      <xdr:row>21</xdr:row>
      <xdr:rowOff>6404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80BD28-4CB6-6039-ED17-070A798502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03550"/>
          <a:ext cx="5493032" cy="105415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119945</xdr:rowOff>
    </xdr:from>
    <xdr:to>
      <xdr:col>5</xdr:col>
      <xdr:colOff>389731</xdr:colOff>
      <xdr:row>40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7069702-235F-A72C-E75B-E1CFF54389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256389"/>
          <a:ext cx="4792398" cy="208138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5</xdr:col>
      <xdr:colOff>99714</xdr:colOff>
      <xdr:row>27</xdr:row>
      <xdr:rowOff>117881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A94E7F9-30A4-F2F4-C79B-440F1BE67F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4035778"/>
          <a:ext cx="4502381" cy="1035103"/>
        </a:xfrm>
        <a:prstGeom prst="rect">
          <a:avLst/>
        </a:prstGeom>
      </xdr:spPr>
    </xdr:pic>
    <xdr:clientData/>
  </xdr:twoCellAnchor>
  <xdr:twoCellAnchor editAs="oneCell">
    <xdr:from>
      <xdr:col>7</xdr:col>
      <xdr:colOff>70555</xdr:colOff>
      <xdr:row>15</xdr:row>
      <xdr:rowOff>134055</xdr:rowOff>
    </xdr:from>
    <xdr:to>
      <xdr:col>13</xdr:col>
      <xdr:colOff>63499</xdr:colOff>
      <xdr:row>23</xdr:row>
      <xdr:rowOff>154472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452DC61-6ADF-B3D7-6C7E-6741B00A3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686777" y="2885722"/>
          <a:ext cx="3633611" cy="148797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oclpholdings-my.sharepoint.com/personal/jumalonpvp_ortigas_com_ph/Documents/Documents/SAP/SAP%20GUI/PCCC%20(KE5X)/PCCC%20Master%20as%20of%20022826.XLSX" TargetMode="External"/><Relationship Id="rId1" Type="http://schemas.openxmlformats.org/officeDocument/2006/relationships/externalLinkPath" Target="https://oclpholdings-my.sharepoint.com/personal/jumalonpvp_ortigas_com_ph/Documents/Documents/SAP/SAP%20GUI/PCCC%20(KE5X)/PCCC%20Master%20as%20of%2002282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oclpholdings-my.sharepoint.com/personal/jumalonpvp_ortigas_com_ph/Documents/Documents/SAP/SAP%20GUI/PCCC%20(KE5X)/PCCC%20Master%20as%20of%2004.14.2026.XLSX" TargetMode="External"/><Relationship Id="rId1" Type="http://schemas.openxmlformats.org/officeDocument/2006/relationships/externalLinkPath" Target="https://oclpholdings-my.sharepoint.com/personal/jumalonpvp_ortigas_com_ph/Documents/Documents/SAP/SAP%20GUI/PCCC%20(KE5X)/PCCC%20Master%20as%20of%2004.14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Profit Center</v>
          </cell>
          <cell r="D1" t="str">
            <v>Name</v>
          </cell>
          <cell r="E1" t="str">
            <v>Department</v>
          </cell>
        </row>
        <row r="2">
          <cell r="A2">
            <v>80123102</v>
          </cell>
          <cell r="D2" t="str">
            <v>ADMIN SERVICES</v>
          </cell>
          <cell r="E2" t="str">
            <v>CORPORATE</v>
          </cell>
        </row>
        <row r="3">
          <cell r="A3">
            <v>81123102</v>
          </cell>
          <cell r="D3" t="str">
            <v>ADMIN SERVICES</v>
          </cell>
          <cell r="E3" t="str">
            <v>CORPORATE</v>
          </cell>
        </row>
        <row r="4">
          <cell r="A4">
            <v>90123102</v>
          </cell>
          <cell r="D4" t="str">
            <v>ADMIN SERVICES</v>
          </cell>
          <cell r="E4" t="str">
            <v>CORPORATE</v>
          </cell>
        </row>
        <row r="5">
          <cell r="A5">
            <v>80319401</v>
          </cell>
          <cell r="D5" t="str">
            <v>ADMIN SUPP SERVICES</v>
          </cell>
          <cell r="E5" t="str">
            <v>CORPORATE</v>
          </cell>
        </row>
        <row r="6">
          <cell r="A6">
            <v>81319401</v>
          </cell>
          <cell r="D6" t="str">
            <v>ADMIN SUPP SERVICES</v>
          </cell>
          <cell r="E6" t="str">
            <v>CORPORATE</v>
          </cell>
        </row>
        <row r="7">
          <cell r="A7">
            <v>90319401</v>
          </cell>
          <cell r="D7" t="str">
            <v>ADMIN SUPP SERVICES</v>
          </cell>
          <cell r="E7" t="str">
            <v>CORPORATE</v>
          </cell>
        </row>
        <row r="8">
          <cell r="A8">
            <v>80337101</v>
          </cell>
          <cell r="D8" t="str">
            <v>ADP CONDOS</v>
          </cell>
          <cell r="E8" t="str">
            <v>ESTATES</v>
          </cell>
        </row>
        <row r="9">
          <cell r="A9">
            <v>81337101</v>
          </cell>
          <cell r="D9" t="str">
            <v>ADP CONDOS</v>
          </cell>
          <cell r="E9" t="str">
            <v>ESTATES</v>
          </cell>
        </row>
        <row r="10">
          <cell r="A10">
            <v>80324110</v>
          </cell>
          <cell r="D10" t="str">
            <v>AVILA - RESI LEASING</v>
          </cell>
          <cell r="E10" t="str">
            <v>RESIDENTIAL</v>
          </cell>
        </row>
        <row r="11">
          <cell r="A11">
            <v>80331105</v>
          </cell>
          <cell r="D11" t="str">
            <v>AVILA TOWER</v>
          </cell>
          <cell r="E11" t="str">
            <v>RESIDENTIAL</v>
          </cell>
        </row>
        <row r="12">
          <cell r="A12">
            <v>80134103</v>
          </cell>
          <cell r="D12" t="str">
            <v>BUDGET  C&amp;A</v>
          </cell>
          <cell r="E12" t="str">
            <v>CORPORATE</v>
          </cell>
        </row>
        <row r="13">
          <cell r="A13">
            <v>81134103</v>
          </cell>
          <cell r="D13" t="str">
            <v>BUDGET  C&amp;A</v>
          </cell>
          <cell r="E13" t="str">
            <v>CORPORATE</v>
          </cell>
        </row>
        <row r="14">
          <cell r="A14">
            <v>90134103</v>
          </cell>
          <cell r="D14" t="str">
            <v>BUDGET  C&amp;A</v>
          </cell>
          <cell r="E14" t="str">
            <v>CORPORATE</v>
          </cell>
        </row>
        <row r="15">
          <cell r="A15">
            <v>80215103</v>
          </cell>
          <cell r="D15" t="str">
            <v>BUILDING MANAGEMENT</v>
          </cell>
          <cell r="E15" t="str">
            <v>CORPORATE</v>
          </cell>
        </row>
        <row r="16">
          <cell r="A16">
            <v>81215103</v>
          </cell>
          <cell r="D16" t="str">
            <v>BUILDING MANAGEMENT</v>
          </cell>
          <cell r="E16" t="str">
            <v>CORPORATE</v>
          </cell>
        </row>
        <row r="17">
          <cell r="A17">
            <v>90215103</v>
          </cell>
          <cell r="D17" t="str">
            <v>BUILDING MANAGEMENT</v>
          </cell>
          <cell r="E17" t="str">
            <v>CORPORATE</v>
          </cell>
        </row>
        <row r="18">
          <cell r="A18">
            <v>80134104</v>
          </cell>
          <cell r="D18" t="str">
            <v>BUSINESS PROCESS MGT</v>
          </cell>
          <cell r="E18" t="str">
            <v>CORPORATE</v>
          </cell>
        </row>
        <row r="19">
          <cell r="A19">
            <v>81134104</v>
          </cell>
          <cell r="D19" t="str">
            <v>BUSINESS PROCESS MGT</v>
          </cell>
          <cell r="E19" t="str">
            <v>CORPORATE</v>
          </cell>
        </row>
        <row r="20">
          <cell r="A20">
            <v>90134104</v>
          </cell>
          <cell r="D20" t="str">
            <v>BUSINESS PROCESS MGT</v>
          </cell>
          <cell r="E20" t="str">
            <v>CORPORATE</v>
          </cell>
        </row>
        <row r="21">
          <cell r="A21">
            <v>80341503</v>
          </cell>
          <cell r="D21" t="str">
            <v>CALATAGAN LOTS</v>
          </cell>
          <cell r="E21" t="str">
            <v>RESIDENTIAL</v>
          </cell>
        </row>
        <row r="22">
          <cell r="A22">
            <v>80341501</v>
          </cell>
          <cell r="D22" t="str">
            <v>CALATAGAN PROJECT</v>
          </cell>
          <cell r="E22" t="str">
            <v>ESTATES</v>
          </cell>
        </row>
        <row r="23">
          <cell r="A23">
            <v>80341502</v>
          </cell>
          <cell r="D23" t="str">
            <v>CALATAGAN RESORT</v>
          </cell>
          <cell r="E23" t="str">
            <v>ESTATES</v>
          </cell>
        </row>
        <row r="24">
          <cell r="A24">
            <v>81323401</v>
          </cell>
          <cell r="D24" t="str">
            <v>CC - OFFICE TOWER A</v>
          </cell>
          <cell r="E24" t="str">
            <v>OFFICES</v>
          </cell>
        </row>
        <row r="25">
          <cell r="A25">
            <v>81323402</v>
          </cell>
          <cell r="D25" t="str">
            <v>CC - OFFICE TOWER B</v>
          </cell>
          <cell r="E25" t="str">
            <v>OFFICES</v>
          </cell>
        </row>
        <row r="26">
          <cell r="A26">
            <v>80323101</v>
          </cell>
          <cell r="D26" t="str">
            <v>CC DEVELOPABLE</v>
          </cell>
          <cell r="E26" t="str">
            <v>ESTATES</v>
          </cell>
        </row>
        <row r="27">
          <cell r="A27">
            <v>81323101</v>
          </cell>
          <cell r="D27" t="str">
            <v>CC DEVELOPABLE</v>
          </cell>
          <cell r="E27" t="str">
            <v>ESTATES</v>
          </cell>
        </row>
        <row r="28">
          <cell r="A28">
            <v>80323199</v>
          </cell>
          <cell r="D28" t="str">
            <v>CC ESTATE PARKING</v>
          </cell>
          <cell r="E28" t="str">
            <v>ESTATES</v>
          </cell>
        </row>
        <row r="29">
          <cell r="A29">
            <v>81323199</v>
          </cell>
          <cell r="D29" t="str">
            <v>CC ESTATE PARKING</v>
          </cell>
          <cell r="E29" t="str">
            <v>ESTATES</v>
          </cell>
        </row>
        <row r="30">
          <cell r="A30">
            <v>80225401</v>
          </cell>
          <cell r="D30" t="str">
            <v>CC LAND - RETAIL</v>
          </cell>
          <cell r="E30" t="str">
            <v>ESTATES</v>
          </cell>
        </row>
        <row r="31">
          <cell r="A31">
            <v>81225401</v>
          </cell>
          <cell r="D31" t="str">
            <v>CC LAND - RETAIL</v>
          </cell>
          <cell r="E31" t="str">
            <v>ESTATES</v>
          </cell>
        </row>
        <row r="32">
          <cell r="A32">
            <v>80323102</v>
          </cell>
          <cell r="D32" t="str">
            <v>CC LAND LEASE</v>
          </cell>
          <cell r="E32" t="str">
            <v>ESTATES</v>
          </cell>
        </row>
        <row r="33">
          <cell r="A33">
            <v>81323102</v>
          </cell>
          <cell r="D33" t="str">
            <v>CC LAND LEASE</v>
          </cell>
          <cell r="E33" t="str">
            <v>ESTATES</v>
          </cell>
        </row>
        <row r="34">
          <cell r="A34" t="str">
            <v>803231CC</v>
          </cell>
          <cell r="D34" t="str">
            <v>CC LEASING - COMMON</v>
          </cell>
          <cell r="E34" t="str">
            <v>ESTATES</v>
          </cell>
        </row>
        <row r="35">
          <cell r="A35" t="str">
            <v>813231CC</v>
          </cell>
          <cell r="D35" t="str">
            <v>CC LEASING - COMMON</v>
          </cell>
          <cell r="E35" t="str">
            <v>ESTATES</v>
          </cell>
        </row>
        <row r="36">
          <cell r="A36">
            <v>80323204</v>
          </cell>
          <cell r="D36" t="str">
            <v>CC OFFICE TOWER B</v>
          </cell>
          <cell r="E36" t="str">
            <v>OFFICES</v>
          </cell>
        </row>
        <row r="37">
          <cell r="A37" t="str">
            <v>803321CC</v>
          </cell>
          <cell r="D37" t="str">
            <v>CC RESL - COMMON</v>
          </cell>
          <cell r="E37" t="str">
            <v>RESIDENTIAL</v>
          </cell>
        </row>
        <row r="38">
          <cell r="A38">
            <v>80323301</v>
          </cell>
          <cell r="D38" t="str">
            <v>CC SANTI'S (X)</v>
          </cell>
          <cell r="E38" t="str">
            <v>MALLS</v>
          </cell>
        </row>
        <row r="39">
          <cell r="A39">
            <v>81323301</v>
          </cell>
          <cell r="D39" t="str">
            <v>CC SANTI'S (X)</v>
          </cell>
          <cell r="E39" t="str">
            <v>MALLS</v>
          </cell>
        </row>
        <row r="40">
          <cell r="A40">
            <v>80323205</v>
          </cell>
          <cell r="D40" t="str">
            <v>CC TOWER</v>
          </cell>
          <cell r="E40" t="str">
            <v>OFFICES</v>
          </cell>
        </row>
        <row r="41">
          <cell r="A41">
            <v>81323403</v>
          </cell>
          <cell r="D41" t="str">
            <v>CC TOWER</v>
          </cell>
          <cell r="E41" t="str">
            <v>OFFICES</v>
          </cell>
        </row>
        <row r="42">
          <cell r="A42">
            <v>81111101</v>
          </cell>
          <cell r="D42" t="str">
            <v>CCC-COMMON</v>
          </cell>
          <cell r="E42" t="str">
            <v>CORPORATE</v>
          </cell>
        </row>
        <row r="43">
          <cell r="A43">
            <v>81321701</v>
          </cell>
          <cell r="D43" t="str">
            <v>CITY CENTER - COMMON</v>
          </cell>
          <cell r="E43" t="str">
            <v>ESTATES</v>
          </cell>
        </row>
        <row r="44">
          <cell r="A44">
            <v>80334102</v>
          </cell>
          <cell r="D44" t="str">
            <v>CITY CENTER TOWER 1</v>
          </cell>
          <cell r="E44" t="str">
            <v>RESIDENTIAL</v>
          </cell>
        </row>
        <row r="45">
          <cell r="A45">
            <v>80334103</v>
          </cell>
          <cell r="D45" t="str">
            <v>CITY CENTER TOWER 2</v>
          </cell>
          <cell r="E45" t="str">
            <v>RESIDENTIAL</v>
          </cell>
        </row>
        <row r="46">
          <cell r="A46">
            <v>81321601</v>
          </cell>
          <cell r="D46" t="str">
            <v>CONDORMITEL</v>
          </cell>
          <cell r="E46" t="str">
            <v>OFFICES</v>
          </cell>
        </row>
        <row r="47">
          <cell r="A47">
            <v>80221206</v>
          </cell>
          <cell r="D47" t="str">
            <v>CONNECTICUT</v>
          </cell>
          <cell r="E47" t="str">
            <v>MALLS</v>
          </cell>
        </row>
        <row r="48">
          <cell r="A48">
            <v>81221206</v>
          </cell>
          <cell r="D48" t="str">
            <v>CONNECTICUT</v>
          </cell>
          <cell r="E48" t="str">
            <v>MALLS</v>
          </cell>
        </row>
        <row r="49">
          <cell r="A49">
            <v>80333102</v>
          </cell>
          <cell r="D49" t="str">
            <v>CONNOR</v>
          </cell>
          <cell r="E49" t="str">
            <v>RESIDENTIAL</v>
          </cell>
        </row>
        <row r="50">
          <cell r="A50">
            <v>80221103</v>
          </cell>
          <cell r="D50" t="str">
            <v>CONNOR RETAIL</v>
          </cell>
          <cell r="E50" t="str">
            <v>MALLS</v>
          </cell>
        </row>
        <row r="51">
          <cell r="A51">
            <v>81221103</v>
          </cell>
          <cell r="D51" t="str">
            <v>CONNOR RETAIL</v>
          </cell>
          <cell r="E51" t="str">
            <v>MALLS</v>
          </cell>
        </row>
        <row r="52">
          <cell r="A52">
            <v>80317101</v>
          </cell>
          <cell r="D52" t="str">
            <v>CONSTRUCTION MGT</v>
          </cell>
          <cell r="E52" t="str">
            <v>CORPORATE</v>
          </cell>
        </row>
        <row r="53">
          <cell r="A53">
            <v>81317101</v>
          </cell>
          <cell r="D53" t="str">
            <v>CONSTRUCTION MGT</v>
          </cell>
          <cell r="E53" t="str">
            <v>CORPORATE</v>
          </cell>
        </row>
        <row r="54">
          <cell r="A54">
            <v>90317101</v>
          </cell>
          <cell r="D54" t="str">
            <v>CONSTRUCTION MGT</v>
          </cell>
          <cell r="E54" t="str">
            <v>CORPORATE</v>
          </cell>
        </row>
        <row r="55">
          <cell r="A55">
            <v>80134101</v>
          </cell>
          <cell r="D55" t="str">
            <v>CONTROLLERSHIP</v>
          </cell>
          <cell r="E55" t="str">
            <v>CORPORATE</v>
          </cell>
        </row>
        <row r="56">
          <cell r="A56">
            <v>81134101</v>
          </cell>
          <cell r="D56" t="str">
            <v>CONTROLLERSHIP</v>
          </cell>
          <cell r="E56" t="str">
            <v>CORPORATE</v>
          </cell>
        </row>
        <row r="57">
          <cell r="A57">
            <v>90134101</v>
          </cell>
          <cell r="D57" t="str">
            <v>CONTROLLERSHIP</v>
          </cell>
          <cell r="E57" t="str">
            <v>CORPORATE</v>
          </cell>
        </row>
        <row r="58">
          <cell r="A58">
            <v>80121101</v>
          </cell>
          <cell r="D58" t="str">
            <v>CORP RESOURCES DIV</v>
          </cell>
          <cell r="E58" t="str">
            <v>CORPORATE</v>
          </cell>
        </row>
        <row r="59">
          <cell r="A59">
            <v>81121101</v>
          </cell>
          <cell r="D59" t="str">
            <v>CORP RESOURCES DIV</v>
          </cell>
          <cell r="E59" t="str">
            <v>CORPORATE</v>
          </cell>
        </row>
        <row r="60">
          <cell r="A60">
            <v>90121101</v>
          </cell>
          <cell r="D60" t="str">
            <v>CORP RESOURCES DIV</v>
          </cell>
          <cell r="E60" t="str">
            <v>CORPORATE</v>
          </cell>
        </row>
        <row r="61">
          <cell r="A61">
            <v>80134102</v>
          </cell>
          <cell r="D61" t="str">
            <v>CORPORATE ACCOUNTING</v>
          </cell>
          <cell r="E61" t="str">
            <v>CORPORATE</v>
          </cell>
        </row>
        <row r="62">
          <cell r="A62">
            <v>81134102</v>
          </cell>
          <cell r="D62" t="str">
            <v>CORPORATE ACCOUNTING</v>
          </cell>
          <cell r="E62" t="str">
            <v>CORPORATE</v>
          </cell>
        </row>
        <row r="63">
          <cell r="A63">
            <v>90134102</v>
          </cell>
          <cell r="D63" t="str">
            <v>CORPORATE ACCOUNTING</v>
          </cell>
          <cell r="E63" t="str">
            <v>CORPORATE</v>
          </cell>
        </row>
        <row r="64">
          <cell r="A64">
            <v>80314101</v>
          </cell>
          <cell r="D64" t="str">
            <v>CORPORATE MARKETING</v>
          </cell>
          <cell r="E64" t="str">
            <v>CORPORATE</v>
          </cell>
        </row>
        <row r="65">
          <cell r="A65">
            <v>81314101</v>
          </cell>
          <cell r="D65" t="str">
            <v>CORPORATE MARKETING</v>
          </cell>
          <cell r="E65" t="str">
            <v>CORPORATE</v>
          </cell>
        </row>
        <row r="66">
          <cell r="A66">
            <v>90314101</v>
          </cell>
          <cell r="D66" t="str">
            <v>CORPORATE MARKETING</v>
          </cell>
          <cell r="E66" t="str">
            <v>CORPORATE</v>
          </cell>
        </row>
        <row r="67">
          <cell r="A67">
            <v>80111205</v>
          </cell>
          <cell r="D67" t="str">
            <v>CORPORATE PLANNING</v>
          </cell>
          <cell r="E67" t="str">
            <v>CORPORATE</v>
          </cell>
        </row>
        <row r="68">
          <cell r="A68">
            <v>81111205</v>
          </cell>
          <cell r="D68" t="str">
            <v>CORPORATE PLANNING</v>
          </cell>
          <cell r="E68" t="str">
            <v>CORPORATE</v>
          </cell>
        </row>
        <row r="69">
          <cell r="A69">
            <v>90111205</v>
          </cell>
          <cell r="D69" t="str">
            <v>CORPORATE PLANNING</v>
          </cell>
          <cell r="E69" t="str">
            <v>CORPORATE</v>
          </cell>
        </row>
        <row r="70">
          <cell r="A70">
            <v>80313107</v>
          </cell>
          <cell r="D70" t="str">
            <v>CUSTOMER CARE DEPT</v>
          </cell>
          <cell r="E70" t="str">
            <v>CORPORATE</v>
          </cell>
        </row>
        <row r="71">
          <cell r="A71">
            <v>81313107</v>
          </cell>
          <cell r="D71" t="str">
            <v>CUSTOMER CARE DEPT</v>
          </cell>
          <cell r="E71" t="str">
            <v>CORPORATE</v>
          </cell>
        </row>
        <row r="72">
          <cell r="A72">
            <v>90313107</v>
          </cell>
          <cell r="D72" t="str">
            <v>CUSTOMER CARE DEPT</v>
          </cell>
          <cell r="E72" t="str">
            <v>CORPORATE</v>
          </cell>
        </row>
        <row r="73">
          <cell r="A73">
            <v>80324103</v>
          </cell>
          <cell r="D73" t="str">
            <v>CV BASKETBALL</v>
          </cell>
          <cell r="E73" t="str">
            <v>ESTATES</v>
          </cell>
        </row>
        <row r="74">
          <cell r="A74">
            <v>81324103</v>
          </cell>
          <cell r="D74" t="str">
            <v>CV BASKETBALL</v>
          </cell>
          <cell r="E74" t="str">
            <v>ESTATES</v>
          </cell>
        </row>
        <row r="75">
          <cell r="A75">
            <v>80324105</v>
          </cell>
          <cell r="D75" t="str">
            <v>CV BIKE PLAYGROUND</v>
          </cell>
          <cell r="E75" t="str">
            <v>ESTATES</v>
          </cell>
        </row>
        <row r="76">
          <cell r="A76">
            <v>80324101</v>
          </cell>
          <cell r="D76" t="str">
            <v>CV DEVELOPABLE</v>
          </cell>
          <cell r="E76" t="str">
            <v>ESTATES</v>
          </cell>
        </row>
        <row r="77">
          <cell r="A77">
            <v>81324101</v>
          </cell>
          <cell r="D77" t="str">
            <v>CV DEVELOPABLE</v>
          </cell>
          <cell r="E77" t="str">
            <v>ESTATES</v>
          </cell>
        </row>
        <row r="78">
          <cell r="A78">
            <v>80341301</v>
          </cell>
          <cell r="D78" t="str">
            <v>CV ESTATES</v>
          </cell>
          <cell r="E78" t="str">
            <v>ESTATES</v>
          </cell>
        </row>
        <row r="79">
          <cell r="A79">
            <v>80324102</v>
          </cell>
          <cell r="D79" t="str">
            <v>CV LAND LEASE</v>
          </cell>
          <cell r="E79" t="str">
            <v>ESTATES</v>
          </cell>
        </row>
        <row r="80">
          <cell r="A80">
            <v>81324102</v>
          </cell>
          <cell r="D80" t="str">
            <v>CV LAND LEASE</v>
          </cell>
          <cell r="E80" t="str">
            <v>ESTATES</v>
          </cell>
        </row>
        <row r="81">
          <cell r="A81" t="str">
            <v>803241CC</v>
          </cell>
          <cell r="D81" t="str">
            <v>CV LEASING - COMMON</v>
          </cell>
          <cell r="E81" t="str">
            <v>ESTATES</v>
          </cell>
        </row>
        <row r="82">
          <cell r="A82" t="str">
            <v>813241CC</v>
          </cell>
          <cell r="D82" t="str">
            <v>CV LEASING - COMMON</v>
          </cell>
          <cell r="E82" t="str">
            <v>ESTATES</v>
          </cell>
        </row>
        <row r="83">
          <cell r="A83">
            <v>80324104</v>
          </cell>
          <cell r="D83" t="str">
            <v>CV PITCH</v>
          </cell>
          <cell r="E83" t="str">
            <v>ESTATES</v>
          </cell>
        </row>
        <row r="84">
          <cell r="A84" t="str">
            <v>803311CC</v>
          </cell>
          <cell r="D84" t="str">
            <v>CV1 - COMMON</v>
          </cell>
          <cell r="E84" t="str">
            <v>RESIDENTIAL</v>
          </cell>
        </row>
        <row r="85">
          <cell r="A85" t="str">
            <v>803312CC</v>
          </cell>
          <cell r="D85" t="str">
            <v>CV2 - COMMON</v>
          </cell>
          <cell r="E85" t="str">
            <v>RESIDENTIAL</v>
          </cell>
        </row>
        <row r="86">
          <cell r="A86">
            <v>80331204</v>
          </cell>
          <cell r="D86" t="str">
            <v>CV2 TOWER 1 (NEW)</v>
          </cell>
          <cell r="E86" t="str">
            <v>RESIDENTIAL</v>
          </cell>
        </row>
        <row r="87">
          <cell r="A87">
            <v>80331201</v>
          </cell>
          <cell r="D87" t="str">
            <v>CV2 TOWER 1 (OLD)</v>
          </cell>
          <cell r="E87" t="str">
            <v>RESIDENTIAL</v>
          </cell>
        </row>
        <row r="88">
          <cell r="A88">
            <v>80331205</v>
          </cell>
          <cell r="D88" t="str">
            <v>CV2 TOWER 2 (NEW)</v>
          </cell>
          <cell r="E88" t="str">
            <v>RESIDENTIAL</v>
          </cell>
        </row>
        <row r="89">
          <cell r="A89">
            <v>80331202</v>
          </cell>
          <cell r="D89" t="str">
            <v>CV2 TOWER 2 (OLD)</v>
          </cell>
          <cell r="E89" t="str">
            <v>RESIDENTIAL</v>
          </cell>
        </row>
        <row r="90">
          <cell r="A90">
            <v>80331203</v>
          </cell>
          <cell r="D90" t="str">
            <v>CV2 TOWER 3</v>
          </cell>
          <cell r="E90" t="str">
            <v>RESIDENTIAL</v>
          </cell>
        </row>
        <row r="91">
          <cell r="A91">
            <v>80331206</v>
          </cell>
          <cell r="D91" t="str">
            <v>CV2 TOWER 4</v>
          </cell>
          <cell r="E91" t="str">
            <v>RESIDENTIAL</v>
          </cell>
        </row>
        <row r="92">
          <cell r="A92" t="str">
            <v>803313CC</v>
          </cell>
          <cell r="D92" t="str">
            <v>CV3 - COMMON</v>
          </cell>
          <cell r="E92" t="str">
            <v>RESIDENTIAL</v>
          </cell>
        </row>
        <row r="93">
          <cell r="A93">
            <v>80331301</v>
          </cell>
          <cell r="D93" t="str">
            <v>CV3 TOWER 1</v>
          </cell>
          <cell r="E93" t="str">
            <v>RESIDENTIAL</v>
          </cell>
        </row>
        <row r="94">
          <cell r="A94">
            <v>80331302</v>
          </cell>
          <cell r="D94" t="str">
            <v>CV3 TOWER 2</v>
          </cell>
          <cell r="E94" t="str">
            <v>RESIDENTIAL</v>
          </cell>
        </row>
        <row r="95">
          <cell r="A95">
            <v>80331303</v>
          </cell>
          <cell r="D95" t="str">
            <v>CV3 TOWER 3</v>
          </cell>
          <cell r="E95" t="str">
            <v>RESIDENTIAL</v>
          </cell>
        </row>
        <row r="96">
          <cell r="A96">
            <v>80331304</v>
          </cell>
          <cell r="D96" t="str">
            <v>CV3 TOWER 4</v>
          </cell>
          <cell r="E96" t="str">
            <v>RESIDENTIAL</v>
          </cell>
        </row>
        <row r="97">
          <cell r="A97" t="str">
            <v>803314CC</v>
          </cell>
          <cell r="D97" t="str">
            <v>CV4 - COMMON</v>
          </cell>
          <cell r="E97" t="str">
            <v>RESIDENTIAL</v>
          </cell>
        </row>
        <row r="98">
          <cell r="A98">
            <v>80331401</v>
          </cell>
          <cell r="D98" t="str">
            <v>CV4 TOWER 1</v>
          </cell>
          <cell r="E98" t="str">
            <v>RESIDENTIAL</v>
          </cell>
        </row>
        <row r="99">
          <cell r="A99">
            <v>80331402</v>
          </cell>
          <cell r="D99" t="str">
            <v>CV4 TOWER 2</v>
          </cell>
          <cell r="E99" t="str">
            <v>RESIDENTIAL</v>
          </cell>
        </row>
        <row r="100">
          <cell r="A100">
            <v>80331403</v>
          </cell>
          <cell r="D100" t="str">
            <v>CV4 TOWER 3</v>
          </cell>
          <cell r="E100" t="str">
            <v>RESIDENTIAL</v>
          </cell>
        </row>
        <row r="101">
          <cell r="A101">
            <v>80126101</v>
          </cell>
          <cell r="D101" t="str">
            <v>DCMG - LEASING</v>
          </cell>
          <cell r="E101" t="str">
            <v>CORPORATE</v>
          </cell>
        </row>
        <row r="102">
          <cell r="A102">
            <v>81126101</v>
          </cell>
          <cell r="D102" t="str">
            <v>DCMG - LEASING</v>
          </cell>
          <cell r="E102" t="str">
            <v>CORPORATE</v>
          </cell>
        </row>
        <row r="103">
          <cell r="A103">
            <v>90126101</v>
          </cell>
          <cell r="D103" t="str">
            <v>DCMG - LEASING</v>
          </cell>
          <cell r="E103" t="str">
            <v>CORPORATE</v>
          </cell>
        </row>
        <row r="104">
          <cell r="A104">
            <v>80126102</v>
          </cell>
          <cell r="D104" t="str">
            <v>DCMG - PROP SALES</v>
          </cell>
          <cell r="E104" t="str">
            <v>CORPORATE</v>
          </cell>
        </row>
        <row r="105">
          <cell r="A105">
            <v>81126102</v>
          </cell>
          <cell r="D105" t="str">
            <v>DCMG - PROP SALES</v>
          </cell>
          <cell r="E105" t="str">
            <v>CORPORATE</v>
          </cell>
        </row>
        <row r="106">
          <cell r="A106">
            <v>90126102</v>
          </cell>
          <cell r="D106" t="str">
            <v>DCMG - PROP SALES</v>
          </cell>
          <cell r="E106" t="str">
            <v>CORPORATE</v>
          </cell>
        </row>
        <row r="107">
          <cell r="A107">
            <v>80316101</v>
          </cell>
          <cell r="D107" t="str">
            <v>DESIGN &amp; PLANNING</v>
          </cell>
          <cell r="E107" t="str">
            <v>CORPORATE</v>
          </cell>
        </row>
        <row r="108">
          <cell r="A108">
            <v>81316101</v>
          </cell>
          <cell r="D108" t="str">
            <v>DESIGN &amp; PLANNING</v>
          </cell>
          <cell r="E108" t="str">
            <v>CORPORATE</v>
          </cell>
        </row>
        <row r="109">
          <cell r="A109">
            <v>90316101</v>
          </cell>
          <cell r="D109" t="str">
            <v>DESIGN &amp; PLANNING</v>
          </cell>
          <cell r="E109" t="str">
            <v>CORPORATE</v>
          </cell>
        </row>
        <row r="110">
          <cell r="A110">
            <v>81227101</v>
          </cell>
          <cell r="D110" t="str">
            <v>E-MALLS</v>
          </cell>
          <cell r="E110" t="str">
            <v>MALLS</v>
          </cell>
        </row>
        <row r="111">
          <cell r="A111">
            <v>80332103</v>
          </cell>
          <cell r="D111" t="str">
            <v>EMPRESS TOWER</v>
          </cell>
          <cell r="E111" t="str">
            <v>RESIDENTIAL</v>
          </cell>
        </row>
        <row r="112">
          <cell r="A112">
            <v>80323202</v>
          </cell>
          <cell r="D112" t="str">
            <v>EST EXT - OFFICE</v>
          </cell>
          <cell r="E112" t="str">
            <v>OFFICES</v>
          </cell>
        </row>
        <row r="113">
          <cell r="A113">
            <v>80323203</v>
          </cell>
          <cell r="D113" t="str">
            <v>EST EXT 2 - OFFICE</v>
          </cell>
          <cell r="E113" t="str">
            <v>OFFICES</v>
          </cell>
        </row>
        <row r="114">
          <cell r="A114">
            <v>81323203</v>
          </cell>
          <cell r="D114" t="str">
            <v>EST EXT 2 - OFFICE</v>
          </cell>
          <cell r="E114" t="str">
            <v>OFFICES</v>
          </cell>
        </row>
        <row r="115">
          <cell r="A115">
            <v>80225501</v>
          </cell>
          <cell r="D115" t="str">
            <v>EST RETAIL PADS</v>
          </cell>
          <cell r="E115" t="str">
            <v>MALLS</v>
          </cell>
        </row>
        <row r="116">
          <cell r="A116">
            <v>81225501</v>
          </cell>
          <cell r="D116" t="str">
            <v>EST RETAIL PADS</v>
          </cell>
          <cell r="E116" t="str">
            <v>MALLS</v>
          </cell>
        </row>
        <row r="117">
          <cell r="A117">
            <v>81323202</v>
          </cell>
          <cell r="D117" t="str">
            <v>EST WSTWING - OFFICE</v>
          </cell>
          <cell r="E117" t="str">
            <v>OFFICES</v>
          </cell>
        </row>
        <row r="118">
          <cell r="A118">
            <v>80323201</v>
          </cell>
          <cell r="D118" t="str">
            <v>ESTANCIA - OFFICE</v>
          </cell>
          <cell r="E118" t="str">
            <v>OFFICES</v>
          </cell>
        </row>
        <row r="119">
          <cell r="A119">
            <v>81323201</v>
          </cell>
          <cell r="D119" t="str">
            <v>ESTANCIA - OFFICE</v>
          </cell>
          <cell r="E119" t="str">
            <v>OFFICES</v>
          </cell>
        </row>
        <row r="120">
          <cell r="A120">
            <v>80225207</v>
          </cell>
          <cell r="D120" t="str">
            <v>ESTANCIA CINEMA-DC</v>
          </cell>
          <cell r="E120" t="str">
            <v>MALLS</v>
          </cell>
        </row>
        <row r="121">
          <cell r="A121">
            <v>81225207</v>
          </cell>
          <cell r="D121" t="str">
            <v>ESTANCIA CINEMA-DC</v>
          </cell>
          <cell r="E121" t="str">
            <v>MALLS</v>
          </cell>
        </row>
        <row r="122">
          <cell r="A122">
            <v>80225206</v>
          </cell>
          <cell r="D122" t="str">
            <v>ESTANCIA CINEMA-RC</v>
          </cell>
          <cell r="E122" t="str">
            <v>MALLS</v>
          </cell>
        </row>
        <row r="123">
          <cell r="A123">
            <v>81225206</v>
          </cell>
          <cell r="D123" t="str">
            <v>ESTANCIA CINEMA-RC</v>
          </cell>
          <cell r="E123" t="str">
            <v>MALLS</v>
          </cell>
        </row>
        <row r="124">
          <cell r="A124">
            <v>80225205</v>
          </cell>
          <cell r="D124" t="str">
            <v>ESTANCIA DEPT STORE</v>
          </cell>
          <cell r="E124" t="str">
            <v>MALLS</v>
          </cell>
        </row>
        <row r="125">
          <cell r="A125">
            <v>81225205</v>
          </cell>
          <cell r="D125" t="str">
            <v>ESTANCIA DEPT STORE</v>
          </cell>
          <cell r="E125" t="str">
            <v>MALLS</v>
          </cell>
        </row>
        <row r="126">
          <cell r="A126">
            <v>80225201</v>
          </cell>
          <cell r="D126" t="str">
            <v>ESTANCIA EXP - MALL</v>
          </cell>
          <cell r="E126" t="str">
            <v>MALLS</v>
          </cell>
        </row>
        <row r="127">
          <cell r="A127">
            <v>81225201</v>
          </cell>
          <cell r="D127" t="str">
            <v>ESTANCIA EXP - MALL</v>
          </cell>
          <cell r="E127" t="str">
            <v>MALLS</v>
          </cell>
        </row>
        <row r="128">
          <cell r="A128">
            <v>80225204</v>
          </cell>
          <cell r="D128" t="str">
            <v>ESTANCIA EXP PARKING</v>
          </cell>
          <cell r="E128" t="str">
            <v>MALLS</v>
          </cell>
        </row>
        <row r="129">
          <cell r="A129">
            <v>81225204</v>
          </cell>
          <cell r="D129" t="str">
            <v>ESTANCIA EXP PARKING</v>
          </cell>
          <cell r="E129" t="str">
            <v>MALLS</v>
          </cell>
        </row>
        <row r="130">
          <cell r="A130">
            <v>80225202</v>
          </cell>
          <cell r="D130" t="str">
            <v>ESTANCIA EXP2 (X)</v>
          </cell>
          <cell r="E130" t="str">
            <v>MALLS</v>
          </cell>
        </row>
        <row r="131">
          <cell r="A131">
            <v>81225202</v>
          </cell>
          <cell r="D131" t="str">
            <v>ESTANCIA EXP2 (X)</v>
          </cell>
          <cell r="E131" t="str">
            <v>MALLS</v>
          </cell>
        </row>
        <row r="132">
          <cell r="A132">
            <v>80225203</v>
          </cell>
          <cell r="D132" t="str">
            <v>ESTANCIA EXP3 (X)</v>
          </cell>
          <cell r="E132" t="str">
            <v>MALLS</v>
          </cell>
        </row>
        <row r="133">
          <cell r="A133">
            <v>81225203</v>
          </cell>
          <cell r="D133" t="str">
            <v>ESTANCIA EXP3 (X)</v>
          </cell>
          <cell r="E133" t="str">
            <v>MALLS</v>
          </cell>
        </row>
        <row r="134">
          <cell r="A134">
            <v>80225103</v>
          </cell>
          <cell r="D134" t="str">
            <v>ESTANCIA LAND LEASE</v>
          </cell>
          <cell r="E134" t="str">
            <v>MALLS</v>
          </cell>
        </row>
        <row r="135">
          <cell r="A135">
            <v>81225103</v>
          </cell>
          <cell r="D135" t="str">
            <v>ESTANCIA LAND LEASE</v>
          </cell>
          <cell r="E135" t="str">
            <v>MALLS</v>
          </cell>
        </row>
        <row r="136">
          <cell r="A136">
            <v>80225102</v>
          </cell>
          <cell r="D136" t="str">
            <v>ESTANCIA PARKING</v>
          </cell>
          <cell r="E136" t="str">
            <v>MALLS</v>
          </cell>
        </row>
        <row r="137">
          <cell r="A137">
            <v>81225102</v>
          </cell>
          <cell r="D137" t="str">
            <v>ESTANCIA PARKING</v>
          </cell>
          <cell r="E137" t="str">
            <v>MALLS</v>
          </cell>
        </row>
        <row r="138">
          <cell r="A138">
            <v>80225101</v>
          </cell>
          <cell r="D138" t="str">
            <v>ESTANCIA RETAIL</v>
          </cell>
          <cell r="E138" t="str">
            <v>MALLS</v>
          </cell>
        </row>
        <row r="139">
          <cell r="A139">
            <v>81225101</v>
          </cell>
          <cell r="D139" t="str">
            <v>ESTANCIA RETAIL</v>
          </cell>
          <cell r="E139" t="str">
            <v>MALLS</v>
          </cell>
        </row>
        <row r="140">
          <cell r="A140">
            <v>80225209</v>
          </cell>
          <cell r="D140" t="str">
            <v>ESTANCIA SNACKBAR-DC</v>
          </cell>
          <cell r="E140" t="str">
            <v>MALLS</v>
          </cell>
        </row>
        <row r="141">
          <cell r="A141">
            <v>81225209</v>
          </cell>
          <cell r="D141" t="str">
            <v>ESTANCIA SNACKBAR-DC</v>
          </cell>
          <cell r="E141" t="str">
            <v>MALLS</v>
          </cell>
        </row>
        <row r="142">
          <cell r="A142">
            <v>80225208</v>
          </cell>
          <cell r="D142" t="str">
            <v>ESTANCIA SNACKBAR-RC</v>
          </cell>
          <cell r="E142" t="str">
            <v>MALLS</v>
          </cell>
        </row>
        <row r="143">
          <cell r="A143">
            <v>81225208</v>
          </cell>
          <cell r="D143" t="str">
            <v>ESTANCIA SNACKBAR-RC</v>
          </cell>
          <cell r="E143" t="str">
            <v>MALLS</v>
          </cell>
        </row>
        <row r="144">
          <cell r="A144">
            <v>80312101</v>
          </cell>
          <cell r="D144" t="str">
            <v>ESTATE FINANCE</v>
          </cell>
          <cell r="E144" t="str">
            <v>CORPORATE</v>
          </cell>
        </row>
        <row r="145">
          <cell r="A145">
            <v>81312101</v>
          </cell>
          <cell r="D145" t="str">
            <v>ESTATE FINANCE</v>
          </cell>
          <cell r="E145" t="str">
            <v>CORPORATE</v>
          </cell>
        </row>
        <row r="146">
          <cell r="A146">
            <v>90312101</v>
          </cell>
          <cell r="D146" t="str">
            <v>ESTATE FINANCE</v>
          </cell>
          <cell r="E146" t="str">
            <v>CORPORATE</v>
          </cell>
        </row>
        <row r="147">
          <cell r="A147">
            <v>80215104</v>
          </cell>
          <cell r="D147" t="str">
            <v>ESTATES BUSINESS UNI</v>
          </cell>
          <cell r="E147" t="str">
            <v>CORPORATE</v>
          </cell>
        </row>
        <row r="148">
          <cell r="A148">
            <v>81215104</v>
          </cell>
          <cell r="D148" t="str">
            <v>ESTATES BUSINESS UNI</v>
          </cell>
          <cell r="E148" t="str">
            <v>CORPORATE</v>
          </cell>
        </row>
        <row r="149">
          <cell r="A149">
            <v>90215104</v>
          </cell>
          <cell r="D149" t="str">
            <v>ESTATES BUSINESS UNI</v>
          </cell>
          <cell r="E149" t="str">
            <v>CORPORATE</v>
          </cell>
        </row>
        <row r="150">
          <cell r="A150">
            <v>80319301</v>
          </cell>
          <cell r="D150" t="str">
            <v>ESTATES OPERATION</v>
          </cell>
          <cell r="E150" t="str">
            <v>CORPORATE</v>
          </cell>
        </row>
        <row r="151">
          <cell r="A151">
            <v>81319301</v>
          </cell>
          <cell r="D151" t="str">
            <v>ESTATES OPERATION</v>
          </cell>
          <cell r="E151" t="str">
            <v>CORPORATE</v>
          </cell>
        </row>
        <row r="152">
          <cell r="A152">
            <v>90319301</v>
          </cell>
          <cell r="D152" t="str">
            <v>ESTATES OPERATION</v>
          </cell>
          <cell r="E152" t="str">
            <v>CORPORATE</v>
          </cell>
        </row>
        <row r="153">
          <cell r="A153">
            <v>80125101</v>
          </cell>
          <cell r="D153" t="str">
            <v>EXTERNAL AFFAIRS DEP</v>
          </cell>
          <cell r="E153" t="str">
            <v>CORPORATE</v>
          </cell>
        </row>
        <row r="154">
          <cell r="A154">
            <v>81125101</v>
          </cell>
          <cell r="D154" t="str">
            <v>EXTERNAL AFFAIRS DEP</v>
          </cell>
          <cell r="E154" t="str">
            <v>CORPORATE</v>
          </cell>
        </row>
        <row r="155">
          <cell r="A155">
            <v>90125101</v>
          </cell>
          <cell r="D155" t="str">
            <v>EXTERNAL AFFAIRS DEP</v>
          </cell>
          <cell r="E155" t="str">
            <v>CORPORATE</v>
          </cell>
        </row>
        <row r="156">
          <cell r="A156">
            <v>80131101</v>
          </cell>
          <cell r="D156" t="str">
            <v>FINANCE - COMMON</v>
          </cell>
          <cell r="E156" t="str">
            <v>CORPORATE</v>
          </cell>
        </row>
        <row r="157">
          <cell r="A157">
            <v>81131101</v>
          </cell>
          <cell r="D157" t="str">
            <v>FINANCE - COMMON</v>
          </cell>
          <cell r="E157" t="str">
            <v>CORPORATE</v>
          </cell>
        </row>
        <row r="158">
          <cell r="A158">
            <v>90131101</v>
          </cell>
          <cell r="D158" t="str">
            <v>FINANCE - COMMON</v>
          </cell>
          <cell r="E158" t="str">
            <v>CORPORATE</v>
          </cell>
        </row>
        <row r="159">
          <cell r="A159">
            <v>80221207</v>
          </cell>
          <cell r="D159" t="str">
            <v>G-STRIP</v>
          </cell>
          <cell r="E159" t="str">
            <v>MALLS</v>
          </cell>
        </row>
        <row r="160">
          <cell r="A160">
            <v>81221207</v>
          </cell>
          <cell r="D160" t="str">
            <v>G-STRIP</v>
          </cell>
          <cell r="E160" t="str">
            <v>MALLS</v>
          </cell>
        </row>
        <row r="161">
          <cell r="A161">
            <v>80226201</v>
          </cell>
          <cell r="D161" t="str">
            <v>GALLEON - RETAIL</v>
          </cell>
          <cell r="E161" t="str">
            <v>MALLS</v>
          </cell>
        </row>
        <row r="162">
          <cell r="A162">
            <v>81226201</v>
          </cell>
          <cell r="D162" t="str">
            <v>GALLEON - RETAIL</v>
          </cell>
          <cell r="E162" t="str">
            <v>MALLS</v>
          </cell>
        </row>
        <row r="163">
          <cell r="A163">
            <v>80334105</v>
          </cell>
          <cell r="D163" t="str">
            <v>GALLEON OFFICE TOWER</v>
          </cell>
          <cell r="E163" t="str">
            <v>RESIDENTIAL</v>
          </cell>
        </row>
        <row r="164">
          <cell r="A164">
            <v>80334104</v>
          </cell>
          <cell r="D164" t="str">
            <v>GALLEON RESI TOWER</v>
          </cell>
          <cell r="E164" t="str">
            <v>RESIDENTIAL</v>
          </cell>
        </row>
        <row r="165">
          <cell r="A165">
            <v>80331106</v>
          </cell>
          <cell r="D165" t="str">
            <v>GARDEN HOMES</v>
          </cell>
          <cell r="E165" t="str">
            <v>RESIDENTIAL</v>
          </cell>
        </row>
        <row r="166">
          <cell r="A166">
            <v>80225301</v>
          </cell>
          <cell r="D166" t="str">
            <v>GASTRO</v>
          </cell>
          <cell r="E166" t="str">
            <v>MALLS</v>
          </cell>
        </row>
        <row r="167">
          <cell r="A167">
            <v>81225301</v>
          </cell>
          <cell r="D167" t="str">
            <v>GASTRO</v>
          </cell>
          <cell r="E167" t="str">
            <v>MALLS</v>
          </cell>
        </row>
        <row r="168">
          <cell r="A168">
            <v>80225302</v>
          </cell>
          <cell r="D168" t="str">
            <v>GASTRO - PARKING</v>
          </cell>
          <cell r="E168" t="str">
            <v>ESTATES</v>
          </cell>
        </row>
        <row r="169">
          <cell r="A169">
            <v>80225303</v>
          </cell>
          <cell r="D169" t="str">
            <v>GASTRO LAND LEASE</v>
          </cell>
          <cell r="E169" t="str">
            <v>MALLS</v>
          </cell>
        </row>
        <row r="170">
          <cell r="A170">
            <v>81225303</v>
          </cell>
          <cell r="D170" t="str">
            <v>GASTRO LAND LEASE</v>
          </cell>
          <cell r="E170" t="str">
            <v>MALLS</v>
          </cell>
        </row>
        <row r="171">
          <cell r="A171">
            <v>81225302</v>
          </cell>
          <cell r="D171" t="str">
            <v>GASTRO PARKING (X)</v>
          </cell>
          <cell r="E171" t="str">
            <v>ESTATES</v>
          </cell>
        </row>
        <row r="172">
          <cell r="A172">
            <v>80341101</v>
          </cell>
          <cell r="D172" t="str">
            <v>GC ESTATES</v>
          </cell>
          <cell r="E172" t="str">
            <v>ESTATES</v>
          </cell>
        </row>
        <row r="173">
          <cell r="A173">
            <v>81341101</v>
          </cell>
          <cell r="D173" t="str">
            <v>GC ESTATES</v>
          </cell>
          <cell r="E173" t="str">
            <v>ESTATES</v>
          </cell>
        </row>
        <row r="174">
          <cell r="A174">
            <v>80332105</v>
          </cell>
          <cell r="D174" t="str">
            <v>GENTRY TOWER</v>
          </cell>
          <cell r="E174" t="str">
            <v>RESIDENTIAL</v>
          </cell>
        </row>
        <row r="175">
          <cell r="A175">
            <v>80221703</v>
          </cell>
          <cell r="D175" t="str">
            <v>GH ANNEX NEW GREENLA</v>
          </cell>
          <cell r="E175" t="str">
            <v>MALLS</v>
          </cell>
        </row>
        <row r="176">
          <cell r="A176">
            <v>81221703</v>
          </cell>
          <cell r="D176" t="str">
            <v>GH ANNEX NEW GREENLA</v>
          </cell>
          <cell r="E176" t="str">
            <v>MALLS</v>
          </cell>
        </row>
        <row r="177">
          <cell r="A177">
            <v>80221603</v>
          </cell>
          <cell r="D177" t="str">
            <v>GH ANNX LIFESTYLE P1</v>
          </cell>
          <cell r="E177" t="str">
            <v>MALLS</v>
          </cell>
        </row>
        <row r="178">
          <cell r="A178">
            <v>81221603</v>
          </cell>
          <cell r="D178" t="str">
            <v>GH ANNX LIFESTYLE P1</v>
          </cell>
          <cell r="E178" t="str">
            <v>MALLS</v>
          </cell>
        </row>
        <row r="179">
          <cell r="A179">
            <v>80221705</v>
          </cell>
          <cell r="D179" t="str">
            <v>GH CINEMA</v>
          </cell>
          <cell r="E179" t="str">
            <v>MALLS</v>
          </cell>
        </row>
        <row r="180">
          <cell r="A180">
            <v>81221705</v>
          </cell>
          <cell r="D180" t="str">
            <v>GH CINEMA</v>
          </cell>
          <cell r="E180" t="str">
            <v>MALLS</v>
          </cell>
        </row>
        <row r="181">
          <cell r="A181">
            <v>80221706</v>
          </cell>
          <cell r="D181" t="str">
            <v>GH FOODCOURT</v>
          </cell>
          <cell r="E181" t="str">
            <v>MALLS</v>
          </cell>
        </row>
        <row r="182">
          <cell r="A182">
            <v>81221706</v>
          </cell>
          <cell r="D182" t="str">
            <v>GH FOODCOURT</v>
          </cell>
          <cell r="E182" t="str">
            <v>MALLS</v>
          </cell>
        </row>
        <row r="183">
          <cell r="A183">
            <v>80221602</v>
          </cell>
          <cell r="D183" t="str">
            <v>GH PARKING 6</v>
          </cell>
          <cell r="E183" t="str">
            <v>MALLS</v>
          </cell>
        </row>
        <row r="184">
          <cell r="A184">
            <v>81221602</v>
          </cell>
          <cell r="D184" t="str">
            <v>GH PARKING 6</v>
          </cell>
          <cell r="E184" t="str">
            <v>MALLS</v>
          </cell>
        </row>
        <row r="185">
          <cell r="A185">
            <v>80221704</v>
          </cell>
          <cell r="D185" t="str">
            <v>GH PHASE  1 PARKING</v>
          </cell>
          <cell r="E185" t="str">
            <v>MALLS</v>
          </cell>
        </row>
        <row r="186">
          <cell r="A186">
            <v>81221704</v>
          </cell>
          <cell r="D186" t="str">
            <v>GH PHASE  1 PARKING</v>
          </cell>
          <cell r="E186" t="str">
            <v>MALLS</v>
          </cell>
        </row>
        <row r="187">
          <cell r="A187">
            <v>81221701</v>
          </cell>
          <cell r="D187" t="str">
            <v>GH PHASE 1 MALL</v>
          </cell>
          <cell r="E187" t="str">
            <v>MALLS</v>
          </cell>
        </row>
        <row r="188">
          <cell r="A188" t="str">
            <v>803331CC</v>
          </cell>
          <cell r="D188" t="str">
            <v>GH RESL - COMMON</v>
          </cell>
          <cell r="E188" t="str">
            <v>RESIDENTIAL</v>
          </cell>
        </row>
        <row r="189">
          <cell r="A189">
            <v>80325101</v>
          </cell>
          <cell r="D189" t="str">
            <v>GH TOWER</v>
          </cell>
          <cell r="E189" t="str">
            <v>OFFICES</v>
          </cell>
        </row>
        <row r="190">
          <cell r="A190">
            <v>81325101</v>
          </cell>
          <cell r="D190" t="str">
            <v>GH TOWER</v>
          </cell>
          <cell r="E190" t="str">
            <v>OFFICES</v>
          </cell>
        </row>
        <row r="191">
          <cell r="A191">
            <v>80336102</v>
          </cell>
          <cell r="D191" t="str">
            <v>GLASTON</v>
          </cell>
          <cell r="E191" t="str">
            <v>RESIDENTIAL</v>
          </cell>
        </row>
        <row r="192">
          <cell r="A192">
            <v>80335101</v>
          </cell>
          <cell r="D192" t="str">
            <v>GREEN VALLEY</v>
          </cell>
          <cell r="E192" t="str">
            <v>RESIDENTIAL</v>
          </cell>
        </row>
        <row r="193">
          <cell r="A193">
            <v>80221202</v>
          </cell>
          <cell r="D193" t="str">
            <v>GSC - PARKING</v>
          </cell>
          <cell r="E193" t="str">
            <v>MALLS</v>
          </cell>
        </row>
        <row r="194">
          <cell r="A194">
            <v>80221203</v>
          </cell>
          <cell r="D194" t="str">
            <v>GSC - TIANGGE</v>
          </cell>
          <cell r="E194" t="str">
            <v>MALLS</v>
          </cell>
        </row>
        <row r="195">
          <cell r="A195">
            <v>80221101</v>
          </cell>
          <cell r="D195" t="str">
            <v>GSC DEVELOPABLE</v>
          </cell>
          <cell r="E195" t="str">
            <v>MALLS</v>
          </cell>
        </row>
        <row r="196">
          <cell r="A196">
            <v>81221101</v>
          </cell>
          <cell r="D196" t="str">
            <v>GSC DEVELOPABLE</v>
          </cell>
          <cell r="E196" t="str">
            <v>MALLS</v>
          </cell>
        </row>
        <row r="197">
          <cell r="A197">
            <v>80221102</v>
          </cell>
          <cell r="D197" t="str">
            <v>GSC LAND LEASE</v>
          </cell>
          <cell r="E197" t="str">
            <v>MALLS</v>
          </cell>
        </row>
        <row r="198">
          <cell r="A198">
            <v>81221102</v>
          </cell>
          <cell r="D198" t="str">
            <v>GSC LAND LEASE</v>
          </cell>
          <cell r="E198" t="str">
            <v>MALLS</v>
          </cell>
        </row>
        <row r="199">
          <cell r="A199" t="str">
            <v>802211CC</v>
          </cell>
          <cell r="D199" t="str">
            <v>GSC MALLS - COMMON</v>
          </cell>
          <cell r="E199" t="str">
            <v>MALLS</v>
          </cell>
        </row>
        <row r="200">
          <cell r="A200" t="str">
            <v>812211CC</v>
          </cell>
          <cell r="D200" t="str">
            <v>GSC MALLS - COMMON</v>
          </cell>
          <cell r="E200" t="str">
            <v>MALLS</v>
          </cell>
        </row>
        <row r="201">
          <cell r="A201">
            <v>80221201</v>
          </cell>
          <cell r="D201" t="str">
            <v>GSC OLD BLDGS</v>
          </cell>
          <cell r="E201" t="str">
            <v>MALLS</v>
          </cell>
        </row>
        <row r="202">
          <cell r="A202">
            <v>81221201</v>
          </cell>
          <cell r="D202" t="str">
            <v>GSC OLD BLDGS</v>
          </cell>
          <cell r="E202" t="str">
            <v>MALLS</v>
          </cell>
        </row>
        <row r="203">
          <cell r="A203">
            <v>81221202</v>
          </cell>
          <cell r="D203" t="str">
            <v>GSC PARKING</v>
          </cell>
          <cell r="E203" t="str">
            <v>MALLS</v>
          </cell>
        </row>
        <row r="204">
          <cell r="A204">
            <v>80221204</v>
          </cell>
          <cell r="D204" t="str">
            <v>GSC PAY LOUNGES</v>
          </cell>
          <cell r="E204" t="str">
            <v>MALLS</v>
          </cell>
        </row>
        <row r="205">
          <cell r="A205">
            <v>81221204</v>
          </cell>
          <cell r="D205" t="str">
            <v>GSC PAY LOUNGES</v>
          </cell>
          <cell r="E205" t="str">
            <v>MALLS</v>
          </cell>
        </row>
        <row r="206">
          <cell r="A206">
            <v>80221601</v>
          </cell>
          <cell r="D206" t="str">
            <v>GSC PHASE 2B+3C (X)</v>
          </cell>
          <cell r="E206" t="str">
            <v>MALLS</v>
          </cell>
        </row>
        <row r="207">
          <cell r="A207">
            <v>81221601</v>
          </cell>
          <cell r="D207" t="str">
            <v>GSC PHASE 2B+3C (X)</v>
          </cell>
          <cell r="E207" t="str">
            <v>MALLS</v>
          </cell>
        </row>
        <row r="208">
          <cell r="A208">
            <v>80221701</v>
          </cell>
          <cell r="D208" t="str">
            <v>GSC PHASE 3A+3B (X)</v>
          </cell>
          <cell r="E208" t="str">
            <v>MALLS</v>
          </cell>
        </row>
        <row r="209">
          <cell r="A209">
            <v>80221901</v>
          </cell>
          <cell r="D209" t="str">
            <v>GSC PHASE 4 (X)</v>
          </cell>
          <cell r="E209" t="str">
            <v>MALLS</v>
          </cell>
        </row>
        <row r="210">
          <cell r="A210" t="str">
            <v>80221A01</v>
          </cell>
          <cell r="D210" t="str">
            <v>GSC PHASE 5B (X)</v>
          </cell>
          <cell r="E210" t="str">
            <v>MALLS</v>
          </cell>
        </row>
        <row r="211">
          <cell r="A211">
            <v>81221203</v>
          </cell>
          <cell r="D211" t="str">
            <v>GSC TIANGGE</v>
          </cell>
          <cell r="E211" t="str">
            <v>MALLS</v>
          </cell>
        </row>
        <row r="212">
          <cell r="A212">
            <v>80333103</v>
          </cell>
          <cell r="D212" t="str">
            <v>GSC TOWER 3</v>
          </cell>
          <cell r="E212" t="str">
            <v>RESIDENTIAL</v>
          </cell>
        </row>
        <row r="213">
          <cell r="A213">
            <v>80333104</v>
          </cell>
          <cell r="D213" t="str">
            <v>GSC TOWER 4</v>
          </cell>
          <cell r="E213" t="str">
            <v>RESIDENTIAL</v>
          </cell>
        </row>
        <row r="214">
          <cell r="A214">
            <v>80313103</v>
          </cell>
          <cell r="D214" t="str">
            <v>HANDOVER MGT DEPT</v>
          </cell>
          <cell r="E214" t="str">
            <v>CORPORATE</v>
          </cell>
        </row>
        <row r="215">
          <cell r="A215">
            <v>81313103</v>
          </cell>
          <cell r="D215" t="str">
            <v>HANDOVER MGT DEPT</v>
          </cell>
          <cell r="E215" t="str">
            <v>CORPORATE</v>
          </cell>
        </row>
        <row r="216">
          <cell r="A216">
            <v>90313103</v>
          </cell>
          <cell r="D216" t="str">
            <v>HANDOVER MGT DEPT</v>
          </cell>
          <cell r="E216" t="str">
            <v>CORPORATE</v>
          </cell>
        </row>
        <row r="217">
          <cell r="A217">
            <v>80122101</v>
          </cell>
          <cell r="D217" t="str">
            <v>HUMAN RESOURCES</v>
          </cell>
          <cell r="E217" t="str">
            <v>CORPORATE</v>
          </cell>
        </row>
        <row r="218">
          <cell r="A218">
            <v>81122101</v>
          </cell>
          <cell r="D218" t="str">
            <v>HUMAN RESOURCES</v>
          </cell>
          <cell r="E218" t="str">
            <v>CORPORATE</v>
          </cell>
        </row>
        <row r="219">
          <cell r="A219">
            <v>90122101</v>
          </cell>
          <cell r="D219" t="str">
            <v>HUMAN RESOURCES</v>
          </cell>
          <cell r="E219" t="str">
            <v>CORPORATE</v>
          </cell>
        </row>
        <row r="220">
          <cell r="A220">
            <v>80324107</v>
          </cell>
          <cell r="D220" t="str">
            <v>IBIZA - RESI LEASING</v>
          </cell>
          <cell r="E220" t="str">
            <v>RESIDENTIAL</v>
          </cell>
        </row>
        <row r="221">
          <cell r="A221">
            <v>80331107</v>
          </cell>
          <cell r="D221" t="str">
            <v>Ibiza Serviced Res</v>
          </cell>
          <cell r="E221" t="str">
            <v>RESIDENTIAL</v>
          </cell>
        </row>
        <row r="222">
          <cell r="A222">
            <v>80331102</v>
          </cell>
          <cell r="D222" t="str">
            <v>IBIZA TOWER</v>
          </cell>
          <cell r="E222" t="str">
            <v>RESIDENTIAL</v>
          </cell>
        </row>
        <row r="223">
          <cell r="A223">
            <v>80321301</v>
          </cell>
          <cell r="D223" t="str">
            <v>IBP TOWER</v>
          </cell>
          <cell r="E223" t="str">
            <v>OFFICES</v>
          </cell>
        </row>
        <row r="224">
          <cell r="A224">
            <v>81321301</v>
          </cell>
          <cell r="D224" t="str">
            <v>IBP TOWER</v>
          </cell>
          <cell r="E224" t="str">
            <v>OFFICES</v>
          </cell>
        </row>
        <row r="225">
          <cell r="A225">
            <v>80321303</v>
          </cell>
          <cell r="D225" t="str">
            <v>IBP TOWER - CG</v>
          </cell>
          <cell r="E225" t="str">
            <v>OFFICES</v>
          </cell>
        </row>
        <row r="226">
          <cell r="A226">
            <v>81321303</v>
          </cell>
          <cell r="D226" t="str">
            <v>IBP TOWER - CG</v>
          </cell>
          <cell r="E226" t="str">
            <v>OFFICES</v>
          </cell>
        </row>
        <row r="227">
          <cell r="A227">
            <v>80321302</v>
          </cell>
          <cell r="D227" t="str">
            <v>IBP TOWER PARKING</v>
          </cell>
          <cell r="E227" t="str">
            <v>OFFICES</v>
          </cell>
        </row>
        <row r="228">
          <cell r="A228">
            <v>81321302</v>
          </cell>
          <cell r="D228" t="str">
            <v>IBP TOWER PARKING</v>
          </cell>
          <cell r="E228" t="str">
            <v>OFFICES</v>
          </cell>
        </row>
        <row r="229">
          <cell r="A229">
            <v>80323402</v>
          </cell>
          <cell r="D229" t="str">
            <v>IMPERIUM - RESI LEAS</v>
          </cell>
          <cell r="E229" t="str">
            <v>RESIDENTIAL</v>
          </cell>
        </row>
        <row r="230">
          <cell r="A230">
            <v>80225503</v>
          </cell>
          <cell r="D230" t="str">
            <v>IMPERIUM RETAIL</v>
          </cell>
          <cell r="E230" t="str">
            <v>MALLS</v>
          </cell>
        </row>
        <row r="231">
          <cell r="A231">
            <v>81225503</v>
          </cell>
          <cell r="D231" t="str">
            <v>IMPERIUM RETAIL</v>
          </cell>
          <cell r="E231" t="str">
            <v>MALLS</v>
          </cell>
        </row>
        <row r="232">
          <cell r="A232">
            <v>80332102</v>
          </cell>
          <cell r="D232" t="str">
            <v>IMPERIUM TOWER</v>
          </cell>
          <cell r="E232" t="str">
            <v>RESIDENTIAL</v>
          </cell>
        </row>
        <row r="233">
          <cell r="A233">
            <v>80224101</v>
          </cell>
          <cell r="D233" t="str">
            <v>INDUSTRIA</v>
          </cell>
          <cell r="E233" t="str">
            <v>ESTATES</v>
          </cell>
        </row>
        <row r="234">
          <cell r="A234">
            <v>81224101</v>
          </cell>
          <cell r="D234" t="str">
            <v>INDUSTRIA</v>
          </cell>
          <cell r="E234" t="str">
            <v>ESTATES</v>
          </cell>
        </row>
        <row r="235">
          <cell r="A235">
            <v>81224102</v>
          </cell>
          <cell r="D235" t="str">
            <v>INDUSTRIA PARKING</v>
          </cell>
          <cell r="E235" t="str">
            <v>ESTATES</v>
          </cell>
        </row>
        <row r="236">
          <cell r="A236">
            <v>80224102</v>
          </cell>
          <cell r="D236" t="str">
            <v>INDUSTRIA-PARKING</v>
          </cell>
          <cell r="E236" t="str">
            <v>ESTATES</v>
          </cell>
        </row>
        <row r="237">
          <cell r="A237">
            <v>80111202</v>
          </cell>
          <cell r="D237" t="str">
            <v>INTERNAL AUDIT</v>
          </cell>
          <cell r="E237" t="str">
            <v>CORPORATE</v>
          </cell>
        </row>
        <row r="238">
          <cell r="A238">
            <v>81111202</v>
          </cell>
          <cell r="D238" t="str">
            <v>INTERNAL AUDIT</v>
          </cell>
          <cell r="E238" t="str">
            <v>CORPORATE</v>
          </cell>
        </row>
        <row r="239">
          <cell r="A239">
            <v>90111202</v>
          </cell>
          <cell r="D239" t="str">
            <v>INTERNAL AUDIT</v>
          </cell>
          <cell r="E239" t="str">
            <v>CORPORATE</v>
          </cell>
        </row>
        <row r="240">
          <cell r="A240">
            <v>80124101</v>
          </cell>
          <cell r="D240" t="str">
            <v>IS &amp; IT</v>
          </cell>
          <cell r="E240" t="str">
            <v>CORPORATE</v>
          </cell>
        </row>
        <row r="241">
          <cell r="A241">
            <v>81124101</v>
          </cell>
          <cell r="D241" t="str">
            <v>IS &amp; IT</v>
          </cell>
          <cell r="E241" t="str">
            <v>CORPORATE</v>
          </cell>
        </row>
        <row r="242">
          <cell r="A242">
            <v>90124101</v>
          </cell>
          <cell r="D242" t="str">
            <v>IS &amp; IT</v>
          </cell>
          <cell r="E242" t="str">
            <v>CORPORATE</v>
          </cell>
        </row>
        <row r="243">
          <cell r="A243">
            <v>80322401</v>
          </cell>
          <cell r="D243" t="str">
            <v>LAS FIESTAS - OFFICE</v>
          </cell>
          <cell r="E243" t="str">
            <v>OFFICES</v>
          </cell>
        </row>
        <row r="244">
          <cell r="A244">
            <v>81322401</v>
          </cell>
          <cell r="D244" t="str">
            <v>LAS FIESTAS - OFFICE</v>
          </cell>
          <cell r="E244" t="str">
            <v>OFFICES</v>
          </cell>
        </row>
        <row r="245">
          <cell r="A245">
            <v>80222501</v>
          </cell>
          <cell r="D245" t="str">
            <v>LAS FIESTAS - RETAIL</v>
          </cell>
          <cell r="E245" t="str">
            <v>MALLS</v>
          </cell>
        </row>
        <row r="246">
          <cell r="A246">
            <v>81222501</v>
          </cell>
          <cell r="D246" t="str">
            <v>LAS FIESTAS - RETAIL</v>
          </cell>
          <cell r="E246" t="str">
            <v>MALLS</v>
          </cell>
        </row>
        <row r="247">
          <cell r="A247">
            <v>80123101</v>
          </cell>
          <cell r="D247" t="str">
            <v>LEGAL</v>
          </cell>
          <cell r="E247" t="str">
            <v>CORPORATE</v>
          </cell>
        </row>
        <row r="248">
          <cell r="A248">
            <v>81123101</v>
          </cell>
          <cell r="D248" t="str">
            <v>LEGAL</v>
          </cell>
          <cell r="E248" t="str">
            <v>CORPORATE</v>
          </cell>
        </row>
        <row r="249">
          <cell r="A249">
            <v>90123101</v>
          </cell>
          <cell r="D249" t="str">
            <v>LEGAL</v>
          </cell>
          <cell r="E249" t="str">
            <v>CORPORATE</v>
          </cell>
        </row>
        <row r="250">
          <cell r="A250">
            <v>80324109</v>
          </cell>
          <cell r="D250" t="str">
            <v>LLEIDA - RESI LEASIN</v>
          </cell>
          <cell r="E250" t="str">
            <v>RESIDENTIAL</v>
          </cell>
        </row>
        <row r="251">
          <cell r="A251">
            <v>80331104</v>
          </cell>
          <cell r="D251" t="str">
            <v>LLEIDA TOWER</v>
          </cell>
          <cell r="E251" t="str">
            <v>RESIDENTIAL</v>
          </cell>
        </row>
        <row r="252">
          <cell r="A252">
            <v>80324106</v>
          </cell>
          <cell r="D252" t="str">
            <v>MAJORCA - RESI LEASI</v>
          </cell>
          <cell r="E252" t="str">
            <v>RESIDENTIAL</v>
          </cell>
        </row>
        <row r="253">
          <cell r="A253">
            <v>80331101</v>
          </cell>
          <cell r="D253" t="str">
            <v>MAJORCA RESIDENCES</v>
          </cell>
          <cell r="E253" t="str">
            <v>RESIDENTIAL</v>
          </cell>
        </row>
        <row r="254">
          <cell r="A254">
            <v>80111201</v>
          </cell>
          <cell r="D254" t="str">
            <v>MANCOM &amp; STAFF</v>
          </cell>
          <cell r="E254" t="str">
            <v>CORPORATE</v>
          </cell>
        </row>
        <row r="255">
          <cell r="A255">
            <v>81111201</v>
          </cell>
          <cell r="D255" t="str">
            <v>MANCOM &amp; STAFF</v>
          </cell>
          <cell r="E255" t="str">
            <v>CORPORATE</v>
          </cell>
        </row>
        <row r="256">
          <cell r="A256">
            <v>90111201</v>
          </cell>
          <cell r="D256" t="str">
            <v>MANCOM &amp; STAFF</v>
          </cell>
          <cell r="E256" t="str">
            <v>CORPORATE</v>
          </cell>
        </row>
        <row r="257">
          <cell r="A257">
            <v>80336101</v>
          </cell>
          <cell r="D257" t="str">
            <v>MAPLE TOWER</v>
          </cell>
          <cell r="E257" t="str">
            <v>RESIDENTIAL</v>
          </cell>
        </row>
        <row r="258">
          <cell r="A258">
            <v>80332104</v>
          </cell>
          <cell r="D258" t="str">
            <v>MARQUIS  TOWER</v>
          </cell>
          <cell r="E258" t="str">
            <v>RESIDENTIAL</v>
          </cell>
        </row>
        <row r="259">
          <cell r="A259">
            <v>80225504</v>
          </cell>
          <cell r="D259" t="str">
            <v>MAVEN RETAIL</v>
          </cell>
          <cell r="E259" t="str">
            <v>MALLS</v>
          </cell>
        </row>
        <row r="260">
          <cell r="A260">
            <v>81225504</v>
          </cell>
          <cell r="D260" t="str">
            <v>MAVEN RETAIL</v>
          </cell>
          <cell r="E260" t="str">
            <v>MALLS</v>
          </cell>
        </row>
        <row r="261">
          <cell r="A261">
            <v>80332201</v>
          </cell>
          <cell r="D261" t="str">
            <v>MAVEN TOWER</v>
          </cell>
          <cell r="E261" t="str">
            <v>RESIDENTIAL</v>
          </cell>
        </row>
        <row r="262">
          <cell r="A262">
            <v>80332202</v>
          </cell>
          <cell r="D262" t="str">
            <v>MAVEN TOWER 2</v>
          </cell>
          <cell r="E262" t="str">
            <v>RESIDENTIAL</v>
          </cell>
        </row>
        <row r="263">
          <cell r="A263">
            <v>80221208</v>
          </cell>
          <cell r="D263" t="str">
            <v>MCKINLEY ARCADE</v>
          </cell>
          <cell r="E263" t="str">
            <v>MALLS</v>
          </cell>
        </row>
        <row r="264">
          <cell r="A264">
            <v>81221208</v>
          </cell>
          <cell r="D264" t="str">
            <v>MCKINLEY ARCADE</v>
          </cell>
          <cell r="E264" t="str">
            <v>MALLS</v>
          </cell>
        </row>
        <row r="265">
          <cell r="A265">
            <v>80221401</v>
          </cell>
          <cell r="D265" t="str">
            <v>MCKINLEY BUILDING</v>
          </cell>
          <cell r="E265" t="str">
            <v>MALLS</v>
          </cell>
        </row>
        <row r="266">
          <cell r="A266">
            <v>81221401</v>
          </cell>
          <cell r="D266" t="str">
            <v>MCKINLEY BUILDING</v>
          </cell>
          <cell r="E266" t="str">
            <v>MALLS</v>
          </cell>
        </row>
        <row r="267">
          <cell r="A267">
            <v>80221301</v>
          </cell>
          <cell r="D267" t="str">
            <v>MISSOURI BUILDING</v>
          </cell>
          <cell r="E267" t="str">
            <v>MALLS</v>
          </cell>
        </row>
        <row r="268">
          <cell r="A268">
            <v>81221301</v>
          </cell>
          <cell r="D268" t="str">
            <v>MISSOURI BUILDING</v>
          </cell>
          <cell r="E268" t="str">
            <v>MALLS</v>
          </cell>
        </row>
        <row r="269">
          <cell r="A269">
            <v>81221702</v>
          </cell>
          <cell r="D269" t="str">
            <v>NEW VMALL PRKNG BLDG</v>
          </cell>
          <cell r="E269" t="str">
            <v>MALLS</v>
          </cell>
        </row>
        <row r="270">
          <cell r="A270">
            <v>80221501</v>
          </cell>
          <cell r="D270" t="str">
            <v>O SQUARE 1</v>
          </cell>
          <cell r="E270" t="str">
            <v>MALLS</v>
          </cell>
        </row>
        <row r="271">
          <cell r="A271">
            <v>81221501</v>
          </cell>
          <cell r="D271" t="str">
            <v>O SQUARE 1</v>
          </cell>
          <cell r="E271" t="str">
            <v>MALLS</v>
          </cell>
        </row>
        <row r="272">
          <cell r="A272">
            <v>80221502</v>
          </cell>
          <cell r="D272" t="str">
            <v>O SQUARE 2A</v>
          </cell>
          <cell r="E272" t="str">
            <v>MALLS</v>
          </cell>
        </row>
        <row r="273">
          <cell r="A273">
            <v>81221502</v>
          </cell>
          <cell r="D273" t="str">
            <v>O SQUARE 2A</v>
          </cell>
          <cell r="E273" t="str">
            <v>MALLS</v>
          </cell>
        </row>
        <row r="274">
          <cell r="A274">
            <v>80221503</v>
          </cell>
          <cell r="D274" t="str">
            <v>O SQUARE 2B</v>
          </cell>
          <cell r="E274" t="str">
            <v>MALLS</v>
          </cell>
        </row>
        <row r="275">
          <cell r="A275">
            <v>81221503</v>
          </cell>
          <cell r="D275" t="str">
            <v>O SQUARE 2B</v>
          </cell>
          <cell r="E275" t="str">
            <v>MALLS</v>
          </cell>
        </row>
        <row r="276">
          <cell r="A276">
            <v>81226102</v>
          </cell>
          <cell r="D276" t="str">
            <v>O-PARKLANE PARKING</v>
          </cell>
          <cell r="E276" t="str">
            <v>ESTATES</v>
          </cell>
        </row>
        <row r="277">
          <cell r="A277">
            <v>81226101</v>
          </cell>
          <cell r="D277" t="str">
            <v>O-PARKLANE RETAIL</v>
          </cell>
          <cell r="E277" t="str">
            <v>ESTATES</v>
          </cell>
        </row>
        <row r="278">
          <cell r="A278">
            <v>80321202</v>
          </cell>
          <cell r="D278" t="str">
            <v>OB CARPARK - OFFICE</v>
          </cell>
          <cell r="E278" t="str">
            <v>OFFICES</v>
          </cell>
        </row>
        <row r="279">
          <cell r="A279">
            <v>81321202</v>
          </cell>
          <cell r="D279" t="str">
            <v>OB CARPARK - OFFICE</v>
          </cell>
          <cell r="E279" t="str">
            <v>OFFICES</v>
          </cell>
        </row>
        <row r="280">
          <cell r="A280">
            <v>80226101</v>
          </cell>
          <cell r="D280" t="str">
            <v>OB PARKLANE</v>
          </cell>
          <cell r="E280" t="str">
            <v>ESTATES</v>
          </cell>
        </row>
        <row r="281">
          <cell r="A281">
            <v>80226102</v>
          </cell>
          <cell r="D281" t="str">
            <v>OB PARKLANE- PARKING</v>
          </cell>
          <cell r="E281" t="str">
            <v>ESTATES</v>
          </cell>
        </row>
        <row r="282">
          <cell r="A282">
            <v>80321101</v>
          </cell>
          <cell r="D282" t="str">
            <v>OC DEVELOPABLE</v>
          </cell>
          <cell r="E282" t="str">
            <v>ESTATES</v>
          </cell>
        </row>
        <row r="283">
          <cell r="A283">
            <v>81321101</v>
          </cell>
          <cell r="D283" t="str">
            <v>OC DEVELOPABLE</v>
          </cell>
          <cell r="E283" t="str">
            <v>ESTATES</v>
          </cell>
        </row>
        <row r="284">
          <cell r="A284">
            <v>80321199</v>
          </cell>
          <cell r="D284" t="str">
            <v>OC ESTATE PARKING</v>
          </cell>
          <cell r="E284" t="str">
            <v>ESTATES</v>
          </cell>
        </row>
        <row r="285">
          <cell r="A285">
            <v>81321199</v>
          </cell>
          <cell r="D285" t="str">
            <v>OC ESTATE PARKING</v>
          </cell>
          <cell r="E285" t="str">
            <v>ESTATES</v>
          </cell>
        </row>
        <row r="286">
          <cell r="A286">
            <v>80321102</v>
          </cell>
          <cell r="D286" t="str">
            <v>OC LAND LEASE</v>
          </cell>
          <cell r="E286" t="str">
            <v>ESTATES</v>
          </cell>
        </row>
        <row r="287">
          <cell r="A287">
            <v>81321102</v>
          </cell>
          <cell r="D287" t="str">
            <v>OC LAND LEASE</v>
          </cell>
          <cell r="E287" t="str">
            <v>ESTATES</v>
          </cell>
        </row>
        <row r="288">
          <cell r="A288" t="str">
            <v>803211CC</v>
          </cell>
          <cell r="D288" t="str">
            <v>OC LEASING - COMMON</v>
          </cell>
          <cell r="E288" t="str">
            <v>ESTATES</v>
          </cell>
        </row>
        <row r="289">
          <cell r="A289" t="str">
            <v>813211CC</v>
          </cell>
          <cell r="D289" t="str">
            <v>OC LEASING - COMMON</v>
          </cell>
          <cell r="E289" t="str">
            <v>ESTATES</v>
          </cell>
        </row>
        <row r="290">
          <cell r="A290" t="str">
            <v>803341CC</v>
          </cell>
          <cell r="D290" t="str">
            <v>OC RESL - COMMON</v>
          </cell>
          <cell r="E290" t="str">
            <v>RESIDENTIAL</v>
          </cell>
        </row>
        <row r="291">
          <cell r="A291">
            <v>81111102</v>
          </cell>
          <cell r="D291" t="str">
            <v>OCC ESTANCIA HQ</v>
          </cell>
          <cell r="E291" t="str">
            <v>CORPORATE</v>
          </cell>
        </row>
        <row r="292">
          <cell r="A292">
            <v>80111101</v>
          </cell>
          <cell r="D292" t="str">
            <v>OCLP-COMMON</v>
          </cell>
          <cell r="E292" t="str">
            <v>CORPORATE</v>
          </cell>
        </row>
        <row r="293">
          <cell r="A293" t="str">
            <v>803221CC</v>
          </cell>
          <cell r="D293" t="str">
            <v>OE - COMMON</v>
          </cell>
          <cell r="E293" t="str">
            <v>ESTATES</v>
          </cell>
        </row>
        <row r="294">
          <cell r="A294" t="str">
            <v>813221CC</v>
          </cell>
          <cell r="D294" t="str">
            <v>OE - COMMON</v>
          </cell>
          <cell r="E294" t="str">
            <v>ESTATES</v>
          </cell>
        </row>
        <row r="295">
          <cell r="A295">
            <v>80322501</v>
          </cell>
          <cell r="D295" t="str">
            <v>OE - OFFICE 1</v>
          </cell>
          <cell r="E295" t="str">
            <v>OFFICES</v>
          </cell>
        </row>
        <row r="296">
          <cell r="A296">
            <v>81322501</v>
          </cell>
          <cell r="D296" t="str">
            <v>OE - OFFICE 1</v>
          </cell>
          <cell r="E296" t="str">
            <v>OFFICES</v>
          </cell>
        </row>
        <row r="297">
          <cell r="A297">
            <v>81222601</v>
          </cell>
          <cell r="D297" t="str">
            <v>OE - RETAIL PHASE 1</v>
          </cell>
          <cell r="E297" t="str">
            <v>MALLS</v>
          </cell>
        </row>
        <row r="298">
          <cell r="A298">
            <v>80322101</v>
          </cell>
          <cell r="D298" t="str">
            <v>OE DEVELOPABLE</v>
          </cell>
          <cell r="E298" t="str">
            <v>ESTATES</v>
          </cell>
        </row>
        <row r="299">
          <cell r="A299">
            <v>81322101</v>
          </cell>
          <cell r="D299" t="str">
            <v>OE DEVELOPABLE</v>
          </cell>
          <cell r="E299" t="str">
            <v>ESTATES</v>
          </cell>
        </row>
        <row r="300">
          <cell r="A300">
            <v>80322199</v>
          </cell>
          <cell r="D300" t="str">
            <v>OE ESTATE PARKING</v>
          </cell>
          <cell r="E300" t="str">
            <v>ESTATES</v>
          </cell>
        </row>
        <row r="301">
          <cell r="A301">
            <v>81322199</v>
          </cell>
          <cell r="D301" t="str">
            <v>OE ESTATE PARKING</v>
          </cell>
          <cell r="E301" t="str">
            <v>ESTATES</v>
          </cell>
        </row>
        <row r="302">
          <cell r="A302">
            <v>80222402</v>
          </cell>
          <cell r="D302" t="str">
            <v>OE LAND - PARKING</v>
          </cell>
          <cell r="E302" t="str">
            <v>ESTATES</v>
          </cell>
        </row>
        <row r="303">
          <cell r="A303">
            <v>80222401</v>
          </cell>
          <cell r="D303" t="str">
            <v>OE LAND - RETAIL</v>
          </cell>
          <cell r="E303" t="str">
            <v>ESTATES</v>
          </cell>
        </row>
        <row r="304">
          <cell r="A304">
            <v>81222401</v>
          </cell>
          <cell r="D304" t="str">
            <v>OE LAND - RETAIL</v>
          </cell>
          <cell r="E304" t="str">
            <v>ESTATES</v>
          </cell>
        </row>
        <row r="305">
          <cell r="A305">
            <v>80322102</v>
          </cell>
          <cell r="D305" t="str">
            <v>OE LAND LEASE</v>
          </cell>
          <cell r="E305" t="str">
            <v>ESTATES</v>
          </cell>
        </row>
        <row r="306">
          <cell r="A306">
            <v>81322102</v>
          </cell>
          <cell r="D306" t="str">
            <v>OE LAND LEASE</v>
          </cell>
          <cell r="E306" t="str">
            <v>ESTATES</v>
          </cell>
        </row>
        <row r="307">
          <cell r="A307">
            <v>81222402</v>
          </cell>
          <cell r="D307" t="str">
            <v>OE LAND PARKING</v>
          </cell>
          <cell r="E307" t="str">
            <v>ESTATES</v>
          </cell>
        </row>
        <row r="308">
          <cell r="A308">
            <v>81222701</v>
          </cell>
          <cell r="D308" t="str">
            <v>OE MALL PHASE 1</v>
          </cell>
          <cell r="E308" t="str">
            <v>MALLS</v>
          </cell>
        </row>
        <row r="309">
          <cell r="A309">
            <v>80313102</v>
          </cell>
          <cell r="D309" t="str">
            <v>OFFICE LEASING</v>
          </cell>
          <cell r="E309" t="str">
            <v>CORPORATE</v>
          </cell>
        </row>
        <row r="310">
          <cell r="A310">
            <v>81313102</v>
          </cell>
          <cell r="D310" t="str">
            <v>OFFICE LEASING</v>
          </cell>
          <cell r="E310" t="str">
            <v>CORPORATE</v>
          </cell>
        </row>
        <row r="311">
          <cell r="A311">
            <v>90313102</v>
          </cell>
          <cell r="D311" t="str">
            <v>OFFICE LEASING</v>
          </cell>
          <cell r="E311" t="str">
            <v>CORPORATE</v>
          </cell>
        </row>
        <row r="312">
          <cell r="A312">
            <v>80312105</v>
          </cell>
          <cell r="D312" t="str">
            <v>OFFICE LEASING FINAN</v>
          </cell>
          <cell r="E312" t="str">
            <v>CORPORATE</v>
          </cell>
        </row>
        <row r="313">
          <cell r="A313">
            <v>81312105</v>
          </cell>
          <cell r="D313" t="str">
            <v>OFFICE LEASING FINAN</v>
          </cell>
          <cell r="E313" t="str">
            <v>CORPORATE</v>
          </cell>
        </row>
        <row r="314">
          <cell r="A314">
            <v>90312105</v>
          </cell>
          <cell r="D314" t="str">
            <v>OFFICE LEASING FINAN</v>
          </cell>
          <cell r="E314" t="str">
            <v>CORPORATE</v>
          </cell>
        </row>
        <row r="315">
          <cell r="A315">
            <v>80111204</v>
          </cell>
          <cell r="D315" t="str">
            <v>OFFICE OF THE CFO</v>
          </cell>
          <cell r="E315" t="str">
            <v>CORPORATE</v>
          </cell>
        </row>
        <row r="316">
          <cell r="A316">
            <v>81111204</v>
          </cell>
          <cell r="D316" t="str">
            <v>OFFICE OF THE CFO</v>
          </cell>
          <cell r="E316" t="str">
            <v>CORPORATE</v>
          </cell>
        </row>
        <row r="317">
          <cell r="A317">
            <v>90111204</v>
          </cell>
          <cell r="D317" t="str">
            <v>OFFICE OF THE CFO</v>
          </cell>
          <cell r="E317" t="str">
            <v>CORPORATE</v>
          </cell>
        </row>
        <row r="318">
          <cell r="A318">
            <v>80111206</v>
          </cell>
          <cell r="D318" t="str">
            <v>OFFICE OF THE COO</v>
          </cell>
          <cell r="E318" t="str">
            <v>CORPORATE</v>
          </cell>
        </row>
        <row r="319">
          <cell r="A319">
            <v>81111206</v>
          </cell>
          <cell r="D319" t="str">
            <v>OFFICE OF THE COO</v>
          </cell>
          <cell r="E319" t="str">
            <v>CORPORATE</v>
          </cell>
        </row>
        <row r="320">
          <cell r="A320">
            <v>90111206</v>
          </cell>
          <cell r="D320" t="str">
            <v>OFFICE OF THE COO</v>
          </cell>
          <cell r="E320" t="str">
            <v>CORPORATE</v>
          </cell>
        </row>
        <row r="321">
          <cell r="A321">
            <v>80111203</v>
          </cell>
          <cell r="D321" t="str">
            <v>OFFICE OF THE PRES.</v>
          </cell>
          <cell r="E321" t="str">
            <v>CORPORATE</v>
          </cell>
        </row>
        <row r="322">
          <cell r="A322">
            <v>81111203</v>
          </cell>
          <cell r="D322" t="str">
            <v>OFFICE OF THE PRES.</v>
          </cell>
          <cell r="E322" t="str">
            <v>CORPORATE</v>
          </cell>
        </row>
        <row r="323">
          <cell r="A323">
            <v>90111203</v>
          </cell>
          <cell r="D323" t="str">
            <v>OFFICE OF THE PRES.</v>
          </cell>
          <cell r="E323" t="str">
            <v>CORPORATE</v>
          </cell>
        </row>
        <row r="324">
          <cell r="A324">
            <v>80315102</v>
          </cell>
          <cell r="D324" t="str">
            <v>OFFICE/ESTATES BD/PD</v>
          </cell>
          <cell r="E324" t="str">
            <v>CORPORATE</v>
          </cell>
        </row>
        <row r="325">
          <cell r="A325">
            <v>81315102</v>
          </cell>
          <cell r="D325" t="str">
            <v>OFFICE/ESTATES BD/PD</v>
          </cell>
          <cell r="E325" t="str">
            <v>CORPORATE</v>
          </cell>
        </row>
        <row r="326">
          <cell r="A326">
            <v>90315102</v>
          </cell>
          <cell r="D326" t="str">
            <v>OFFICE/ESTATES BD/PD</v>
          </cell>
          <cell r="E326" t="str">
            <v>CORPORATE</v>
          </cell>
        </row>
        <row r="327">
          <cell r="A327">
            <v>80319202</v>
          </cell>
          <cell r="D327" t="str">
            <v>OFFICES OPERATIONS</v>
          </cell>
          <cell r="E327" t="str">
            <v>CORPORATE</v>
          </cell>
        </row>
        <row r="328">
          <cell r="A328">
            <v>81319202</v>
          </cell>
          <cell r="D328" t="str">
            <v>OFFICES OPERATIONS</v>
          </cell>
          <cell r="E328" t="str">
            <v>CORPORATE</v>
          </cell>
        </row>
        <row r="329">
          <cell r="A329">
            <v>90319202</v>
          </cell>
          <cell r="D329" t="str">
            <v>OFFICES OPERATIONS</v>
          </cell>
          <cell r="E329" t="str">
            <v>CORPORATE</v>
          </cell>
        </row>
        <row r="330">
          <cell r="A330">
            <v>90111101</v>
          </cell>
          <cell r="D330" t="str">
            <v>OHI-COMMON</v>
          </cell>
          <cell r="E330" t="str">
            <v>CORPORATE</v>
          </cell>
        </row>
        <row r="331">
          <cell r="A331">
            <v>80334106</v>
          </cell>
          <cell r="D331" t="str">
            <v>OLIN AT JADE DRIVE</v>
          </cell>
          <cell r="E331" t="str">
            <v>RESIDENTIAL</v>
          </cell>
        </row>
        <row r="332">
          <cell r="A332">
            <v>80212102</v>
          </cell>
          <cell r="D332" t="str">
            <v>OMD B&amp;C</v>
          </cell>
          <cell r="E332" t="str">
            <v>CORPORATE</v>
          </cell>
        </row>
        <row r="333">
          <cell r="A333">
            <v>81212102</v>
          </cell>
          <cell r="D333" t="str">
            <v>OMD B&amp;C</v>
          </cell>
          <cell r="E333" t="str">
            <v>CORPORATE</v>
          </cell>
        </row>
        <row r="334">
          <cell r="A334">
            <v>90212102</v>
          </cell>
          <cell r="D334" t="str">
            <v>OMD B&amp;C</v>
          </cell>
          <cell r="E334" t="str">
            <v>CORPORATE</v>
          </cell>
        </row>
        <row r="335">
          <cell r="A335">
            <v>80315101</v>
          </cell>
          <cell r="D335" t="str">
            <v>OMD BUS DEV/PROJ DEV</v>
          </cell>
          <cell r="E335" t="str">
            <v>CORPORATE</v>
          </cell>
        </row>
        <row r="336">
          <cell r="A336">
            <v>81315101</v>
          </cell>
          <cell r="D336" t="str">
            <v>OMD BUS DEV/PROJ DEV</v>
          </cell>
          <cell r="E336" t="str">
            <v>CORPORATE</v>
          </cell>
        </row>
        <row r="337">
          <cell r="A337">
            <v>90315101</v>
          </cell>
          <cell r="D337" t="str">
            <v>OMD BUS DEV/PROJ DEV</v>
          </cell>
          <cell r="E337" t="str">
            <v>CORPORATE</v>
          </cell>
        </row>
        <row r="338">
          <cell r="A338">
            <v>80212101</v>
          </cell>
          <cell r="D338" t="str">
            <v>OMD F&amp;A</v>
          </cell>
          <cell r="E338" t="str">
            <v>CORPORATE</v>
          </cell>
        </row>
        <row r="339">
          <cell r="A339">
            <v>81212101</v>
          </cell>
          <cell r="D339" t="str">
            <v>OMD F&amp;A</v>
          </cell>
          <cell r="E339" t="str">
            <v>CORPORATE</v>
          </cell>
        </row>
        <row r="340">
          <cell r="A340">
            <v>90212101</v>
          </cell>
          <cell r="D340" t="str">
            <v>OMD F&amp;A</v>
          </cell>
          <cell r="E340" t="str">
            <v>CORPORATE</v>
          </cell>
        </row>
        <row r="341">
          <cell r="A341">
            <v>80212104</v>
          </cell>
          <cell r="D341" t="str">
            <v>OMD FINANCE</v>
          </cell>
          <cell r="E341" t="str">
            <v>CORPORATE</v>
          </cell>
        </row>
        <row r="342">
          <cell r="A342">
            <v>81212104</v>
          </cell>
          <cell r="D342" t="str">
            <v>OMD FINANCE</v>
          </cell>
          <cell r="E342" t="str">
            <v>CORPORATE</v>
          </cell>
        </row>
        <row r="343">
          <cell r="A343">
            <v>90212104</v>
          </cell>
          <cell r="D343" t="str">
            <v>OMD FINANCE</v>
          </cell>
          <cell r="E343" t="str">
            <v>CORPORATE</v>
          </cell>
        </row>
        <row r="344">
          <cell r="A344">
            <v>80214101</v>
          </cell>
          <cell r="D344" t="str">
            <v>OMD LEASING</v>
          </cell>
          <cell r="E344" t="str">
            <v>CORPORATE</v>
          </cell>
        </row>
        <row r="345">
          <cell r="A345">
            <v>81214101</v>
          </cell>
          <cell r="D345" t="str">
            <v>OMD LEASING</v>
          </cell>
          <cell r="E345" t="str">
            <v>CORPORATE</v>
          </cell>
        </row>
        <row r="346">
          <cell r="A346">
            <v>90214101</v>
          </cell>
          <cell r="D346" t="str">
            <v>OMD LEASING</v>
          </cell>
          <cell r="E346" t="str">
            <v>CORPORATE</v>
          </cell>
        </row>
        <row r="347">
          <cell r="A347">
            <v>80213102</v>
          </cell>
          <cell r="D347" t="str">
            <v>OMD MARKETING</v>
          </cell>
          <cell r="E347" t="str">
            <v>CORPORATE</v>
          </cell>
        </row>
        <row r="348">
          <cell r="A348">
            <v>81213102</v>
          </cell>
          <cell r="D348" t="str">
            <v>OMD MARKETING</v>
          </cell>
          <cell r="E348" t="str">
            <v>CORPORATE</v>
          </cell>
        </row>
        <row r="349">
          <cell r="A349">
            <v>90213102</v>
          </cell>
          <cell r="D349" t="str">
            <v>OMD MARKETING</v>
          </cell>
          <cell r="E349" t="str">
            <v>CORPORATE</v>
          </cell>
        </row>
        <row r="350">
          <cell r="A350">
            <v>80319101</v>
          </cell>
          <cell r="D350" t="str">
            <v>OMD OPERATIONS</v>
          </cell>
          <cell r="E350" t="str">
            <v>CORPORATE</v>
          </cell>
        </row>
        <row r="351">
          <cell r="A351">
            <v>81319101</v>
          </cell>
          <cell r="D351" t="str">
            <v>OMD OPERATIONS</v>
          </cell>
          <cell r="E351" t="str">
            <v>CORPORATE</v>
          </cell>
        </row>
        <row r="352">
          <cell r="A352">
            <v>90319101</v>
          </cell>
          <cell r="D352" t="str">
            <v>OMD OPERATIONS</v>
          </cell>
          <cell r="E352" t="str">
            <v>CORPORATE</v>
          </cell>
        </row>
        <row r="353">
          <cell r="A353">
            <v>80213101</v>
          </cell>
          <cell r="D353" t="str">
            <v>OMD TRADE FAIRS/EXHI</v>
          </cell>
          <cell r="E353" t="str">
            <v>CORPORATE</v>
          </cell>
        </row>
        <row r="354">
          <cell r="A354">
            <v>81213101</v>
          </cell>
          <cell r="D354" t="str">
            <v>OMD TRADE FAIRS/EXHI</v>
          </cell>
          <cell r="E354" t="str">
            <v>CORPORATE</v>
          </cell>
        </row>
        <row r="355">
          <cell r="A355">
            <v>90213101</v>
          </cell>
          <cell r="D355" t="str">
            <v>OMD TRADE FAIRS/EXHI</v>
          </cell>
          <cell r="E355" t="str">
            <v>CORPORATE</v>
          </cell>
        </row>
        <row r="356">
          <cell r="A356">
            <v>80212103</v>
          </cell>
          <cell r="D356" t="str">
            <v>OMD TREASURY</v>
          </cell>
          <cell r="E356" t="str">
            <v>CORPORATE</v>
          </cell>
        </row>
        <row r="357">
          <cell r="A357">
            <v>81212103</v>
          </cell>
          <cell r="D357" t="str">
            <v>OMD TREASURY</v>
          </cell>
          <cell r="E357" t="str">
            <v>CORPORATE</v>
          </cell>
        </row>
        <row r="358">
          <cell r="A358">
            <v>90212103</v>
          </cell>
          <cell r="D358" t="str">
            <v>OMD TREASURY</v>
          </cell>
          <cell r="E358" t="str">
            <v>CORPORATE</v>
          </cell>
        </row>
        <row r="359">
          <cell r="A359">
            <v>80334101</v>
          </cell>
          <cell r="D359" t="str">
            <v>OPAL RESIDENCES</v>
          </cell>
          <cell r="E359" t="str">
            <v>RESIDENTIAL</v>
          </cell>
        </row>
        <row r="360">
          <cell r="A360">
            <v>80321201</v>
          </cell>
          <cell r="D360" t="str">
            <v>ORTIGAS BUILDING</v>
          </cell>
          <cell r="E360" t="str">
            <v>OFFICES</v>
          </cell>
        </row>
        <row r="361">
          <cell r="A361">
            <v>81321201</v>
          </cell>
          <cell r="D361" t="str">
            <v>ORTIGAS BUILDING</v>
          </cell>
          <cell r="E361" t="str">
            <v>OFFICES</v>
          </cell>
        </row>
        <row r="362">
          <cell r="A362">
            <v>80211101</v>
          </cell>
          <cell r="D362" t="str">
            <v>ORTIGAS MALLS DIV</v>
          </cell>
          <cell r="E362" t="str">
            <v>CORPORATE</v>
          </cell>
        </row>
        <row r="363">
          <cell r="A363">
            <v>81211101</v>
          </cell>
          <cell r="D363" t="str">
            <v>ORTIGAS MALLS DIV</v>
          </cell>
          <cell r="E363" t="str">
            <v>CORPORATE</v>
          </cell>
        </row>
        <row r="364">
          <cell r="A364">
            <v>90211101</v>
          </cell>
          <cell r="D364" t="str">
            <v>ORTIGAS MALLS DIV</v>
          </cell>
          <cell r="E364" t="str">
            <v>CORPORATE</v>
          </cell>
        </row>
        <row r="365">
          <cell r="A365">
            <v>80321401</v>
          </cell>
          <cell r="D365" t="str">
            <v>ORTIGAS PARK</v>
          </cell>
          <cell r="E365" t="str">
            <v>ESTATES</v>
          </cell>
        </row>
        <row r="366">
          <cell r="A366">
            <v>81321401</v>
          </cell>
          <cell r="D366" t="str">
            <v>ORTIGAS PARK</v>
          </cell>
          <cell r="E366" t="str">
            <v>ESTATES</v>
          </cell>
        </row>
        <row r="367">
          <cell r="A367">
            <v>80325102</v>
          </cell>
          <cell r="D367" t="str">
            <v>PHASE 0 - OFFICE</v>
          </cell>
          <cell r="E367" t="str">
            <v>OFFICES</v>
          </cell>
        </row>
        <row r="368">
          <cell r="A368">
            <v>81325102</v>
          </cell>
          <cell r="D368" t="str">
            <v>PHASE 0 - OFFICE</v>
          </cell>
          <cell r="E368" t="str">
            <v>OFFICES</v>
          </cell>
        </row>
        <row r="369">
          <cell r="A369" t="str">
            <v>812216CC</v>
          </cell>
          <cell r="D369" t="str">
            <v>PHASE 2B+3C - COMMON</v>
          </cell>
          <cell r="E369" t="str">
            <v>MALLS</v>
          </cell>
        </row>
        <row r="370">
          <cell r="A370" t="str">
            <v>802216CC</v>
          </cell>
          <cell r="D370" t="str">
            <v>PHASE 2B+3C COMMON</v>
          </cell>
          <cell r="E370" t="str">
            <v>MALLS</v>
          </cell>
        </row>
        <row r="371">
          <cell r="A371">
            <v>80221702</v>
          </cell>
          <cell r="D371" t="str">
            <v>PHASE 3A+3B RETAIL</v>
          </cell>
          <cell r="E371" t="str">
            <v>MALLS</v>
          </cell>
        </row>
        <row r="372">
          <cell r="A372">
            <v>80325201</v>
          </cell>
          <cell r="D372" t="str">
            <v>PHASE 3A3B - OFFICE</v>
          </cell>
          <cell r="E372" t="str">
            <v>OFFICES</v>
          </cell>
        </row>
        <row r="373">
          <cell r="A373">
            <v>81325201</v>
          </cell>
          <cell r="D373" t="str">
            <v>PHASE 3A3B - OFFICE</v>
          </cell>
          <cell r="E373" t="str">
            <v>OFFICES</v>
          </cell>
        </row>
        <row r="374">
          <cell r="A374">
            <v>80325301</v>
          </cell>
          <cell r="D374" t="str">
            <v>PHASE 4 - OFFICE</v>
          </cell>
          <cell r="E374" t="str">
            <v>OFFICES</v>
          </cell>
        </row>
        <row r="375">
          <cell r="A375">
            <v>81325301</v>
          </cell>
          <cell r="D375" t="str">
            <v>PHASE 4 - OFFICE</v>
          </cell>
          <cell r="E375" t="str">
            <v>OFFICES</v>
          </cell>
        </row>
        <row r="376">
          <cell r="A376">
            <v>80133103</v>
          </cell>
          <cell r="D376" t="str">
            <v>PROCUREMENT</v>
          </cell>
          <cell r="E376" t="str">
            <v>CORPORATE</v>
          </cell>
        </row>
        <row r="377">
          <cell r="A377">
            <v>81133103</v>
          </cell>
          <cell r="D377" t="str">
            <v>PROCUREMENT</v>
          </cell>
          <cell r="E377" t="str">
            <v>CORPORATE</v>
          </cell>
        </row>
        <row r="378">
          <cell r="A378">
            <v>90133103</v>
          </cell>
          <cell r="D378" t="str">
            <v>PROCUREMENT</v>
          </cell>
          <cell r="E378" t="str">
            <v>CORPORATE</v>
          </cell>
        </row>
        <row r="379">
          <cell r="A379">
            <v>80341401</v>
          </cell>
          <cell r="D379" t="str">
            <v>PROECT BRIXTON</v>
          </cell>
          <cell r="E379" t="str">
            <v>ESTATES</v>
          </cell>
        </row>
        <row r="380">
          <cell r="A380" t="str">
            <v>803322CC</v>
          </cell>
          <cell r="D380" t="str">
            <v>PROJECT F - COMMON</v>
          </cell>
          <cell r="E380" t="str">
            <v>RESIDENTIAL</v>
          </cell>
        </row>
        <row r="381">
          <cell r="A381">
            <v>80312103</v>
          </cell>
          <cell r="D381" t="str">
            <v>PROJECT FINANCE</v>
          </cell>
          <cell r="E381" t="str">
            <v>CORPORATE</v>
          </cell>
        </row>
        <row r="382">
          <cell r="A382">
            <v>81312103</v>
          </cell>
          <cell r="D382" t="str">
            <v>PROJECT FINANCE</v>
          </cell>
          <cell r="E382" t="str">
            <v>CORPORATE</v>
          </cell>
        </row>
        <row r="383">
          <cell r="A383">
            <v>90312103</v>
          </cell>
          <cell r="D383" t="str">
            <v>PROJECT FINANCE</v>
          </cell>
          <cell r="E383" t="str">
            <v>CORPORATE</v>
          </cell>
        </row>
        <row r="384">
          <cell r="A384">
            <v>80321501</v>
          </cell>
          <cell r="D384" t="str">
            <v>PROJECT FOJ - OFFICE</v>
          </cell>
          <cell r="E384" t="str">
            <v>OFFICES</v>
          </cell>
        </row>
        <row r="385">
          <cell r="A385">
            <v>81321501</v>
          </cell>
          <cell r="D385" t="str">
            <v>PROJECT FOJ - OFFICE</v>
          </cell>
          <cell r="E385" t="str">
            <v>OFFICES</v>
          </cell>
        </row>
        <row r="386">
          <cell r="A386">
            <v>80226301</v>
          </cell>
          <cell r="D386" t="str">
            <v>PROJECT FOJ - RETAIL</v>
          </cell>
          <cell r="E386" t="str">
            <v>MALLS</v>
          </cell>
        </row>
        <row r="387">
          <cell r="A387">
            <v>81226301</v>
          </cell>
          <cell r="D387" t="str">
            <v>PROJECT FOJ - RETAIL</v>
          </cell>
          <cell r="E387" t="str">
            <v>MALLS</v>
          </cell>
        </row>
        <row r="388">
          <cell r="A388">
            <v>80321103</v>
          </cell>
          <cell r="D388" t="str">
            <v>PROJECT ONE</v>
          </cell>
          <cell r="E388" t="str">
            <v>ESTATES</v>
          </cell>
        </row>
        <row r="389">
          <cell r="A389">
            <v>81321103</v>
          </cell>
          <cell r="D389" t="str">
            <v>PROJECT ONE</v>
          </cell>
          <cell r="E389" t="str">
            <v>ESTATES</v>
          </cell>
        </row>
        <row r="390">
          <cell r="A390">
            <v>80341201</v>
          </cell>
          <cell r="D390" t="str">
            <v>PROJECT STAR A</v>
          </cell>
          <cell r="E390" t="str">
            <v>ESTATES</v>
          </cell>
        </row>
        <row r="391">
          <cell r="A391">
            <v>80221211</v>
          </cell>
          <cell r="D391" t="str">
            <v>PROMENADE</v>
          </cell>
          <cell r="E391" t="str">
            <v>MALLS</v>
          </cell>
        </row>
        <row r="392">
          <cell r="A392">
            <v>81221211</v>
          </cell>
          <cell r="D392" t="str">
            <v>PROMENADE</v>
          </cell>
          <cell r="E392" t="str">
            <v>MALLS</v>
          </cell>
        </row>
        <row r="393">
          <cell r="A393">
            <v>80221210</v>
          </cell>
          <cell r="D393" t="str">
            <v>PROMENADE CINEMA</v>
          </cell>
          <cell r="E393" t="str">
            <v>MALLS</v>
          </cell>
        </row>
        <row r="394">
          <cell r="A394">
            <v>81221210</v>
          </cell>
          <cell r="D394" t="str">
            <v>PROMENADE CINEMA</v>
          </cell>
          <cell r="E394" t="str">
            <v>MALLS</v>
          </cell>
        </row>
        <row r="395">
          <cell r="A395">
            <v>80221212</v>
          </cell>
          <cell r="D395" t="str">
            <v>PROMENADE REELBITES</v>
          </cell>
          <cell r="E395" t="str">
            <v>MALLS</v>
          </cell>
        </row>
        <row r="396">
          <cell r="A396">
            <v>81221212</v>
          </cell>
          <cell r="D396" t="str">
            <v>PROMENADE REELBITES</v>
          </cell>
          <cell r="E396" t="str">
            <v>MALLS</v>
          </cell>
        </row>
        <row r="397">
          <cell r="A397">
            <v>80221209</v>
          </cell>
          <cell r="D397" t="str">
            <v>PROMENADE WALKWAY</v>
          </cell>
          <cell r="E397" t="str">
            <v>MALLS</v>
          </cell>
        </row>
        <row r="398">
          <cell r="A398">
            <v>81221209</v>
          </cell>
          <cell r="D398" t="str">
            <v>PROMENADE WALKWAY</v>
          </cell>
          <cell r="E398" t="str">
            <v>MALLS</v>
          </cell>
        </row>
        <row r="399">
          <cell r="A399">
            <v>80215101</v>
          </cell>
          <cell r="D399" t="str">
            <v>PROPERTY MANAGEMENT</v>
          </cell>
          <cell r="E399" t="str">
            <v>CORPORATE</v>
          </cell>
        </row>
        <row r="400">
          <cell r="A400">
            <v>81215101</v>
          </cell>
          <cell r="D400" t="str">
            <v>PROPERTY MANAGEMENT</v>
          </cell>
          <cell r="E400" t="str">
            <v>CORPORATE</v>
          </cell>
        </row>
        <row r="401">
          <cell r="A401">
            <v>90215101</v>
          </cell>
          <cell r="D401" t="str">
            <v>PROPERTY MANAGEMENT</v>
          </cell>
          <cell r="E401" t="str">
            <v>CORPORATE</v>
          </cell>
        </row>
        <row r="402">
          <cell r="A402">
            <v>80312104</v>
          </cell>
          <cell r="D402" t="str">
            <v>RBU ACCOUNTING</v>
          </cell>
          <cell r="E402" t="str">
            <v>CORPORATE</v>
          </cell>
        </row>
        <row r="403">
          <cell r="A403">
            <v>81312104</v>
          </cell>
          <cell r="D403" t="str">
            <v>RBU ACCOUNTING</v>
          </cell>
          <cell r="E403" t="str">
            <v>CORPORATE</v>
          </cell>
        </row>
        <row r="404">
          <cell r="A404">
            <v>90312104</v>
          </cell>
          <cell r="D404" t="str">
            <v>RBU ACCOUNTING</v>
          </cell>
          <cell r="E404" t="str">
            <v>CORPORATE</v>
          </cell>
        </row>
        <row r="405">
          <cell r="A405">
            <v>80312102</v>
          </cell>
          <cell r="D405" t="str">
            <v>RBU B&amp;C</v>
          </cell>
          <cell r="E405" t="str">
            <v>CORPORATE</v>
          </cell>
        </row>
        <row r="406">
          <cell r="A406">
            <v>81312102</v>
          </cell>
          <cell r="D406" t="str">
            <v>RBU B&amp;C</v>
          </cell>
          <cell r="E406" t="str">
            <v>CORPORATE</v>
          </cell>
        </row>
        <row r="407">
          <cell r="A407">
            <v>90312102</v>
          </cell>
          <cell r="D407" t="str">
            <v>RBU B&amp;C</v>
          </cell>
          <cell r="E407" t="str">
            <v>CORPORATE</v>
          </cell>
        </row>
        <row r="408">
          <cell r="A408">
            <v>80315201</v>
          </cell>
          <cell r="D408" t="str">
            <v>RBU BD/PD</v>
          </cell>
          <cell r="E408" t="str">
            <v>CORPORATE</v>
          </cell>
        </row>
        <row r="409">
          <cell r="A409">
            <v>81315201</v>
          </cell>
          <cell r="D409" t="str">
            <v>RBU BD/PD</v>
          </cell>
          <cell r="E409" t="str">
            <v>CORPORATE</v>
          </cell>
        </row>
        <row r="410">
          <cell r="A410">
            <v>90315201</v>
          </cell>
          <cell r="D410" t="str">
            <v>RBU BD/PD</v>
          </cell>
          <cell r="E410" t="str">
            <v>CORPORATE</v>
          </cell>
        </row>
        <row r="411">
          <cell r="A411">
            <v>80318101</v>
          </cell>
          <cell r="D411" t="str">
            <v>RED SECURITY</v>
          </cell>
          <cell r="E411" t="str">
            <v>CORPORATE</v>
          </cell>
        </row>
        <row r="412">
          <cell r="A412">
            <v>81318101</v>
          </cell>
          <cell r="D412" t="str">
            <v>RED SECURITY</v>
          </cell>
          <cell r="E412" t="str">
            <v>CORPORATE</v>
          </cell>
        </row>
        <row r="413">
          <cell r="A413">
            <v>90318101</v>
          </cell>
          <cell r="D413" t="str">
            <v>RED SECURITY</v>
          </cell>
          <cell r="E413" t="str">
            <v>CORPORATE</v>
          </cell>
        </row>
        <row r="414">
          <cell r="A414">
            <v>80311101</v>
          </cell>
          <cell r="D414" t="str">
            <v>RED-COMMON</v>
          </cell>
          <cell r="E414" t="str">
            <v>CORPORATE</v>
          </cell>
        </row>
        <row r="415">
          <cell r="A415">
            <v>81311101</v>
          </cell>
          <cell r="D415" t="str">
            <v>RED-COMMON</v>
          </cell>
          <cell r="E415" t="str">
            <v>CORPORATE</v>
          </cell>
        </row>
        <row r="416">
          <cell r="A416">
            <v>90311101</v>
          </cell>
          <cell r="D416" t="str">
            <v>RED-COMMON</v>
          </cell>
          <cell r="E416" t="str">
            <v>CORPORATE</v>
          </cell>
        </row>
        <row r="417">
          <cell r="A417">
            <v>80313108</v>
          </cell>
          <cell r="D417" t="str">
            <v>RESI BUSINESS UNIT</v>
          </cell>
          <cell r="E417" t="str">
            <v>CORPORATE</v>
          </cell>
        </row>
        <row r="418">
          <cell r="A418">
            <v>81313108</v>
          </cell>
          <cell r="D418" t="str">
            <v>RESI BUSINESS UNIT</v>
          </cell>
          <cell r="E418" t="str">
            <v>CORPORATE</v>
          </cell>
        </row>
        <row r="419">
          <cell r="A419">
            <v>90313108</v>
          </cell>
          <cell r="D419" t="str">
            <v>RESI BUSINESS UNIT</v>
          </cell>
          <cell r="E419" t="str">
            <v>CORPORATE</v>
          </cell>
        </row>
        <row r="420">
          <cell r="A420">
            <v>80111207</v>
          </cell>
          <cell r="D420" t="str">
            <v>RISK MANAGEMENT</v>
          </cell>
          <cell r="E420" t="str">
            <v>CORPORATE</v>
          </cell>
        </row>
        <row r="421">
          <cell r="A421">
            <v>81111207</v>
          </cell>
          <cell r="D421" t="str">
            <v>RISK MANAGEMENT</v>
          </cell>
          <cell r="E421" t="str">
            <v>CORPORATE</v>
          </cell>
        </row>
        <row r="422">
          <cell r="A422">
            <v>90111207</v>
          </cell>
          <cell r="D422" t="str">
            <v>RISK MANAGEMENT</v>
          </cell>
          <cell r="E422" t="str">
            <v>CORPORATE</v>
          </cell>
        </row>
        <row r="423">
          <cell r="A423">
            <v>80323401</v>
          </cell>
          <cell r="D423" t="str">
            <v>ROYALTON - RESI LEAS</v>
          </cell>
          <cell r="E423" t="str">
            <v>RESIDENTIAL</v>
          </cell>
        </row>
        <row r="424">
          <cell r="A424">
            <v>80225502</v>
          </cell>
          <cell r="D424" t="str">
            <v>ROYALTON RETAIL</v>
          </cell>
          <cell r="E424" t="str">
            <v>MALLS</v>
          </cell>
        </row>
        <row r="425">
          <cell r="A425">
            <v>81225502</v>
          </cell>
          <cell r="D425" t="str">
            <v>ROYALTON RETAIL</v>
          </cell>
          <cell r="E425" t="str">
            <v>MALLS</v>
          </cell>
        </row>
        <row r="426">
          <cell r="A426">
            <v>80332101</v>
          </cell>
          <cell r="D426" t="str">
            <v>ROYALTON TOWER</v>
          </cell>
          <cell r="E426" t="str">
            <v>RESIDENTIAL</v>
          </cell>
        </row>
        <row r="427">
          <cell r="A427">
            <v>80313101</v>
          </cell>
          <cell r="D427" t="str">
            <v>SALES</v>
          </cell>
          <cell r="E427" t="str">
            <v>CORPORATE</v>
          </cell>
        </row>
        <row r="428">
          <cell r="A428">
            <v>81313101</v>
          </cell>
          <cell r="D428" t="str">
            <v>SALES</v>
          </cell>
          <cell r="E428" t="str">
            <v>CORPORATE</v>
          </cell>
        </row>
        <row r="429">
          <cell r="A429">
            <v>90313101</v>
          </cell>
          <cell r="D429" t="str">
            <v>SALES</v>
          </cell>
          <cell r="E429" t="str">
            <v>CORPORATE</v>
          </cell>
        </row>
        <row r="430">
          <cell r="A430">
            <v>80313106</v>
          </cell>
          <cell r="D430" t="str">
            <v>SALES DEVELOPMENT</v>
          </cell>
          <cell r="E430" t="str">
            <v>CORPORATE</v>
          </cell>
        </row>
        <row r="431">
          <cell r="A431">
            <v>81313106</v>
          </cell>
          <cell r="D431" t="str">
            <v>SALES DEVELOPMENT</v>
          </cell>
          <cell r="E431" t="str">
            <v>CORPORATE</v>
          </cell>
        </row>
        <row r="432">
          <cell r="A432">
            <v>90313106</v>
          </cell>
          <cell r="D432" t="str">
            <v>SALES DEVELOPMENT</v>
          </cell>
          <cell r="E432" t="str">
            <v>CORPORATE</v>
          </cell>
        </row>
        <row r="433">
          <cell r="A433">
            <v>80313104</v>
          </cell>
          <cell r="D433" t="str">
            <v>SALES HR</v>
          </cell>
          <cell r="E433" t="str">
            <v>CORPORATE</v>
          </cell>
        </row>
        <row r="434">
          <cell r="A434">
            <v>81313104</v>
          </cell>
          <cell r="D434" t="str">
            <v>SALES HR</v>
          </cell>
          <cell r="E434" t="str">
            <v>CORPORATE</v>
          </cell>
        </row>
        <row r="435">
          <cell r="A435">
            <v>90313104</v>
          </cell>
          <cell r="D435" t="str">
            <v>SALES HR</v>
          </cell>
          <cell r="E435" t="str">
            <v>CORPORATE</v>
          </cell>
        </row>
        <row r="436">
          <cell r="A436">
            <v>80313105</v>
          </cell>
          <cell r="D436" t="str">
            <v>SALES OPERATIONS</v>
          </cell>
          <cell r="E436" t="str">
            <v>CORPORATE</v>
          </cell>
        </row>
        <row r="437">
          <cell r="A437">
            <v>81313105</v>
          </cell>
          <cell r="D437" t="str">
            <v>SALES OPERATIONS</v>
          </cell>
          <cell r="E437" t="str">
            <v>CORPORATE</v>
          </cell>
        </row>
        <row r="438">
          <cell r="A438">
            <v>90313105</v>
          </cell>
          <cell r="D438" t="str">
            <v>SALES OPERATIONS</v>
          </cell>
          <cell r="E438" t="str">
            <v>CORPORATE</v>
          </cell>
        </row>
        <row r="439">
          <cell r="A439">
            <v>80349101</v>
          </cell>
          <cell r="D439" t="str">
            <v>SBU BS - ESTATES (CO</v>
          </cell>
          <cell r="E439" t="str">
            <v>ESTATES</v>
          </cell>
        </row>
        <row r="440">
          <cell r="A440">
            <v>81349101</v>
          </cell>
          <cell r="D440" t="str">
            <v>SBU BS - ESTATES (CO</v>
          </cell>
          <cell r="E440" t="str">
            <v>ESTATES</v>
          </cell>
        </row>
        <row r="441">
          <cell r="A441">
            <v>90349101</v>
          </cell>
          <cell r="D441" t="str">
            <v>SBU BS - ESTATES (CO</v>
          </cell>
          <cell r="E441" t="str">
            <v>ESTATES</v>
          </cell>
        </row>
        <row r="442">
          <cell r="A442">
            <v>80229101</v>
          </cell>
          <cell r="D442" t="str">
            <v>SBU BS - MALLS (COMM</v>
          </cell>
          <cell r="E442" t="str">
            <v>MALLS</v>
          </cell>
        </row>
        <row r="443">
          <cell r="A443">
            <v>81229101</v>
          </cell>
          <cell r="D443" t="str">
            <v>SBU BS - MALLS (COMM</v>
          </cell>
          <cell r="E443" t="str">
            <v>MALLS</v>
          </cell>
        </row>
        <row r="444">
          <cell r="A444">
            <v>90219101</v>
          </cell>
          <cell r="D444" t="str">
            <v>SBU BS - MALLS (COMM</v>
          </cell>
          <cell r="E444" t="str">
            <v>MALLS</v>
          </cell>
        </row>
        <row r="445">
          <cell r="A445">
            <v>80329101</v>
          </cell>
          <cell r="D445" t="str">
            <v>SBU BS - OFFICES (CO</v>
          </cell>
          <cell r="E445" t="str">
            <v>OFFICES</v>
          </cell>
        </row>
        <row r="446">
          <cell r="A446">
            <v>81329101</v>
          </cell>
          <cell r="D446" t="str">
            <v>SBU BS - OFFICES (CO</v>
          </cell>
          <cell r="E446" t="str">
            <v>OFFICES</v>
          </cell>
        </row>
        <row r="447">
          <cell r="A447">
            <v>90329101</v>
          </cell>
          <cell r="D447" t="str">
            <v>SBU BS - OFFICES (CO</v>
          </cell>
          <cell r="E447" t="str">
            <v>OFFICES</v>
          </cell>
        </row>
        <row r="448">
          <cell r="A448">
            <v>80339101</v>
          </cell>
          <cell r="D448" t="str">
            <v>SBU BS - RBU (COMMON</v>
          </cell>
          <cell r="E448" t="str">
            <v>RESIDENTIAL</v>
          </cell>
        </row>
        <row r="449">
          <cell r="A449">
            <v>81339101</v>
          </cell>
          <cell r="D449" t="str">
            <v>SBU BS - RBU (COMMON</v>
          </cell>
          <cell r="E449" t="str">
            <v>RESIDENTIAL</v>
          </cell>
        </row>
        <row r="450">
          <cell r="A450">
            <v>90339101</v>
          </cell>
          <cell r="D450" t="str">
            <v>SBU BS - RBU (COMMON</v>
          </cell>
          <cell r="E450" t="str">
            <v>RESIDENTIAL</v>
          </cell>
        </row>
        <row r="451">
          <cell r="A451" t="str">
            <v>803222CC</v>
          </cell>
          <cell r="D451" t="str">
            <v>SC - COMMON</v>
          </cell>
          <cell r="E451" t="str">
            <v>OFFICES</v>
          </cell>
        </row>
        <row r="452">
          <cell r="A452" t="str">
            <v>813222CC</v>
          </cell>
          <cell r="D452" t="str">
            <v>SC - COMMON</v>
          </cell>
          <cell r="E452" t="str">
            <v>OFFICES</v>
          </cell>
        </row>
        <row r="453">
          <cell r="A453">
            <v>80322201</v>
          </cell>
          <cell r="D453" t="str">
            <v>SC 1 - OFFICE</v>
          </cell>
          <cell r="E453" t="str">
            <v>OFFICES</v>
          </cell>
        </row>
        <row r="454">
          <cell r="A454">
            <v>81322201</v>
          </cell>
          <cell r="D454" t="str">
            <v>SC 1 - OFFICE</v>
          </cell>
          <cell r="E454" t="str">
            <v>OFFICES</v>
          </cell>
        </row>
        <row r="455">
          <cell r="A455">
            <v>80222201</v>
          </cell>
          <cell r="D455" t="str">
            <v>SC 1 - RETAIL</v>
          </cell>
          <cell r="E455" t="str">
            <v>OFFICES</v>
          </cell>
        </row>
        <row r="456">
          <cell r="A456">
            <v>80322209</v>
          </cell>
          <cell r="D456" t="str">
            <v>SC 1 &amp; 1A - PARKING</v>
          </cell>
          <cell r="E456" t="str">
            <v>OFFICES</v>
          </cell>
        </row>
        <row r="457">
          <cell r="A457">
            <v>81322209</v>
          </cell>
          <cell r="D457" t="str">
            <v>SC 1 &amp; 1A - PARKING</v>
          </cell>
          <cell r="E457" t="str">
            <v>OFFICES</v>
          </cell>
        </row>
        <row r="458">
          <cell r="A458">
            <v>81222202</v>
          </cell>
          <cell r="D458" t="str">
            <v>SC 1 PARKING</v>
          </cell>
          <cell r="E458" t="str">
            <v>OFFICES</v>
          </cell>
        </row>
        <row r="459">
          <cell r="A459">
            <v>80322207</v>
          </cell>
          <cell r="D459" t="str">
            <v>SC 2&amp;3 - PARKING</v>
          </cell>
          <cell r="E459" t="str">
            <v>OFFICES</v>
          </cell>
        </row>
        <row r="460">
          <cell r="A460">
            <v>80322208</v>
          </cell>
          <cell r="D460" t="str">
            <v>SC 4 - PARKING</v>
          </cell>
          <cell r="E460" t="str">
            <v>OFFICES</v>
          </cell>
        </row>
        <row r="461">
          <cell r="A461">
            <v>81322208</v>
          </cell>
          <cell r="D461" t="str">
            <v>SC 4 - PARKING</v>
          </cell>
          <cell r="E461" t="str">
            <v>OFFICES</v>
          </cell>
        </row>
        <row r="462">
          <cell r="A462">
            <v>80222202</v>
          </cell>
          <cell r="D462" t="str">
            <v>SC1 - PARKING</v>
          </cell>
          <cell r="E462" t="str">
            <v>OFFICES</v>
          </cell>
        </row>
        <row r="463">
          <cell r="A463">
            <v>81322207</v>
          </cell>
          <cell r="D463" t="str">
            <v>SC2&amp;3 - PARKING</v>
          </cell>
          <cell r="E463" t="str">
            <v>OFFICES</v>
          </cell>
        </row>
        <row r="464">
          <cell r="A464">
            <v>80215105</v>
          </cell>
          <cell r="D464" t="str">
            <v>SECURITY</v>
          </cell>
          <cell r="E464" t="str">
            <v>CORPORATE</v>
          </cell>
        </row>
        <row r="465">
          <cell r="A465">
            <v>81215105</v>
          </cell>
          <cell r="D465" t="str">
            <v>SECURITY</v>
          </cell>
          <cell r="E465" t="str">
            <v>CORPORATE</v>
          </cell>
        </row>
        <row r="466">
          <cell r="A466">
            <v>90215105</v>
          </cell>
          <cell r="D466" t="str">
            <v>SECURITY</v>
          </cell>
          <cell r="E466" t="str">
            <v>CORPORATE</v>
          </cell>
        </row>
        <row r="467">
          <cell r="A467">
            <v>80324108</v>
          </cell>
          <cell r="D467" t="str">
            <v>SEVILLE - RESI LEASI</v>
          </cell>
          <cell r="E467" t="str">
            <v>RESIDENTIAL</v>
          </cell>
        </row>
        <row r="468">
          <cell r="A468">
            <v>80331103</v>
          </cell>
          <cell r="D468" t="str">
            <v>SEVILLE RESIDENCES</v>
          </cell>
          <cell r="E468" t="str">
            <v>RESIDENTIAL</v>
          </cell>
        </row>
        <row r="469">
          <cell r="A469">
            <v>80331108</v>
          </cell>
          <cell r="D469" t="str">
            <v>Seville Serviced Res</v>
          </cell>
          <cell r="E469" t="str">
            <v>RESIDENTIAL</v>
          </cell>
        </row>
        <row r="470">
          <cell r="A470">
            <v>80221604</v>
          </cell>
          <cell r="D470" t="str">
            <v>SHOPPESVILLE</v>
          </cell>
          <cell r="E470" t="str">
            <v>MALLS</v>
          </cell>
        </row>
        <row r="471">
          <cell r="A471">
            <v>81221604</v>
          </cell>
          <cell r="D471" t="str">
            <v>SHOPPESVILLE</v>
          </cell>
          <cell r="E471" t="str">
            <v>MALLS</v>
          </cell>
        </row>
        <row r="472">
          <cell r="A472">
            <v>81222201</v>
          </cell>
          <cell r="D472" t="str">
            <v>SILVER CITY 1 RETAIL</v>
          </cell>
          <cell r="E472" t="str">
            <v>OFFICES</v>
          </cell>
        </row>
        <row r="473">
          <cell r="A473">
            <v>80322204</v>
          </cell>
          <cell r="D473" t="str">
            <v>SILVER CITY 1A</v>
          </cell>
          <cell r="E473" t="str">
            <v>OFFICES</v>
          </cell>
        </row>
        <row r="474">
          <cell r="A474">
            <v>81322204</v>
          </cell>
          <cell r="D474" t="str">
            <v>SILVER CITY 1A</v>
          </cell>
          <cell r="E474" t="str">
            <v>OFFICES</v>
          </cell>
        </row>
        <row r="475">
          <cell r="A475">
            <v>80322202</v>
          </cell>
          <cell r="D475" t="str">
            <v>SILVER CITY 2 &amp; 3</v>
          </cell>
          <cell r="E475" t="str">
            <v>OFFICES</v>
          </cell>
        </row>
        <row r="476">
          <cell r="A476">
            <v>81322202</v>
          </cell>
          <cell r="D476" t="str">
            <v>SILVER CITY 2 &amp; 3</v>
          </cell>
          <cell r="E476" t="str">
            <v>OFFICES</v>
          </cell>
        </row>
        <row r="477">
          <cell r="A477">
            <v>80322203</v>
          </cell>
          <cell r="D477" t="str">
            <v>SILVER CITY 4</v>
          </cell>
          <cell r="E477" t="str">
            <v>OFFICES</v>
          </cell>
        </row>
        <row r="478">
          <cell r="A478">
            <v>81322203</v>
          </cell>
          <cell r="D478" t="str">
            <v>SILVER CITY 4</v>
          </cell>
          <cell r="E478" t="str">
            <v>OFFICES</v>
          </cell>
        </row>
        <row r="479">
          <cell r="A479">
            <v>80322205</v>
          </cell>
          <cell r="D479" t="str">
            <v>SILVER CITY 5</v>
          </cell>
          <cell r="E479" t="str">
            <v>OFFICES</v>
          </cell>
        </row>
        <row r="480">
          <cell r="A480">
            <v>81322205</v>
          </cell>
          <cell r="D480" t="str">
            <v>SILVER CITY 5</v>
          </cell>
          <cell r="E480" t="str">
            <v>OFFICES</v>
          </cell>
        </row>
        <row r="481">
          <cell r="A481">
            <v>80322301</v>
          </cell>
          <cell r="D481" t="str">
            <v>SILVER CITY 5 OFFICE</v>
          </cell>
          <cell r="E481" t="str">
            <v>OFFICES</v>
          </cell>
        </row>
        <row r="482">
          <cell r="A482">
            <v>81322301</v>
          </cell>
          <cell r="D482" t="str">
            <v>SILVER CITY 5 OFFICE</v>
          </cell>
          <cell r="E482" t="str">
            <v>OFFICES</v>
          </cell>
        </row>
        <row r="483">
          <cell r="A483">
            <v>80322302</v>
          </cell>
          <cell r="D483" t="str">
            <v>SILVER CITY 5 PARKNG</v>
          </cell>
          <cell r="E483" t="str">
            <v>OFFICES</v>
          </cell>
        </row>
        <row r="484">
          <cell r="A484">
            <v>81322302</v>
          </cell>
          <cell r="D484" t="str">
            <v>SILVER CITY 5 PARKNG</v>
          </cell>
          <cell r="E484" t="str">
            <v>OFFICES</v>
          </cell>
        </row>
        <row r="485">
          <cell r="A485">
            <v>80222301</v>
          </cell>
          <cell r="D485" t="str">
            <v>SILVER CITY 5 RETAIL</v>
          </cell>
          <cell r="E485" t="str">
            <v>OFFICES</v>
          </cell>
        </row>
        <row r="486">
          <cell r="A486">
            <v>81222301</v>
          </cell>
          <cell r="D486" t="str">
            <v>SILVER CITY 5 RETAIL</v>
          </cell>
          <cell r="E486" t="str">
            <v>OFFICES</v>
          </cell>
        </row>
        <row r="487">
          <cell r="A487">
            <v>80322206</v>
          </cell>
          <cell r="D487" t="str">
            <v>SILVER CITY 6</v>
          </cell>
          <cell r="E487" t="str">
            <v>OFFICES</v>
          </cell>
        </row>
        <row r="488">
          <cell r="A488">
            <v>81322206</v>
          </cell>
          <cell r="D488" t="str">
            <v>SILVER CITY 6</v>
          </cell>
          <cell r="E488" t="str">
            <v>OFFICES</v>
          </cell>
        </row>
        <row r="489">
          <cell r="A489">
            <v>80351101</v>
          </cell>
          <cell r="D489" t="str">
            <v>STO. TOMAS BATANGAS</v>
          </cell>
          <cell r="E489" t="str">
            <v>RESIDENTIAL</v>
          </cell>
        </row>
        <row r="490">
          <cell r="A490">
            <v>80133101</v>
          </cell>
          <cell r="D490" t="str">
            <v>TAX &amp; PRO - COMMON</v>
          </cell>
          <cell r="E490" t="str">
            <v>CORPORATE</v>
          </cell>
        </row>
        <row r="491">
          <cell r="A491">
            <v>81133101</v>
          </cell>
          <cell r="D491" t="str">
            <v>TAX &amp; PRO - COMMON</v>
          </cell>
          <cell r="E491" t="str">
            <v>CORPORATE</v>
          </cell>
        </row>
        <row r="492">
          <cell r="A492">
            <v>90133101</v>
          </cell>
          <cell r="D492" t="str">
            <v>TAX &amp; PRO - COMMON</v>
          </cell>
          <cell r="E492" t="str">
            <v>CORPORATE</v>
          </cell>
        </row>
        <row r="493">
          <cell r="A493">
            <v>80133102</v>
          </cell>
          <cell r="D493" t="str">
            <v>TAX ACCOUNTING</v>
          </cell>
          <cell r="E493" t="str">
            <v>CORPORATE</v>
          </cell>
        </row>
        <row r="494">
          <cell r="A494">
            <v>81133102</v>
          </cell>
          <cell r="D494" t="str">
            <v>TAX ACCOUNTING</v>
          </cell>
          <cell r="E494" t="str">
            <v>CORPORATE</v>
          </cell>
        </row>
        <row r="495">
          <cell r="A495">
            <v>90133102</v>
          </cell>
          <cell r="D495" t="str">
            <v>TAX ACCOUNTING</v>
          </cell>
          <cell r="E495" t="str">
            <v>CORPORATE</v>
          </cell>
        </row>
        <row r="496">
          <cell r="A496">
            <v>80215102</v>
          </cell>
          <cell r="D496" t="str">
            <v>TECHNICAL DESIGN</v>
          </cell>
          <cell r="E496" t="str">
            <v>CORPORATE</v>
          </cell>
        </row>
        <row r="497">
          <cell r="A497">
            <v>81215102</v>
          </cell>
          <cell r="D497" t="str">
            <v>TECHNICAL DESIGN</v>
          </cell>
          <cell r="E497" t="str">
            <v>CORPORATE</v>
          </cell>
        </row>
        <row r="498">
          <cell r="A498">
            <v>90215102</v>
          </cell>
          <cell r="D498" t="str">
            <v>TECHNICAL DESIGN</v>
          </cell>
          <cell r="E498" t="str">
            <v>CORPORATE</v>
          </cell>
        </row>
        <row r="499">
          <cell r="A499">
            <v>80215106</v>
          </cell>
          <cell r="D499" t="str">
            <v>TECHNICAL SERVICES</v>
          </cell>
          <cell r="E499" t="str">
            <v>CORPORATE</v>
          </cell>
        </row>
        <row r="500">
          <cell r="A500">
            <v>81215106</v>
          </cell>
          <cell r="D500" t="str">
            <v>TECHNICAL SERVICES</v>
          </cell>
          <cell r="E500" t="str">
            <v>CORPORATE</v>
          </cell>
        </row>
        <row r="501">
          <cell r="A501">
            <v>90215106</v>
          </cell>
          <cell r="D501" t="str">
            <v>TECHNICAL SERVICES</v>
          </cell>
          <cell r="E501" t="str">
            <v>CORPORATE</v>
          </cell>
        </row>
        <row r="502">
          <cell r="A502">
            <v>80221213</v>
          </cell>
          <cell r="D502" t="str">
            <v>THEATER MALL</v>
          </cell>
          <cell r="E502" t="str">
            <v>MALLS</v>
          </cell>
        </row>
        <row r="503">
          <cell r="A503">
            <v>81221213</v>
          </cell>
          <cell r="D503" t="str">
            <v>THEATER MALL</v>
          </cell>
          <cell r="E503" t="str">
            <v>MALLS</v>
          </cell>
        </row>
        <row r="504">
          <cell r="A504">
            <v>80222101</v>
          </cell>
          <cell r="D504" t="str">
            <v>TIENDESITAS</v>
          </cell>
          <cell r="E504" t="str">
            <v>MALLS</v>
          </cell>
        </row>
        <row r="505">
          <cell r="A505">
            <v>81222101</v>
          </cell>
          <cell r="D505" t="str">
            <v>TIENDESITAS</v>
          </cell>
          <cell r="E505" t="str">
            <v>MALLS</v>
          </cell>
        </row>
        <row r="506">
          <cell r="A506">
            <v>80222104</v>
          </cell>
          <cell r="D506" t="str">
            <v>TIENDESITAS BLDG. A</v>
          </cell>
          <cell r="E506" t="str">
            <v>MALLS</v>
          </cell>
        </row>
        <row r="507">
          <cell r="A507">
            <v>81222104</v>
          </cell>
          <cell r="D507" t="str">
            <v>TIENDESITAS BLDG. A</v>
          </cell>
          <cell r="E507" t="str">
            <v>MALLS</v>
          </cell>
        </row>
        <row r="508">
          <cell r="A508">
            <v>80222105</v>
          </cell>
          <cell r="D508" t="str">
            <v>TIENDESITAS BLDG. B</v>
          </cell>
          <cell r="E508" t="str">
            <v>MALLS</v>
          </cell>
        </row>
        <row r="509">
          <cell r="A509">
            <v>81222105</v>
          </cell>
          <cell r="D509" t="str">
            <v>TIENDESITAS BLDG. B</v>
          </cell>
          <cell r="E509" t="str">
            <v>MALLS</v>
          </cell>
        </row>
        <row r="510">
          <cell r="A510">
            <v>80222106</v>
          </cell>
          <cell r="D510" t="str">
            <v>TIENDESITAS BLDG. C</v>
          </cell>
          <cell r="E510" t="str">
            <v>MALLS</v>
          </cell>
        </row>
        <row r="511">
          <cell r="A511">
            <v>81222106</v>
          </cell>
          <cell r="D511" t="str">
            <v>TIENDESITAS BLDG. C</v>
          </cell>
          <cell r="E511" t="str">
            <v>MALLS</v>
          </cell>
        </row>
        <row r="512">
          <cell r="A512">
            <v>80222107</v>
          </cell>
          <cell r="D512" t="str">
            <v>TIENDESITAS BLDG. D</v>
          </cell>
          <cell r="E512" t="str">
            <v>MALLS</v>
          </cell>
        </row>
        <row r="513">
          <cell r="A513">
            <v>81222107</v>
          </cell>
          <cell r="D513" t="str">
            <v>TIENDESITAS BLDG. D</v>
          </cell>
          <cell r="E513" t="str">
            <v>MALLS</v>
          </cell>
        </row>
        <row r="514">
          <cell r="A514">
            <v>80222108</v>
          </cell>
          <cell r="D514" t="str">
            <v>TIENDESITAS LAND LEA</v>
          </cell>
          <cell r="E514" t="str">
            <v>MALLS</v>
          </cell>
        </row>
        <row r="515">
          <cell r="A515">
            <v>81222108</v>
          </cell>
          <cell r="D515" t="str">
            <v>TIENDESITAS LAND LEA</v>
          </cell>
          <cell r="E515" t="str">
            <v>MALLS</v>
          </cell>
        </row>
        <row r="516">
          <cell r="A516">
            <v>81222102</v>
          </cell>
          <cell r="D516" t="str">
            <v>TIENDESITAS PARKING</v>
          </cell>
          <cell r="E516" t="str">
            <v>MALLS</v>
          </cell>
        </row>
        <row r="517">
          <cell r="A517">
            <v>80222103</v>
          </cell>
          <cell r="D517" t="str">
            <v>TIENDESITAS TIANGGE</v>
          </cell>
          <cell r="E517" t="str">
            <v>MALLS</v>
          </cell>
        </row>
        <row r="518">
          <cell r="A518">
            <v>81222103</v>
          </cell>
          <cell r="D518" t="str">
            <v>TIENDESITAS TIANGGE</v>
          </cell>
          <cell r="E518" t="str">
            <v>MALLS</v>
          </cell>
        </row>
        <row r="519">
          <cell r="A519">
            <v>80222102</v>
          </cell>
          <cell r="D519" t="str">
            <v>TIENDESITAS-PARKING</v>
          </cell>
          <cell r="E519" t="str">
            <v>MALLS</v>
          </cell>
        </row>
        <row r="520">
          <cell r="A520">
            <v>80319201</v>
          </cell>
          <cell r="D520" t="str">
            <v>TPSG-RESIDENTIAL</v>
          </cell>
          <cell r="E520" t="str">
            <v>CORPORATE</v>
          </cell>
        </row>
        <row r="521">
          <cell r="A521">
            <v>81319201</v>
          </cell>
          <cell r="D521" t="str">
            <v>TPSG-RESIDENTIAL</v>
          </cell>
          <cell r="E521" t="str">
            <v>CORPORATE</v>
          </cell>
        </row>
        <row r="522">
          <cell r="A522">
            <v>90319201</v>
          </cell>
          <cell r="D522" t="str">
            <v>TPSG-RESIDENTIAL</v>
          </cell>
          <cell r="E522" t="str">
            <v>CORPORATE</v>
          </cell>
        </row>
        <row r="523">
          <cell r="A523">
            <v>80319203</v>
          </cell>
          <cell r="D523" t="str">
            <v>TPSG-TECHNICAL SERVI</v>
          </cell>
          <cell r="E523" t="str">
            <v>CORPORATE</v>
          </cell>
        </row>
        <row r="524">
          <cell r="A524">
            <v>81319203</v>
          </cell>
          <cell r="D524" t="str">
            <v>TPSG-TECHNICAL SERVI</v>
          </cell>
          <cell r="E524" t="str">
            <v>CORPORATE</v>
          </cell>
        </row>
        <row r="525">
          <cell r="A525">
            <v>90319203</v>
          </cell>
          <cell r="D525" t="str">
            <v>TPSG-TECHNICAL SERVI</v>
          </cell>
          <cell r="E525" t="str">
            <v>CORPORATE</v>
          </cell>
        </row>
        <row r="526">
          <cell r="A526">
            <v>80132101</v>
          </cell>
          <cell r="D526" t="str">
            <v>TREASURY OPERATIONS</v>
          </cell>
          <cell r="E526" t="str">
            <v>CORPORATE</v>
          </cell>
        </row>
        <row r="527">
          <cell r="A527">
            <v>81132101</v>
          </cell>
          <cell r="D527" t="str">
            <v>TREASURY OPERATIONS</v>
          </cell>
          <cell r="E527" t="str">
            <v>CORPORATE</v>
          </cell>
        </row>
        <row r="528">
          <cell r="A528">
            <v>90132101</v>
          </cell>
          <cell r="D528" t="str">
            <v>TREASURY OPERATIONS</v>
          </cell>
          <cell r="E528" t="str">
            <v>CORPORATE</v>
          </cell>
        </row>
        <row r="529">
          <cell r="A529">
            <v>80132102</v>
          </cell>
          <cell r="D529" t="str">
            <v>TREASURY SERVICES</v>
          </cell>
          <cell r="E529" t="str">
            <v>CORPORATE</v>
          </cell>
        </row>
        <row r="530">
          <cell r="A530">
            <v>81132102</v>
          </cell>
          <cell r="D530" t="str">
            <v>TREASURY SERVICES</v>
          </cell>
          <cell r="E530" t="str">
            <v>CORPORATE</v>
          </cell>
        </row>
        <row r="531">
          <cell r="A531">
            <v>90132102</v>
          </cell>
          <cell r="D531" t="str">
            <v>TREASURY SERVICES</v>
          </cell>
          <cell r="E531" t="str">
            <v>CORPORATE</v>
          </cell>
        </row>
        <row r="532">
          <cell r="A532">
            <v>80221605</v>
          </cell>
          <cell r="D532" t="str">
            <v>V-MALL</v>
          </cell>
          <cell r="E532" t="str">
            <v>MALLS</v>
          </cell>
        </row>
        <row r="533">
          <cell r="A533">
            <v>81221605</v>
          </cell>
          <cell r="D533" t="str">
            <v>V-MALL</v>
          </cell>
          <cell r="E533" t="str">
            <v>MALLS</v>
          </cell>
        </row>
        <row r="534">
          <cell r="A534">
            <v>80333101</v>
          </cell>
          <cell r="D534" t="str">
            <v>VIRIDIAN - RESL</v>
          </cell>
          <cell r="E534" t="str">
            <v>RESIDENTIAL</v>
          </cell>
        </row>
        <row r="535">
          <cell r="A535">
            <v>80341102</v>
          </cell>
          <cell r="D535" t="str">
            <v>VIRIDIAN LAND LEASE</v>
          </cell>
          <cell r="E535" t="str">
            <v>ESTATES</v>
          </cell>
        </row>
        <row r="536">
          <cell r="A536">
            <v>81341102</v>
          </cell>
          <cell r="D536" t="str">
            <v>VIRIDIAN LAND LEASE</v>
          </cell>
          <cell r="E536" t="str">
            <v>ESTATES</v>
          </cell>
        </row>
        <row r="537">
          <cell r="A537">
            <v>80326101</v>
          </cell>
          <cell r="D537" t="str">
            <v>VIRIDIAN RESI LEASIN</v>
          </cell>
          <cell r="E537" t="str">
            <v>RESIDENTIAL</v>
          </cell>
        </row>
        <row r="538">
          <cell r="A538">
            <v>80221801</v>
          </cell>
          <cell r="D538" t="str">
            <v>VIRIDIAN RETAIL</v>
          </cell>
          <cell r="E538" t="str">
            <v>MALLS</v>
          </cell>
        </row>
        <row r="539">
          <cell r="A539">
            <v>81221811</v>
          </cell>
          <cell r="D539" t="str">
            <v>VIRIDIAN RETAIL</v>
          </cell>
          <cell r="E539" t="str">
            <v>MALLS</v>
          </cell>
        </row>
        <row r="540">
          <cell r="A540">
            <v>81221205</v>
          </cell>
          <cell r="D540" t="str">
            <v>XXXX</v>
          </cell>
          <cell r="E540" t="str">
            <v>MALLS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Profit Center</v>
          </cell>
          <cell r="D1" t="str">
            <v>Name</v>
          </cell>
          <cell r="E1" t="str">
            <v>Department</v>
          </cell>
        </row>
        <row r="2">
          <cell r="A2">
            <v>80123102</v>
          </cell>
          <cell r="D2" t="str">
            <v>ADMIN SERVICES</v>
          </cell>
          <cell r="E2" t="str">
            <v>CORPORATE</v>
          </cell>
        </row>
        <row r="3">
          <cell r="A3">
            <v>81123102</v>
          </cell>
          <cell r="D3" t="str">
            <v>ADMIN SERVICES</v>
          </cell>
          <cell r="E3" t="str">
            <v>CORPORATE</v>
          </cell>
        </row>
        <row r="4">
          <cell r="A4">
            <v>90123102</v>
          </cell>
          <cell r="D4" t="str">
            <v>ADMIN SERVICES</v>
          </cell>
          <cell r="E4" t="str">
            <v>CORPORATE</v>
          </cell>
        </row>
        <row r="5">
          <cell r="A5">
            <v>80319401</v>
          </cell>
          <cell r="D5" t="str">
            <v>ADMIN SUPP SERVICES</v>
          </cell>
          <cell r="E5" t="str">
            <v>CORPORATE</v>
          </cell>
        </row>
        <row r="6">
          <cell r="A6">
            <v>81319401</v>
          </cell>
          <cell r="D6" t="str">
            <v>ADMIN SUPP SERVICES</v>
          </cell>
          <cell r="E6" t="str">
            <v>CORPORATE</v>
          </cell>
        </row>
        <row r="7">
          <cell r="A7">
            <v>90319401</v>
          </cell>
          <cell r="D7" t="str">
            <v>ADMIN SUPP SERVICES</v>
          </cell>
          <cell r="E7" t="str">
            <v>CORPORATE</v>
          </cell>
        </row>
        <row r="8">
          <cell r="A8">
            <v>80337101</v>
          </cell>
          <cell r="D8" t="str">
            <v>ADP CONDOS</v>
          </cell>
          <cell r="E8" t="str">
            <v>ESTATES</v>
          </cell>
        </row>
        <row r="9">
          <cell r="A9">
            <v>81337101</v>
          </cell>
          <cell r="D9" t="str">
            <v>ADP CONDOS</v>
          </cell>
          <cell r="E9" t="str">
            <v>ESTATES</v>
          </cell>
        </row>
        <row r="10">
          <cell r="A10">
            <v>80324110</v>
          </cell>
          <cell r="D10" t="str">
            <v>AVILA - RESI LEASING</v>
          </cell>
          <cell r="E10" t="str">
            <v>RESIDENTIAL</v>
          </cell>
        </row>
        <row r="11">
          <cell r="A11">
            <v>80331105</v>
          </cell>
          <cell r="D11" t="str">
            <v>AVILA TOWER</v>
          </cell>
          <cell r="E11" t="str">
            <v>RESIDENTIAL</v>
          </cell>
        </row>
        <row r="12">
          <cell r="A12">
            <v>80134103</v>
          </cell>
          <cell r="D12" t="str">
            <v>BUDGET  C&amp;A</v>
          </cell>
          <cell r="E12" t="str">
            <v>CORPORATE</v>
          </cell>
        </row>
        <row r="13">
          <cell r="A13">
            <v>81134103</v>
          </cell>
          <cell r="D13" t="str">
            <v>BUDGET  C&amp;A</v>
          </cell>
          <cell r="E13" t="str">
            <v>CORPORATE</v>
          </cell>
        </row>
        <row r="14">
          <cell r="A14">
            <v>90134103</v>
          </cell>
          <cell r="D14" t="str">
            <v>BUDGET  C&amp;A</v>
          </cell>
          <cell r="E14" t="str">
            <v>CORPORATE</v>
          </cell>
        </row>
        <row r="15">
          <cell r="A15">
            <v>80215103</v>
          </cell>
          <cell r="D15" t="str">
            <v>BUILDING MANAGEMENT</v>
          </cell>
          <cell r="E15" t="str">
            <v>CORPORATE</v>
          </cell>
        </row>
        <row r="16">
          <cell r="A16">
            <v>81215103</v>
          </cell>
          <cell r="D16" t="str">
            <v>BUILDING MANAGEMENT</v>
          </cell>
          <cell r="E16" t="str">
            <v>CORPORATE</v>
          </cell>
        </row>
        <row r="17">
          <cell r="A17">
            <v>90215103</v>
          </cell>
          <cell r="D17" t="str">
            <v>BUILDING MANAGEMENT</v>
          </cell>
          <cell r="E17" t="str">
            <v>CORPORATE</v>
          </cell>
        </row>
        <row r="18">
          <cell r="A18">
            <v>80134104</v>
          </cell>
          <cell r="D18" t="str">
            <v>BUSINESS PROCESS MGT</v>
          </cell>
          <cell r="E18" t="str">
            <v>CORPORATE</v>
          </cell>
        </row>
        <row r="19">
          <cell r="A19">
            <v>81134104</v>
          </cell>
          <cell r="D19" t="str">
            <v>BUSINESS PROCESS MGT</v>
          </cell>
          <cell r="E19" t="str">
            <v>CORPORATE</v>
          </cell>
        </row>
        <row r="20">
          <cell r="A20">
            <v>90134104</v>
          </cell>
          <cell r="D20" t="str">
            <v>BUSINESS PROCESS MGT</v>
          </cell>
          <cell r="E20" t="str">
            <v>CORPORATE</v>
          </cell>
        </row>
        <row r="21">
          <cell r="A21">
            <v>80341503</v>
          </cell>
          <cell r="D21" t="str">
            <v>CALATAGAN LOTS</v>
          </cell>
          <cell r="E21" t="str">
            <v>RESIDENTIAL</v>
          </cell>
        </row>
        <row r="22">
          <cell r="A22">
            <v>80341501</v>
          </cell>
          <cell r="D22" t="str">
            <v>CALATAGAN PROJECT</v>
          </cell>
          <cell r="E22" t="str">
            <v>ESTATES</v>
          </cell>
        </row>
        <row r="23">
          <cell r="A23">
            <v>80341502</v>
          </cell>
          <cell r="D23" t="str">
            <v>CALATAGAN RESORT</v>
          </cell>
          <cell r="E23" t="str">
            <v>ESTATES</v>
          </cell>
        </row>
        <row r="24">
          <cell r="A24">
            <v>81323401</v>
          </cell>
          <cell r="D24" t="str">
            <v>CC - OFFICE TOWER A</v>
          </cell>
          <cell r="E24" t="str">
            <v>OFFICES</v>
          </cell>
        </row>
        <row r="25">
          <cell r="A25">
            <v>81323402</v>
          </cell>
          <cell r="D25" t="str">
            <v>CC - OFFICE TOWER B</v>
          </cell>
          <cell r="E25" t="str">
            <v>OFFICES</v>
          </cell>
        </row>
        <row r="26">
          <cell r="A26">
            <v>80323101</v>
          </cell>
          <cell r="D26" t="str">
            <v>CC DEVELOPABLE</v>
          </cell>
          <cell r="E26" t="str">
            <v>ESTATES</v>
          </cell>
        </row>
        <row r="27">
          <cell r="A27">
            <v>81323101</v>
          </cell>
          <cell r="D27" t="str">
            <v>CC DEVELOPABLE</v>
          </cell>
          <cell r="E27" t="str">
            <v>ESTATES</v>
          </cell>
        </row>
        <row r="28">
          <cell r="A28">
            <v>80323199</v>
          </cell>
          <cell r="D28" t="str">
            <v>CC ESTATE PARKING</v>
          </cell>
          <cell r="E28" t="str">
            <v>ESTATES</v>
          </cell>
        </row>
        <row r="29">
          <cell r="A29">
            <v>81323199</v>
          </cell>
          <cell r="D29" t="str">
            <v>CC ESTATE PARKING</v>
          </cell>
          <cell r="E29" t="str">
            <v>ESTATES</v>
          </cell>
        </row>
        <row r="30">
          <cell r="A30">
            <v>80225401</v>
          </cell>
          <cell r="D30" t="str">
            <v>CC LAND - RETAIL</v>
          </cell>
          <cell r="E30" t="str">
            <v>ESTATES</v>
          </cell>
        </row>
        <row r="31">
          <cell r="A31">
            <v>81225401</v>
          </cell>
          <cell r="D31" t="str">
            <v>CC LAND - RETAIL</v>
          </cell>
          <cell r="E31" t="str">
            <v>ESTATES</v>
          </cell>
        </row>
        <row r="32">
          <cell r="A32">
            <v>80323102</v>
          </cell>
          <cell r="D32" t="str">
            <v>CC LAND LEASE</v>
          </cell>
          <cell r="E32" t="str">
            <v>ESTATES</v>
          </cell>
        </row>
        <row r="33">
          <cell r="A33">
            <v>81323102</v>
          </cell>
          <cell r="D33" t="str">
            <v>CC LAND LEASE</v>
          </cell>
          <cell r="E33" t="str">
            <v>ESTATES</v>
          </cell>
        </row>
        <row r="34">
          <cell r="A34" t="str">
            <v>803231CC</v>
          </cell>
          <cell r="D34" t="str">
            <v>CC LEASING - COMMON</v>
          </cell>
          <cell r="E34" t="str">
            <v>ESTATES</v>
          </cell>
        </row>
        <row r="35">
          <cell r="A35" t="str">
            <v>813231CC</v>
          </cell>
          <cell r="D35" t="str">
            <v>CC LEASING - COMMON</v>
          </cell>
          <cell r="E35" t="str">
            <v>ESTATES</v>
          </cell>
        </row>
        <row r="36">
          <cell r="A36">
            <v>80323204</v>
          </cell>
          <cell r="D36" t="str">
            <v>CC OFFICE TOWER B</v>
          </cell>
          <cell r="E36" t="str">
            <v>OFFICES</v>
          </cell>
        </row>
        <row r="37">
          <cell r="A37" t="str">
            <v>803321CC</v>
          </cell>
          <cell r="D37" t="str">
            <v>CC RESL - COMMON</v>
          </cell>
          <cell r="E37" t="str">
            <v>RESIDENTIAL</v>
          </cell>
        </row>
        <row r="38">
          <cell r="A38">
            <v>80323301</v>
          </cell>
          <cell r="D38" t="str">
            <v>CC SANTI'S (X)</v>
          </cell>
          <cell r="E38" t="str">
            <v>MALLS</v>
          </cell>
        </row>
        <row r="39">
          <cell r="A39">
            <v>81323301</v>
          </cell>
          <cell r="D39" t="str">
            <v>CC SANTI'S (X)</v>
          </cell>
          <cell r="E39" t="str">
            <v>MALLS</v>
          </cell>
        </row>
        <row r="40">
          <cell r="A40">
            <v>80323205</v>
          </cell>
          <cell r="D40" t="str">
            <v>CC TOWER</v>
          </cell>
          <cell r="E40" t="str">
            <v>OFFICES</v>
          </cell>
        </row>
        <row r="41">
          <cell r="A41">
            <v>81323403</v>
          </cell>
          <cell r="D41" t="str">
            <v>CC TOWER</v>
          </cell>
          <cell r="E41" t="str">
            <v>OFFICES</v>
          </cell>
        </row>
        <row r="42">
          <cell r="A42">
            <v>81111101</v>
          </cell>
          <cell r="D42" t="str">
            <v>CCC-COMMON</v>
          </cell>
          <cell r="E42" t="str">
            <v>CORPORATE</v>
          </cell>
        </row>
        <row r="43">
          <cell r="A43">
            <v>81321701</v>
          </cell>
          <cell r="D43" t="str">
            <v>CITY CENTER - COMMON</v>
          </cell>
          <cell r="E43" t="str">
            <v>ESTATES</v>
          </cell>
        </row>
        <row r="44">
          <cell r="A44">
            <v>80334102</v>
          </cell>
          <cell r="D44" t="str">
            <v>CITY CENTER TOWER 1</v>
          </cell>
          <cell r="E44" t="str">
            <v>RESIDENTIAL</v>
          </cell>
        </row>
        <row r="45">
          <cell r="A45">
            <v>80334103</v>
          </cell>
          <cell r="D45" t="str">
            <v>CITY CENTER TOWER 2</v>
          </cell>
          <cell r="E45" t="str">
            <v>RESIDENTIAL</v>
          </cell>
        </row>
        <row r="46">
          <cell r="A46">
            <v>81321601</v>
          </cell>
          <cell r="D46" t="str">
            <v>CONDORMITEL</v>
          </cell>
          <cell r="E46" t="str">
            <v>OFFICES</v>
          </cell>
        </row>
        <row r="47">
          <cell r="A47">
            <v>80221206</v>
          </cell>
          <cell r="D47" t="str">
            <v>CONNECTICUT</v>
          </cell>
          <cell r="E47" t="str">
            <v>MALLS</v>
          </cell>
        </row>
        <row r="48">
          <cell r="A48">
            <v>81221206</v>
          </cell>
          <cell r="D48" t="str">
            <v>CONNECTICUT</v>
          </cell>
          <cell r="E48" t="str">
            <v>MALLS</v>
          </cell>
        </row>
        <row r="49">
          <cell r="A49">
            <v>80333102</v>
          </cell>
          <cell r="D49" t="str">
            <v>CONNOR</v>
          </cell>
          <cell r="E49" t="str">
            <v>RESIDENTIAL</v>
          </cell>
        </row>
        <row r="50">
          <cell r="A50">
            <v>80221103</v>
          </cell>
          <cell r="D50" t="str">
            <v>CONNOR RETAIL</v>
          </cell>
          <cell r="E50" t="str">
            <v>MALLS</v>
          </cell>
        </row>
        <row r="51">
          <cell r="A51">
            <v>81221103</v>
          </cell>
          <cell r="D51" t="str">
            <v>CONNOR RETAIL</v>
          </cell>
          <cell r="E51" t="str">
            <v>MALLS</v>
          </cell>
        </row>
        <row r="52">
          <cell r="A52">
            <v>80317101</v>
          </cell>
          <cell r="D52" t="str">
            <v>CONSTRUCTION MGT</v>
          </cell>
          <cell r="E52" t="str">
            <v>CORPORATE</v>
          </cell>
        </row>
        <row r="53">
          <cell r="A53">
            <v>81317101</v>
          </cell>
          <cell r="D53" t="str">
            <v>CONSTRUCTION MGT</v>
          </cell>
          <cell r="E53" t="str">
            <v>CORPORATE</v>
          </cell>
        </row>
        <row r="54">
          <cell r="A54">
            <v>90317101</v>
          </cell>
          <cell r="D54" t="str">
            <v>CONSTRUCTION MGT</v>
          </cell>
          <cell r="E54" t="str">
            <v>CORPORATE</v>
          </cell>
        </row>
        <row r="55">
          <cell r="A55">
            <v>80134101</v>
          </cell>
          <cell r="D55" t="str">
            <v>CONTROLLERSHIP</v>
          </cell>
          <cell r="E55" t="str">
            <v>CORPORATE</v>
          </cell>
        </row>
        <row r="56">
          <cell r="A56">
            <v>81134101</v>
          </cell>
          <cell r="D56" t="str">
            <v>CONTROLLERSHIP</v>
          </cell>
          <cell r="E56" t="str">
            <v>CORPORATE</v>
          </cell>
        </row>
        <row r="57">
          <cell r="A57">
            <v>90134101</v>
          </cell>
          <cell r="D57" t="str">
            <v>CONTROLLERSHIP</v>
          </cell>
          <cell r="E57" t="str">
            <v>CORPORATE</v>
          </cell>
        </row>
        <row r="58">
          <cell r="A58">
            <v>80121101</v>
          </cell>
          <cell r="D58" t="str">
            <v>CORP RESOURCES DIV</v>
          </cell>
          <cell r="E58" t="str">
            <v>CORPORATE</v>
          </cell>
        </row>
        <row r="59">
          <cell r="A59">
            <v>81121101</v>
          </cell>
          <cell r="D59" t="str">
            <v>CORP RESOURCES DIV</v>
          </cell>
          <cell r="E59" t="str">
            <v>CORPORATE</v>
          </cell>
        </row>
        <row r="60">
          <cell r="A60">
            <v>90121101</v>
          </cell>
          <cell r="D60" t="str">
            <v>CORP RESOURCES DIV</v>
          </cell>
          <cell r="E60" t="str">
            <v>CORPORATE</v>
          </cell>
        </row>
        <row r="61">
          <cell r="A61">
            <v>80134102</v>
          </cell>
          <cell r="D61" t="str">
            <v>CORPORATE ACCOUNTING</v>
          </cell>
          <cell r="E61" t="str">
            <v>CORPORATE</v>
          </cell>
        </row>
        <row r="62">
          <cell r="A62">
            <v>81134102</v>
          </cell>
          <cell r="D62" t="str">
            <v>CORPORATE ACCOUNTING</v>
          </cell>
          <cell r="E62" t="str">
            <v>CORPORATE</v>
          </cell>
        </row>
        <row r="63">
          <cell r="A63">
            <v>90134102</v>
          </cell>
          <cell r="D63" t="str">
            <v>CORPORATE ACCOUNTING</v>
          </cell>
          <cell r="E63" t="str">
            <v>CORPORATE</v>
          </cell>
        </row>
        <row r="64">
          <cell r="A64">
            <v>80314101</v>
          </cell>
          <cell r="D64" t="str">
            <v>CORPORATE MARKETING</v>
          </cell>
          <cell r="E64" t="str">
            <v>CORPORATE</v>
          </cell>
        </row>
        <row r="65">
          <cell r="A65">
            <v>81314101</v>
          </cell>
          <cell r="D65" t="str">
            <v>CORPORATE MARKETING</v>
          </cell>
          <cell r="E65" t="str">
            <v>CORPORATE</v>
          </cell>
        </row>
        <row r="66">
          <cell r="A66">
            <v>90314101</v>
          </cell>
          <cell r="D66" t="str">
            <v>CORPORATE MARKETING</v>
          </cell>
          <cell r="E66" t="str">
            <v>CORPORATE</v>
          </cell>
        </row>
        <row r="67">
          <cell r="A67">
            <v>80111205</v>
          </cell>
          <cell r="D67" t="str">
            <v>CORPORATE PLANNING</v>
          </cell>
          <cell r="E67" t="str">
            <v>CORPORATE</v>
          </cell>
        </row>
        <row r="68">
          <cell r="A68">
            <v>81111205</v>
          </cell>
          <cell r="D68" t="str">
            <v>CORPORATE PLANNING</v>
          </cell>
          <cell r="E68" t="str">
            <v>CORPORATE</v>
          </cell>
        </row>
        <row r="69">
          <cell r="A69">
            <v>90111205</v>
          </cell>
          <cell r="D69" t="str">
            <v>CORPORATE PLANNING</v>
          </cell>
          <cell r="E69" t="str">
            <v>CORPORATE</v>
          </cell>
        </row>
        <row r="70">
          <cell r="A70">
            <v>80313107</v>
          </cell>
          <cell r="D70" t="str">
            <v>CUSTOMER CARE DEPT</v>
          </cell>
          <cell r="E70" t="str">
            <v>CORPORATE</v>
          </cell>
        </row>
        <row r="71">
          <cell r="A71">
            <v>81313107</v>
          </cell>
          <cell r="D71" t="str">
            <v>CUSTOMER CARE DEPT</v>
          </cell>
          <cell r="E71" t="str">
            <v>CORPORATE</v>
          </cell>
        </row>
        <row r="72">
          <cell r="A72">
            <v>90313107</v>
          </cell>
          <cell r="D72" t="str">
            <v>CUSTOMER CARE DEPT</v>
          </cell>
          <cell r="E72" t="str">
            <v>CORPORATE</v>
          </cell>
        </row>
        <row r="73">
          <cell r="A73">
            <v>80324103</v>
          </cell>
          <cell r="D73" t="str">
            <v>CV BASKETBALL</v>
          </cell>
          <cell r="E73" t="str">
            <v>ESTATES</v>
          </cell>
        </row>
        <row r="74">
          <cell r="A74">
            <v>81324103</v>
          </cell>
          <cell r="D74" t="str">
            <v>CV BASKETBALL</v>
          </cell>
          <cell r="E74" t="str">
            <v>ESTATES</v>
          </cell>
        </row>
        <row r="75">
          <cell r="A75">
            <v>80324105</v>
          </cell>
          <cell r="D75" t="str">
            <v>CV BIKE PLAYGROUND</v>
          </cell>
          <cell r="E75" t="str">
            <v>ESTATES</v>
          </cell>
        </row>
        <row r="76">
          <cell r="A76">
            <v>80324101</v>
          </cell>
          <cell r="D76" t="str">
            <v>CV DEVELOPABLE</v>
          </cell>
          <cell r="E76" t="str">
            <v>ESTATES</v>
          </cell>
        </row>
        <row r="77">
          <cell r="A77">
            <v>81324101</v>
          </cell>
          <cell r="D77" t="str">
            <v>CV DEVELOPABLE</v>
          </cell>
          <cell r="E77" t="str">
            <v>ESTATES</v>
          </cell>
        </row>
        <row r="78">
          <cell r="A78">
            <v>80341301</v>
          </cell>
          <cell r="D78" t="str">
            <v>CV ESTATES</v>
          </cell>
          <cell r="E78" t="str">
            <v>ESTATES</v>
          </cell>
        </row>
        <row r="79">
          <cell r="A79">
            <v>80324102</v>
          </cell>
          <cell r="D79" t="str">
            <v>CV LAND LEASE</v>
          </cell>
          <cell r="E79" t="str">
            <v>ESTATES</v>
          </cell>
        </row>
        <row r="80">
          <cell r="A80">
            <v>81324102</v>
          </cell>
          <cell r="D80" t="str">
            <v>CV LAND LEASE</v>
          </cell>
          <cell r="E80" t="str">
            <v>ESTATES</v>
          </cell>
        </row>
        <row r="81">
          <cell r="A81" t="str">
            <v>803241CC</v>
          </cell>
          <cell r="D81" t="str">
            <v>CV LEASING - COMMON</v>
          </cell>
          <cell r="E81" t="str">
            <v>ESTATES</v>
          </cell>
        </row>
        <row r="82">
          <cell r="A82" t="str">
            <v>813241CC</v>
          </cell>
          <cell r="D82" t="str">
            <v>CV LEASING - COMMON</v>
          </cell>
          <cell r="E82" t="str">
            <v>ESTATES</v>
          </cell>
        </row>
        <row r="83">
          <cell r="A83">
            <v>80324104</v>
          </cell>
          <cell r="D83" t="str">
            <v>CV PITCH</v>
          </cell>
          <cell r="E83" t="str">
            <v>ESTATES</v>
          </cell>
        </row>
        <row r="84">
          <cell r="A84">
            <v>80331501</v>
          </cell>
          <cell r="D84" t="str">
            <v>CV SUBDIVISION</v>
          </cell>
          <cell r="E84" t="str">
            <v>RESIDENTIAL</v>
          </cell>
        </row>
        <row r="85">
          <cell r="A85" t="str">
            <v>803311CC</v>
          </cell>
          <cell r="D85" t="str">
            <v>CV1 - COMMON</v>
          </cell>
          <cell r="E85" t="str">
            <v>RESIDENTIAL</v>
          </cell>
        </row>
        <row r="86">
          <cell r="A86" t="str">
            <v>803312CC</v>
          </cell>
          <cell r="D86" t="str">
            <v>CV2 - COMMON</v>
          </cell>
          <cell r="E86" t="str">
            <v>RESIDENTIAL</v>
          </cell>
        </row>
        <row r="87">
          <cell r="A87">
            <v>80331204</v>
          </cell>
          <cell r="D87" t="str">
            <v>CV2 TOWER 1 (NEW)</v>
          </cell>
          <cell r="E87" t="str">
            <v>RESIDENTIAL</v>
          </cell>
        </row>
        <row r="88">
          <cell r="A88">
            <v>80331201</v>
          </cell>
          <cell r="D88" t="str">
            <v>CV2 TOWER 1 (OLD)</v>
          </cell>
          <cell r="E88" t="str">
            <v>RESIDENTIAL</v>
          </cell>
        </row>
        <row r="89">
          <cell r="A89">
            <v>80331205</v>
          </cell>
          <cell r="D89" t="str">
            <v>CV2 TOWER 2 (NEW)</v>
          </cell>
          <cell r="E89" t="str">
            <v>RESIDENTIAL</v>
          </cell>
        </row>
        <row r="90">
          <cell r="A90">
            <v>80331202</v>
          </cell>
          <cell r="D90" t="str">
            <v>CV2 TOWER 2 (OLD)</v>
          </cell>
          <cell r="E90" t="str">
            <v>RESIDENTIAL</v>
          </cell>
        </row>
        <row r="91">
          <cell r="A91">
            <v>80331203</v>
          </cell>
          <cell r="D91" t="str">
            <v>CV2 TOWER 3</v>
          </cell>
          <cell r="E91" t="str">
            <v>RESIDENTIAL</v>
          </cell>
        </row>
        <row r="92">
          <cell r="A92">
            <v>80331206</v>
          </cell>
          <cell r="D92" t="str">
            <v>CV2 TOWER 4</v>
          </cell>
          <cell r="E92" t="str">
            <v>RESIDENTIAL</v>
          </cell>
        </row>
        <row r="93">
          <cell r="A93" t="str">
            <v>803313CC</v>
          </cell>
          <cell r="D93" t="str">
            <v>CV3 - COMMON</v>
          </cell>
          <cell r="E93" t="str">
            <v>RESIDENTIAL</v>
          </cell>
        </row>
        <row r="94">
          <cell r="A94">
            <v>80331301</v>
          </cell>
          <cell r="D94" t="str">
            <v>CV3 TOWER 1</v>
          </cell>
          <cell r="E94" t="str">
            <v>RESIDENTIAL</v>
          </cell>
        </row>
        <row r="95">
          <cell r="A95">
            <v>80331302</v>
          </cell>
          <cell r="D95" t="str">
            <v>CV3 TOWER 2</v>
          </cell>
          <cell r="E95" t="str">
            <v>RESIDENTIAL</v>
          </cell>
        </row>
        <row r="96">
          <cell r="A96">
            <v>80331303</v>
          </cell>
          <cell r="D96" t="str">
            <v>CV3 TOWER 3</v>
          </cell>
          <cell r="E96" t="str">
            <v>RESIDENTIAL</v>
          </cell>
        </row>
        <row r="97">
          <cell r="A97">
            <v>80331304</v>
          </cell>
          <cell r="D97" t="str">
            <v>CV3 TOWER 4</v>
          </cell>
          <cell r="E97" t="str">
            <v>RESIDENTIAL</v>
          </cell>
        </row>
        <row r="98">
          <cell r="A98" t="str">
            <v>803314CC</v>
          </cell>
          <cell r="D98" t="str">
            <v>CV4 - COMMON</v>
          </cell>
          <cell r="E98" t="str">
            <v>RESIDENTIAL</v>
          </cell>
        </row>
        <row r="99">
          <cell r="A99">
            <v>80331401</v>
          </cell>
          <cell r="D99" t="str">
            <v>CV4 TOWER 1</v>
          </cell>
          <cell r="E99" t="str">
            <v>RESIDENTIAL</v>
          </cell>
        </row>
        <row r="100">
          <cell r="A100">
            <v>80331402</v>
          </cell>
          <cell r="D100" t="str">
            <v>CV4 TOWER 2</v>
          </cell>
          <cell r="E100" t="str">
            <v>RESIDENTIAL</v>
          </cell>
        </row>
        <row r="101">
          <cell r="A101">
            <v>80331403</v>
          </cell>
          <cell r="D101" t="str">
            <v>CV4 TOWER 3</v>
          </cell>
          <cell r="E101" t="str">
            <v>RESIDENTIAL</v>
          </cell>
        </row>
        <row r="102">
          <cell r="A102">
            <v>80126101</v>
          </cell>
          <cell r="D102" t="str">
            <v>DCMG - LEASING</v>
          </cell>
          <cell r="E102" t="str">
            <v>CORPORATE</v>
          </cell>
        </row>
        <row r="103">
          <cell r="A103">
            <v>81126101</v>
          </cell>
          <cell r="D103" t="str">
            <v>DCMG - LEASING</v>
          </cell>
          <cell r="E103" t="str">
            <v>CORPORATE</v>
          </cell>
        </row>
        <row r="104">
          <cell r="A104">
            <v>90126101</v>
          </cell>
          <cell r="D104" t="str">
            <v>DCMG - LEASING</v>
          </cell>
          <cell r="E104" t="str">
            <v>CORPORATE</v>
          </cell>
        </row>
        <row r="105">
          <cell r="A105">
            <v>80126102</v>
          </cell>
          <cell r="D105" t="str">
            <v>DCMG - PROP SALES</v>
          </cell>
          <cell r="E105" t="str">
            <v>CORPORATE</v>
          </cell>
        </row>
        <row r="106">
          <cell r="A106">
            <v>81126102</v>
          </cell>
          <cell r="D106" t="str">
            <v>DCMG - PROP SALES</v>
          </cell>
          <cell r="E106" t="str">
            <v>CORPORATE</v>
          </cell>
        </row>
        <row r="107">
          <cell r="A107">
            <v>90126102</v>
          </cell>
          <cell r="D107" t="str">
            <v>DCMG - PROP SALES</v>
          </cell>
          <cell r="E107" t="str">
            <v>CORPORATE</v>
          </cell>
        </row>
        <row r="108">
          <cell r="A108">
            <v>80316101</v>
          </cell>
          <cell r="D108" t="str">
            <v>DESIGN &amp; PLANNING</v>
          </cell>
          <cell r="E108" t="str">
            <v>CORPORATE</v>
          </cell>
        </row>
        <row r="109">
          <cell r="A109">
            <v>81316101</v>
          </cell>
          <cell r="D109" t="str">
            <v>DESIGN &amp; PLANNING</v>
          </cell>
          <cell r="E109" t="str">
            <v>CORPORATE</v>
          </cell>
        </row>
        <row r="110">
          <cell r="A110">
            <v>90316101</v>
          </cell>
          <cell r="D110" t="str">
            <v>DESIGN &amp; PLANNING</v>
          </cell>
          <cell r="E110" t="str">
            <v>CORPORATE</v>
          </cell>
        </row>
        <row r="111">
          <cell r="A111">
            <v>81227101</v>
          </cell>
          <cell r="D111" t="str">
            <v>E-MALLS</v>
          </cell>
          <cell r="E111" t="str">
            <v>MALLS</v>
          </cell>
        </row>
        <row r="112">
          <cell r="A112">
            <v>80332103</v>
          </cell>
          <cell r="D112" t="str">
            <v>EMPRESS TOWER</v>
          </cell>
          <cell r="E112" t="str">
            <v>RESIDENTIAL</v>
          </cell>
        </row>
        <row r="113">
          <cell r="A113">
            <v>80323202</v>
          </cell>
          <cell r="D113" t="str">
            <v>EST EXT - OFFICE</v>
          </cell>
          <cell r="E113" t="str">
            <v>OFFICES</v>
          </cell>
        </row>
        <row r="114">
          <cell r="A114">
            <v>80323203</v>
          </cell>
          <cell r="D114" t="str">
            <v>EST EXT 2 - OFFICE</v>
          </cell>
          <cell r="E114" t="str">
            <v>OFFICES</v>
          </cell>
        </row>
        <row r="115">
          <cell r="A115">
            <v>81323203</v>
          </cell>
          <cell r="D115" t="str">
            <v>EST EXT 2 - OFFICE</v>
          </cell>
          <cell r="E115" t="str">
            <v>OFFICES</v>
          </cell>
        </row>
        <row r="116">
          <cell r="A116">
            <v>80225501</v>
          </cell>
          <cell r="D116" t="str">
            <v>EST RETAIL PADS</v>
          </cell>
          <cell r="E116" t="str">
            <v>MALLS</v>
          </cell>
        </row>
        <row r="117">
          <cell r="A117">
            <v>81225501</v>
          </cell>
          <cell r="D117" t="str">
            <v>EST RETAIL PADS</v>
          </cell>
          <cell r="E117" t="str">
            <v>MALLS</v>
          </cell>
        </row>
        <row r="118">
          <cell r="A118">
            <v>81323202</v>
          </cell>
          <cell r="D118" t="str">
            <v>EST WSTWING - OFFICE</v>
          </cell>
          <cell r="E118" t="str">
            <v>OFFICES</v>
          </cell>
        </row>
        <row r="119">
          <cell r="A119">
            <v>80323201</v>
          </cell>
          <cell r="D119" t="str">
            <v>ESTANCIA - OFFICE</v>
          </cell>
          <cell r="E119" t="str">
            <v>OFFICES</v>
          </cell>
        </row>
        <row r="120">
          <cell r="A120">
            <v>81323201</v>
          </cell>
          <cell r="D120" t="str">
            <v>ESTANCIA - OFFICE</v>
          </cell>
          <cell r="E120" t="str">
            <v>OFFICES</v>
          </cell>
        </row>
        <row r="121">
          <cell r="A121">
            <v>80225207</v>
          </cell>
          <cell r="D121" t="str">
            <v>ESTANCIA CINEMA-DC</v>
          </cell>
          <cell r="E121" t="str">
            <v>MALLS</v>
          </cell>
        </row>
        <row r="122">
          <cell r="A122">
            <v>81225207</v>
          </cell>
          <cell r="D122" t="str">
            <v>ESTANCIA CINEMA-DC</v>
          </cell>
          <cell r="E122" t="str">
            <v>MALLS</v>
          </cell>
        </row>
        <row r="123">
          <cell r="A123">
            <v>80225206</v>
          </cell>
          <cell r="D123" t="str">
            <v>ESTANCIA CINEMA-RC</v>
          </cell>
          <cell r="E123" t="str">
            <v>MALLS</v>
          </cell>
        </row>
        <row r="124">
          <cell r="A124">
            <v>81225206</v>
          </cell>
          <cell r="D124" t="str">
            <v>ESTANCIA CINEMA-RC</v>
          </cell>
          <cell r="E124" t="str">
            <v>MALLS</v>
          </cell>
        </row>
        <row r="125">
          <cell r="A125">
            <v>80225205</v>
          </cell>
          <cell r="D125" t="str">
            <v>ESTANCIA DEPT STORE</v>
          </cell>
          <cell r="E125" t="str">
            <v>MALLS</v>
          </cell>
        </row>
        <row r="126">
          <cell r="A126">
            <v>81225205</v>
          </cell>
          <cell r="D126" t="str">
            <v>ESTANCIA DEPT STORE</v>
          </cell>
          <cell r="E126" t="str">
            <v>MALLS</v>
          </cell>
        </row>
        <row r="127">
          <cell r="A127">
            <v>80225201</v>
          </cell>
          <cell r="D127" t="str">
            <v>ESTANCIA EXP - MALL</v>
          </cell>
          <cell r="E127" t="str">
            <v>MALLS</v>
          </cell>
        </row>
        <row r="128">
          <cell r="A128">
            <v>81225201</v>
          </cell>
          <cell r="D128" t="str">
            <v>ESTANCIA EXP - MALL</v>
          </cell>
          <cell r="E128" t="str">
            <v>MALLS</v>
          </cell>
        </row>
        <row r="129">
          <cell r="A129">
            <v>80225204</v>
          </cell>
          <cell r="D129" t="str">
            <v>ESTANCIA EXP PARKING</v>
          </cell>
          <cell r="E129" t="str">
            <v>MALLS</v>
          </cell>
        </row>
        <row r="130">
          <cell r="A130">
            <v>81225204</v>
          </cell>
          <cell r="D130" t="str">
            <v>ESTANCIA EXP PARKING</v>
          </cell>
          <cell r="E130" t="str">
            <v>MALLS</v>
          </cell>
        </row>
        <row r="131">
          <cell r="A131">
            <v>80225202</v>
          </cell>
          <cell r="D131" t="str">
            <v>ESTANCIA EXP2 (X)</v>
          </cell>
          <cell r="E131" t="str">
            <v>MALLS</v>
          </cell>
        </row>
        <row r="132">
          <cell r="A132">
            <v>81225202</v>
          </cell>
          <cell r="D132" t="str">
            <v>ESTANCIA EXP2 (X)</v>
          </cell>
          <cell r="E132" t="str">
            <v>MALLS</v>
          </cell>
        </row>
        <row r="133">
          <cell r="A133">
            <v>80225203</v>
          </cell>
          <cell r="D133" t="str">
            <v>ESTANCIA EXP3 (X)</v>
          </cell>
          <cell r="E133" t="str">
            <v>MALLS</v>
          </cell>
        </row>
        <row r="134">
          <cell r="A134">
            <v>81225203</v>
          </cell>
          <cell r="D134" t="str">
            <v>ESTANCIA EXP3 (X)</v>
          </cell>
          <cell r="E134" t="str">
            <v>MALLS</v>
          </cell>
        </row>
        <row r="135">
          <cell r="A135">
            <v>80225103</v>
          </cell>
          <cell r="D135" t="str">
            <v>ESTANCIA LAND LEASE</v>
          </cell>
          <cell r="E135" t="str">
            <v>MALLS</v>
          </cell>
        </row>
        <row r="136">
          <cell r="A136">
            <v>81225103</v>
          </cell>
          <cell r="D136" t="str">
            <v>ESTANCIA LAND LEASE</v>
          </cell>
          <cell r="E136" t="str">
            <v>MALLS</v>
          </cell>
        </row>
        <row r="137">
          <cell r="A137">
            <v>80225102</v>
          </cell>
          <cell r="D137" t="str">
            <v>ESTANCIA PARKING</v>
          </cell>
          <cell r="E137" t="str">
            <v>MALLS</v>
          </cell>
        </row>
        <row r="138">
          <cell r="A138">
            <v>81225102</v>
          </cell>
          <cell r="D138" t="str">
            <v>ESTANCIA PARKING</v>
          </cell>
          <cell r="E138" t="str">
            <v>MALLS</v>
          </cell>
        </row>
        <row r="139">
          <cell r="A139">
            <v>80225101</v>
          </cell>
          <cell r="D139" t="str">
            <v>ESTANCIA RETAIL</v>
          </cell>
          <cell r="E139" t="str">
            <v>MALLS</v>
          </cell>
        </row>
        <row r="140">
          <cell r="A140">
            <v>81225101</v>
          </cell>
          <cell r="D140" t="str">
            <v>ESTANCIA RETAIL</v>
          </cell>
          <cell r="E140" t="str">
            <v>MALLS</v>
          </cell>
        </row>
        <row r="141">
          <cell r="A141">
            <v>80225209</v>
          </cell>
          <cell r="D141" t="str">
            <v>ESTANCIA SNACKBAR-DC</v>
          </cell>
          <cell r="E141" t="str">
            <v>MALLS</v>
          </cell>
        </row>
        <row r="142">
          <cell r="A142">
            <v>81225209</v>
          </cell>
          <cell r="D142" t="str">
            <v>ESTANCIA SNACKBAR-DC</v>
          </cell>
          <cell r="E142" t="str">
            <v>MALLS</v>
          </cell>
        </row>
        <row r="143">
          <cell r="A143">
            <v>80225208</v>
          </cell>
          <cell r="D143" t="str">
            <v>ESTANCIA SNACKBAR-RC</v>
          </cell>
          <cell r="E143" t="str">
            <v>MALLS</v>
          </cell>
        </row>
        <row r="144">
          <cell r="A144">
            <v>81225208</v>
          </cell>
          <cell r="D144" t="str">
            <v>ESTANCIA SNACKBAR-RC</v>
          </cell>
          <cell r="E144" t="str">
            <v>MALLS</v>
          </cell>
        </row>
        <row r="145">
          <cell r="A145">
            <v>80312101</v>
          </cell>
          <cell r="D145" t="str">
            <v>ESTATE FINANCE</v>
          </cell>
          <cell r="E145" t="str">
            <v>CORPORATE</v>
          </cell>
        </row>
        <row r="146">
          <cell r="A146">
            <v>81312101</v>
          </cell>
          <cell r="D146" t="str">
            <v>ESTATE FINANCE</v>
          </cell>
          <cell r="E146" t="str">
            <v>CORPORATE</v>
          </cell>
        </row>
        <row r="147">
          <cell r="A147">
            <v>90312101</v>
          </cell>
          <cell r="D147" t="str">
            <v>ESTATE FINANCE</v>
          </cell>
          <cell r="E147" t="str">
            <v>CORPORATE</v>
          </cell>
        </row>
        <row r="148">
          <cell r="A148">
            <v>80215104</v>
          </cell>
          <cell r="D148" t="str">
            <v>ESTATES BUSINESS UNI</v>
          </cell>
          <cell r="E148" t="str">
            <v>CORPORATE</v>
          </cell>
        </row>
        <row r="149">
          <cell r="A149">
            <v>81215104</v>
          </cell>
          <cell r="D149" t="str">
            <v>ESTATES BUSINESS UNI</v>
          </cell>
          <cell r="E149" t="str">
            <v>CORPORATE</v>
          </cell>
        </row>
        <row r="150">
          <cell r="A150">
            <v>90215104</v>
          </cell>
          <cell r="D150" t="str">
            <v>ESTATES BUSINESS UNI</v>
          </cell>
          <cell r="E150" t="str">
            <v>CORPORATE</v>
          </cell>
        </row>
        <row r="151">
          <cell r="A151">
            <v>80319301</v>
          </cell>
          <cell r="D151" t="str">
            <v>ESTATES OPERATION</v>
          </cell>
          <cell r="E151" t="str">
            <v>CORPORATE</v>
          </cell>
        </row>
        <row r="152">
          <cell r="A152">
            <v>81319301</v>
          </cell>
          <cell r="D152" t="str">
            <v>ESTATES OPERATION</v>
          </cell>
          <cell r="E152" t="str">
            <v>CORPORATE</v>
          </cell>
        </row>
        <row r="153">
          <cell r="A153">
            <v>90319301</v>
          </cell>
          <cell r="D153" t="str">
            <v>ESTATES OPERATION</v>
          </cell>
          <cell r="E153" t="str">
            <v>CORPORATE</v>
          </cell>
        </row>
        <row r="154">
          <cell r="A154">
            <v>80125101</v>
          </cell>
          <cell r="D154" t="str">
            <v>EXTERNAL AFFAIRS DEP</v>
          </cell>
          <cell r="E154" t="str">
            <v>CORPORATE</v>
          </cell>
        </row>
        <row r="155">
          <cell r="A155">
            <v>81125101</v>
          </cell>
          <cell r="D155" t="str">
            <v>EXTERNAL AFFAIRS DEP</v>
          </cell>
          <cell r="E155" t="str">
            <v>CORPORATE</v>
          </cell>
        </row>
        <row r="156">
          <cell r="A156">
            <v>90125101</v>
          </cell>
          <cell r="D156" t="str">
            <v>EXTERNAL AFFAIRS DEP</v>
          </cell>
          <cell r="E156" t="str">
            <v>CORPORATE</v>
          </cell>
        </row>
        <row r="157">
          <cell r="A157">
            <v>80131101</v>
          </cell>
          <cell r="D157" t="str">
            <v>FINANCE - COMMON</v>
          </cell>
          <cell r="E157" t="str">
            <v>CORPORATE</v>
          </cell>
        </row>
        <row r="158">
          <cell r="A158">
            <v>81131101</v>
          </cell>
          <cell r="D158" t="str">
            <v>FINANCE - COMMON</v>
          </cell>
          <cell r="E158" t="str">
            <v>CORPORATE</v>
          </cell>
        </row>
        <row r="159">
          <cell r="A159">
            <v>90131101</v>
          </cell>
          <cell r="D159" t="str">
            <v>FINANCE - COMMON</v>
          </cell>
          <cell r="E159" t="str">
            <v>CORPORATE</v>
          </cell>
        </row>
        <row r="160">
          <cell r="A160">
            <v>80221207</v>
          </cell>
          <cell r="D160" t="str">
            <v>G-STRIP</v>
          </cell>
          <cell r="E160" t="str">
            <v>MALLS</v>
          </cell>
        </row>
        <row r="161">
          <cell r="A161">
            <v>81221207</v>
          </cell>
          <cell r="D161" t="str">
            <v>G-STRIP</v>
          </cell>
          <cell r="E161" t="str">
            <v>MALLS</v>
          </cell>
        </row>
        <row r="162">
          <cell r="A162">
            <v>80226201</v>
          </cell>
          <cell r="D162" t="str">
            <v>GALLEON - RETAIL</v>
          </cell>
          <cell r="E162" t="str">
            <v>MALLS</v>
          </cell>
        </row>
        <row r="163">
          <cell r="A163">
            <v>81226201</v>
          </cell>
          <cell r="D163" t="str">
            <v>GALLEON - RETAIL</v>
          </cell>
          <cell r="E163" t="str">
            <v>MALLS</v>
          </cell>
        </row>
        <row r="164">
          <cell r="A164">
            <v>80334105</v>
          </cell>
          <cell r="D164" t="str">
            <v>GALLEON OFFICE TOWER</v>
          </cell>
          <cell r="E164" t="str">
            <v>RESIDENTIAL</v>
          </cell>
        </row>
        <row r="165">
          <cell r="A165">
            <v>80334104</v>
          </cell>
          <cell r="D165" t="str">
            <v>GALLEON RESI TOWER</v>
          </cell>
          <cell r="E165" t="str">
            <v>RESIDENTIAL</v>
          </cell>
        </row>
        <row r="166">
          <cell r="A166">
            <v>80331106</v>
          </cell>
          <cell r="D166" t="str">
            <v>GARDEN HOMES</v>
          </cell>
          <cell r="E166" t="str">
            <v>RESIDENTIAL</v>
          </cell>
        </row>
        <row r="167">
          <cell r="A167">
            <v>80225301</v>
          </cell>
          <cell r="D167" t="str">
            <v>GASTRO</v>
          </cell>
          <cell r="E167" t="str">
            <v>MALLS</v>
          </cell>
        </row>
        <row r="168">
          <cell r="A168">
            <v>81225301</v>
          </cell>
          <cell r="D168" t="str">
            <v>GASTRO</v>
          </cell>
          <cell r="E168" t="str">
            <v>MALLS</v>
          </cell>
        </row>
        <row r="169">
          <cell r="A169">
            <v>80225302</v>
          </cell>
          <cell r="D169" t="str">
            <v>GASTRO - PARKING</v>
          </cell>
          <cell r="E169" t="str">
            <v>ESTATES</v>
          </cell>
        </row>
        <row r="170">
          <cell r="A170">
            <v>80225303</v>
          </cell>
          <cell r="D170" t="str">
            <v>GASTRO LAND LEASE</v>
          </cell>
          <cell r="E170" t="str">
            <v>MALLS</v>
          </cell>
        </row>
        <row r="171">
          <cell r="A171">
            <v>81225303</v>
          </cell>
          <cell r="D171" t="str">
            <v>GASTRO LAND LEASE</v>
          </cell>
          <cell r="E171" t="str">
            <v>MALLS</v>
          </cell>
        </row>
        <row r="172">
          <cell r="A172">
            <v>81225302</v>
          </cell>
          <cell r="D172" t="str">
            <v>GASTRO PARKING (X)</v>
          </cell>
          <cell r="E172" t="str">
            <v>ESTATES</v>
          </cell>
        </row>
        <row r="173">
          <cell r="A173">
            <v>80341101</v>
          </cell>
          <cell r="D173" t="str">
            <v>GC ESTATES</v>
          </cell>
          <cell r="E173" t="str">
            <v>ESTATES</v>
          </cell>
        </row>
        <row r="174">
          <cell r="A174">
            <v>81341101</v>
          </cell>
          <cell r="D174" t="str">
            <v>GC ESTATES</v>
          </cell>
          <cell r="E174" t="str">
            <v>ESTATES</v>
          </cell>
        </row>
        <row r="175">
          <cell r="A175">
            <v>80332105</v>
          </cell>
          <cell r="D175" t="str">
            <v>GENTRY TOWER</v>
          </cell>
          <cell r="E175" t="str">
            <v>RESIDENTIAL</v>
          </cell>
        </row>
        <row r="176">
          <cell r="A176">
            <v>80221703</v>
          </cell>
          <cell r="D176" t="str">
            <v>GH ANNEX NEW GREENLA</v>
          </cell>
          <cell r="E176" t="str">
            <v>MALLS</v>
          </cell>
        </row>
        <row r="177">
          <cell r="A177">
            <v>81221703</v>
          </cell>
          <cell r="D177" t="str">
            <v>GH ANNEX NEW GREENLA</v>
          </cell>
          <cell r="E177" t="str">
            <v>MALLS</v>
          </cell>
        </row>
        <row r="178">
          <cell r="A178">
            <v>80221603</v>
          </cell>
          <cell r="D178" t="str">
            <v>GH ANNX LIFESTYLE P1</v>
          </cell>
          <cell r="E178" t="str">
            <v>MALLS</v>
          </cell>
        </row>
        <row r="179">
          <cell r="A179">
            <v>81221603</v>
          </cell>
          <cell r="D179" t="str">
            <v>GH ANNX LIFESTYLE P1</v>
          </cell>
          <cell r="E179" t="str">
            <v>MALLS</v>
          </cell>
        </row>
        <row r="180">
          <cell r="A180">
            <v>80221705</v>
          </cell>
          <cell r="D180" t="str">
            <v>GH CINEMA</v>
          </cell>
          <cell r="E180" t="str">
            <v>MALLS</v>
          </cell>
        </row>
        <row r="181">
          <cell r="A181">
            <v>81221705</v>
          </cell>
          <cell r="D181" t="str">
            <v>GH CINEMA</v>
          </cell>
          <cell r="E181" t="str">
            <v>MALLS</v>
          </cell>
        </row>
        <row r="182">
          <cell r="A182">
            <v>80221706</v>
          </cell>
          <cell r="D182" t="str">
            <v>GH FOODCOURT</v>
          </cell>
          <cell r="E182" t="str">
            <v>MALLS</v>
          </cell>
        </row>
        <row r="183">
          <cell r="A183">
            <v>81221706</v>
          </cell>
          <cell r="D183" t="str">
            <v>GH FOODCOURT</v>
          </cell>
          <cell r="E183" t="str">
            <v>MALLS</v>
          </cell>
        </row>
        <row r="184">
          <cell r="A184">
            <v>80221602</v>
          </cell>
          <cell r="D184" t="str">
            <v>GH PARKING 6</v>
          </cell>
          <cell r="E184" t="str">
            <v>MALLS</v>
          </cell>
        </row>
        <row r="185">
          <cell r="A185">
            <v>81221602</v>
          </cell>
          <cell r="D185" t="str">
            <v>GH PARKING 6</v>
          </cell>
          <cell r="E185" t="str">
            <v>MALLS</v>
          </cell>
        </row>
        <row r="186">
          <cell r="A186">
            <v>80221704</v>
          </cell>
          <cell r="D186" t="str">
            <v>GH PHASE  1 PARKING</v>
          </cell>
          <cell r="E186" t="str">
            <v>MALLS</v>
          </cell>
        </row>
        <row r="187">
          <cell r="A187">
            <v>81221704</v>
          </cell>
          <cell r="D187" t="str">
            <v>GH PHASE  1 PARKING</v>
          </cell>
          <cell r="E187" t="str">
            <v>MALLS</v>
          </cell>
        </row>
        <row r="188">
          <cell r="A188">
            <v>81221701</v>
          </cell>
          <cell r="D188" t="str">
            <v>GH PHASE 1 MALL</v>
          </cell>
          <cell r="E188" t="str">
            <v>MALLS</v>
          </cell>
        </row>
        <row r="189">
          <cell r="A189" t="str">
            <v>803331CC</v>
          </cell>
          <cell r="D189" t="str">
            <v>GH RESL - COMMON</v>
          </cell>
          <cell r="E189" t="str">
            <v>RESIDENTIAL</v>
          </cell>
        </row>
        <row r="190">
          <cell r="A190">
            <v>80325101</v>
          </cell>
          <cell r="D190" t="str">
            <v>GH TOWER</v>
          </cell>
          <cell r="E190" t="str">
            <v>OFFICES</v>
          </cell>
        </row>
        <row r="191">
          <cell r="A191">
            <v>81325101</v>
          </cell>
          <cell r="D191" t="str">
            <v>GH TOWER</v>
          </cell>
          <cell r="E191" t="str">
            <v>OFFICES</v>
          </cell>
        </row>
        <row r="192">
          <cell r="A192">
            <v>80336102</v>
          </cell>
          <cell r="D192" t="str">
            <v>GLASTON</v>
          </cell>
          <cell r="E192" t="str">
            <v>RESIDENTIAL</v>
          </cell>
        </row>
        <row r="193">
          <cell r="A193">
            <v>80335101</v>
          </cell>
          <cell r="D193" t="str">
            <v>GREEN VALLEY</v>
          </cell>
          <cell r="E193" t="str">
            <v>RESIDENTIAL</v>
          </cell>
        </row>
        <row r="194">
          <cell r="A194">
            <v>80221202</v>
          </cell>
          <cell r="D194" t="str">
            <v>GSC - PARKING</v>
          </cell>
          <cell r="E194" t="str">
            <v>MALLS</v>
          </cell>
        </row>
        <row r="195">
          <cell r="A195">
            <v>80221203</v>
          </cell>
          <cell r="D195" t="str">
            <v>GSC - TIANGGE</v>
          </cell>
          <cell r="E195" t="str">
            <v>MALLS</v>
          </cell>
        </row>
        <row r="196">
          <cell r="A196">
            <v>80221101</v>
          </cell>
          <cell r="D196" t="str">
            <v>GSC DEVELOPABLE</v>
          </cell>
          <cell r="E196" t="str">
            <v>MALLS</v>
          </cell>
        </row>
        <row r="197">
          <cell r="A197">
            <v>81221101</v>
          </cell>
          <cell r="D197" t="str">
            <v>GSC DEVELOPABLE</v>
          </cell>
          <cell r="E197" t="str">
            <v>MALLS</v>
          </cell>
        </row>
        <row r="198">
          <cell r="A198">
            <v>80221102</v>
          </cell>
          <cell r="D198" t="str">
            <v>GSC LAND LEASE</v>
          </cell>
          <cell r="E198" t="str">
            <v>MALLS</v>
          </cell>
        </row>
        <row r="199">
          <cell r="A199">
            <v>81221102</v>
          </cell>
          <cell r="D199" t="str">
            <v>GSC LAND LEASE</v>
          </cell>
          <cell r="E199" t="str">
            <v>MALLS</v>
          </cell>
        </row>
        <row r="200">
          <cell r="A200" t="str">
            <v>802211CC</v>
          </cell>
          <cell r="D200" t="str">
            <v>GSC MALLS - COMMON</v>
          </cell>
          <cell r="E200" t="str">
            <v>MALLS</v>
          </cell>
        </row>
        <row r="201">
          <cell r="A201" t="str">
            <v>812211CC</v>
          </cell>
          <cell r="D201" t="str">
            <v>GSC MALLS - COMMON</v>
          </cell>
          <cell r="E201" t="str">
            <v>MALLS</v>
          </cell>
        </row>
        <row r="202">
          <cell r="A202">
            <v>80221201</v>
          </cell>
          <cell r="D202" t="str">
            <v>GSC OLD BLDGS</v>
          </cell>
          <cell r="E202" t="str">
            <v>MALLS</v>
          </cell>
        </row>
        <row r="203">
          <cell r="A203">
            <v>81221201</v>
          </cell>
          <cell r="D203" t="str">
            <v>GSC OLD BLDGS</v>
          </cell>
          <cell r="E203" t="str">
            <v>MALLS</v>
          </cell>
        </row>
        <row r="204">
          <cell r="A204">
            <v>81221202</v>
          </cell>
          <cell r="D204" t="str">
            <v>GSC PARKING</v>
          </cell>
          <cell r="E204" t="str">
            <v>MALLS</v>
          </cell>
        </row>
        <row r="205">
          <cell r="A205">
            <v>80221204</v>
          </cell>
          <cell r="D205" t="str">
            <v>GSC PAY LOUNGES</v>
          </cell>
          <cell r="E205" t="str">
            <v>MALLS</v>
          </cell>
        </row>
        <row r="206">
          <cell r="A206">
            <v>81221204</v>
          </cell>
          <cell r="D206" t="str">
            <v>GSC PAY LOUNGES</v>
          </cell>
          <cell r="E206" t="str">
            <v>MALLS</v>
          </cell>
        </row>
        <row r="207">
          <cell r="A207">
            <v>80221601</v>
          </cell>
          <cell r="D207" t="str">
            <v>GSC PHASE 2B+3C (X)</v>
          </cell>
          <cell r="E207" t="str">
            <v>MALLS</v>
          </cell>
        </row>
        <row r="208">
          <cell r="A208">
            <v>81221601</v>
          </cell>
          <cell r="D208" t="str">
            <v>GSC PHASE 2B+3C (X)</v>
          </cell>
          <cell r="E208" t="str">
            <v>MALLS</v>
          </cell>
        </row>
        <row r="209">
          <cell r="A209">
            <v>80221701</v>
          </cell>
          <cell r="D209" t="str">
            <v>GSC PHASE 3A+3B (X)</v>
          </cell>
          <cell r="E209" t="str">
            <v>MALLS</v>
          </cell>
        </row>
        <row r="210">
          <cell r="A210">
            <v>80221901</v>
          </cell>
          <cell r="D210" t="str">
            <v>GSC PHASE 4 (X)</v>
          </cell>
          <cell r="E210" t="str">
            <v>MALLS</v>
          </cell>
        </row>
        <row r="211">
          <cell r="A211" t="str">
            <v>80221A01</v>
          </cell>
          <cell r="D211" t="str">
            <v>GSC PHASE 5B (X)</v>
          </cell>
          <cell r="E211" t="str">
            <v>MALLS</v>
          </cell>
        </row>
        <row r="212">
          <cell r="A212">
            <v>81221203</v>
          </cell>
          <cell r="D212" t="str">
            <v>GSC TIANGGE</v>
          </cell>
          <cell r="E212" t="str">
            <v>MALLS</v>
          </cell>
        </row>
        <row r="213">
          <cell r="A213">
            <v>80333103</v>
          </cell>
          <cell r="D213" t="str">
            <v>GSC TOWER 3</v>
          </cell>
          <cell r="E213" t="str">
            <v>RESIDENTIAL</v>
          </cell>
        </row>
        <row r="214">
          <cell r="A214">
            <v>80333104</v>
          </cell>
          <cell r="D214" t="str">
            <v>GSC TOWER 4</v>
          </cell>
          <cell r="E214" t="str">
            <v>RESIDENTIAL</v>
          </cell>
        </row>
        <row r="215">
          <cell r="A215">
            <v>80313103</v>
          </cell>
          <cell r="D215" t="str">
            <v>HANDOVER MGT DEPT</v>
          </cell>
          <cell r="E215" t="str">
            <v>CORPORATE</v>
          </cell>
        </row>
        <row r="216">
          <cell r="A216">
            <v>81313103</v>
          </cell>
          <cell r="D216" t="str">
            <v>HANDOVER MGT DEPT</v>
          </cell>
          <cell r="E216" t="str">
            <v>CORPORATE</v>
          </cell>
        </row>
        <row r="217">
          <cell r="A217">
            <v>90313103</v>
          </cell>
          <cell r="D217" t="str">
            <v>HANDOVER MGT DEPT</v>
          </cell>
          <cell r="E217" t="str">
            <v>CORPORATE</v>
          </cell>
        </row>
        <row r="218">
          <cell r="A218">
            <v>80122101</v>
          </cell>
          <cell r="D218" t="str">
            <v>HUMAN RESOURCES</v>
          </cell>
          <cell r="E218" t="str">
            <v>CORPORATE</v>
          </cell>
        </row>
        <row r="219">
          <cell r="A219">
            <v>81122101</v>
          </cell>
          <cell r="D219" t="str">
            <v>HUMAN RESOURCES</v>
          </cell>
          <cell r="E219" t="str">
            <v>CORPORATE</v>
          </cell>
        </row>
        <row r="220">
          <cell r="A220">
            <v>90122101</v>
          </cell>
          <cell r="D220" t="str">
            <v>HUMAN RESOURCES</v>
          </cell>
          <cell r="E220" t="str">
            <v>CORPORATE</v>
          </cell>
        </row>
        <row r="221">
          <cell r="A221">
            <v>80324107</v>
          </cell>
          <cell r="D221" t="str">
            <v>IBIZA - RESI LEASING</v>
          </cell>
          <cell r="E221" t="str">
            <v>RESIDENTIAL</v>
          </cell>
        </row>
        <row r="222">
          <cell r="A222">
            <v>80331107</v>
          </cell>
          <cell r="D222" t="str">
            <v>Ibiza Serviced Res</v>
          </cell>
          <cell r="E222" t="str">
            <v>RESIDENTIAL</v>
          </cell>
        </row>
        <row r="223">
          <cell r="A223">
            <v>80331102</v>
          </cell>
          <cell r="D223" t="str">
            <v>IBIZA TOWER</v>
          </cell>
          <cell r="E223" t="str">
            <v>RESIDENTIAL</v>
          </cell>
        </row>
        <row r="224">
          <cell r="A224">
            <v>80321301</v>
          </cell>
          <cell r="D224" t="str">
            <v>IBP TOWER</v>
          </cell>
          <cell r="E224" t="str">
            <v>OFFICES</v>
          </cell>
        </row>
        <row r="225">
          <cell r="A225">
            <v>81321301</v>
          </cell>
          <cell r="D225" t="str">
            <v>IBP TOWER</v>
          </cell>
          <cell r="E225" t="str">
            <v>OFFICES</v>
          </cell>
        </row>
        <row r="226">
          <cell r="A226">
            <v>80321303</v>
          </cell>
          <cell r="D226" t="str">
            <v>IBP TOWER - CG</v>
          </cell>
          <cell r="E226" t="str">
            <v>OFFICES</v>
          </cell>
        </row>
        <row r="227">
          <cell r="A227">
            <v>81321303</v>
          </cell>
          <cell r="D227" t="str">
            <v>IBP TOWER - CG</v>
          </cell>
          <cell r="E227" t="str">
            <v>OFFICES</v>
          </cell>
        </row>
        <row r="228">
          <cell r="A228">
            <v>80321302</v>
          </cell>
          <cell r="D228" t="str">
            <v>IBP TOWER PARKING</v>
          </cell>
          <cell r="E228" t="str">
            <v>OFFICES</v>
          </cell>
        </row>
        <row r="229">
          <cell r="A229">
            <v>81321302</v>
          </cell>
          <cell r="D229" t="str">
            <v>IBP TOWER PARKING</v>
          </cell>
          <cell r="E229" t="str">
            <v>OFFICES</v>
          </cell>
        </row>
        <row r="230">
          <cell r="A230">
            <v>80323402</v>
          </cell>
          <cell r="D230" t="str">
            <v>IMPERIUM - RESI LEAS</v>
          </cell>
          <cell r="E230" t="str">
            <v>RESIDENTIAL</v>
          </cell>
        </row>
        <row r="231">
          <cell r="A231">
            <v>80225503</v>
          </cell>
          <cell r="D231" t="str">
            <v>IMPERIUM RETAIL</v>
          </cell>
          <cell r="E231" t="str">
            <v>MALLS</v>
          </cell>
        </row>
        <row r="232">
          <cell r="A232">
            <v>81225503</v>
          </cell>
          <cell r="D232" t="str">
            <v>IMPERIUM RETAIL</v>
          </cell>
          <cell r="E232" t="str">
            <v>MALLS</v>
          </cell>
        </row>
        <row r="233">
          <cell r="A233">
            <v>80332102</v>
          </cell>
          <cell r="D233" t="str">
            <v>IMPERIUM TOWER</v>
          </cell>
          <cell r="E233" t="str">
            <v>RESIDENTIAL</v>
          </cell>
        </row>
        <row r="234">
          <cell r="A234">
            <v>80224101</v>
          </cell>
          <cell r="D234" t="str">
            <v>INDUSTRIA</v>
          </cell>
          <cell r="E234" t="str">
            <v>ESTATES</v>
          </cell>
        </row>
        <row r="235">
          <cell r="A235">
            <v>81224101</v>
          </cell>
          <cell r="D235" t="str">
            <v>INDUSTRIA</v>
          </cell>
          <cell r="E235" t="str">
            <v>ESTATES</v>
          </cell>
        </row>
        <row r="236">
          <cell r="A236">
            <v>81224102</v>
          </cell>
          <cell r="D236" t="str">
            <v>INDUSTRIA PARKING</v>
          </cell>
          <cell r="E236" t="str">
            <v>ESTATES</v>
          </cell>
        </row>
        <row r="237">
          <cell r="A237">
            <v>80224102</v>
          </cell>
          <cell r="D237" t="str">
            <v>INDUSTRIA-PARKING</v>
          </cell>
          <cell r="E237" t="str">
            <v>ESTATES</v>
          </cell>
        </row>
        <row r="238">
          <cell r="A238">
            <v>80111202</v>
          </cell>
          <cell r="D238" t="str">
            <v>INTERNAL AUDIT</v>
          </cell>
          <cell r="E238" t="str">
            <v>CORPORATE</v>
          </cell>
        </row>
        <row r="239">
          <cell r="A239">
            <v>81111202</v>
          </cell>
          <cell r="D239" t="str">
            <v>INTERNAL AUDIT</v>
          </cell>
          <cell r="E239" t="str">
            <v>CORPORATE</v>
          </cell>
        </row>
        <row r="240">
          <cell r="A240">
            <v>90111202</v>
          </cell>
          <cell r="D240" t="str">
            <v>INTERNAL AUDIT</v>
          </cell>
          <cell r="E240" t="str">
            <v>CORPORATE</v>
          </cell>
        </row>
        <row r="241">
          <cell r="A241">
            <v>80124101</v>
          </cell>
          <cell r="D241" t="str">
            <v>IS &amp; IT</v>
          </cell>
          <cell r="E241" t="str">
            <v>CORPORATE</v>
          </cell>
        </row>
        <row r="242">
          <cell r="A242">
            <v>81124101</v>
          </cell>
          <cell r="D242" t="str">
            <v>IS &amp; IT</v>
          </cell>
          <cell r="E242" t="str">
            <v>CORPORATE</v>
          </cell>
        </row>
        <row r="243">
          <cell r="A243">
            <v>90124101</v>
          </cell>
          <cell r="D243" t="str">
            <v>IS &amp; IT</v>
          </cell>
          <cell r="E243" t="str">
            <v>CORPORATE</v>
          </cell>
        </row>
        <row r="244">
          <cell r="A244">
            <v>80322401</v>
          </cell>
          <cell r="D244" t="str">
            <v>LAS FIESTAS - OFFICE</v>
          </cell>
          <cell r="E244" t="str">
            <v>OFFICES</v>
          </cell>
        </row>
        <row r="245">
          <cell r="A245">
            <v>81322401</v>
          </cell>
          <cell r="D245" t="str">
            <v>LAS FIESTAS - OFFICE</v>
          </cell>
          <cell r="E245" t="str">
            <v>OFFICES</v>
          </cell>
        </row>
        <row r="246">
          <cell r="A246">
            <v>80222501</v>
          </cell>
          <cell r="D246" t="str">
            <v>LAS FIESTAS - RETAIL</v>
          </cell>
          <cell r="E246" t="str">
            <v>MALLS</v>
          </cell>
        </row>
        <row r="247">
          <cell r="A247">
            <v>81222501</v>
          </cell>
          <cell r="D247" t="str">
            <v>LAS FIESTAS - RETAIL</v>
          </cell>
          <cell r="E247" t="str">
            <v>MALLS</v>
          </cell>
        </row>
        <row r="248">
          <cell r="A248">
            <v>80123101</v>
          </cell>
          <cell r="D248" t="str">
            <v>LEGAL</v>
          </cell>
          <cell r="E248" t="str">
            <v>CORPORATE</v>
          </cell>
        </row>
        <row r="249">
          <cell r="A249">
            <v>81123101</v>
          </cell>
          <cell r="D249" t="str">
            <v>LEGAL</v>
          </cell>
          <cell r="E249" t="str">
            <v>CORPORATE</v>
          </cell>
        </row>
        <row r="250">
          <cell r="A250">
            <v>90123101</v>
          </cell>
          <cell r="D250" t="str">
            <v>LEGAL</v>
          </cell>
          <cell r="E250" t="str">
            <v>CORPORATE</v>
          </cell>
        </row>
        <row r="251">
          <cell r="A251">
            <v>80324109</v>
          </cell>
          <cell r="D251" t="str">
            <v>LLEIDA - RESI LEASIN</v>
          </cell>
          <cell r="E251" t="str">
            <v>RESIDENTIAL</v>
          </cell>
        </row>
        <row r="252">
          <cell r="A252">
            <v>80331104</v>
          </cell>
          <cell r="D252" t="str">
            <v>LLEIDA TOWER</v>
          </cell>
          <cell r="E252" t="str">
            <v>RESIDENTIAL</v>
          </cell>
        </row>
        <row r="253">
          <cell r="A253">
            <v>80324106</v>
          </cell>
          <cell r="D253" t="str">
            <v>MAJORCA - RESI LEASI</v>
          </cell>
          <cell r="E253" t="str">
            <v>RESIDENTIAL</v>
          </cell>
        </row>
        <row r="254">
          <cell r="A254">
            <v>80331101</v>
          </cell>
          <cell r="D254" t="str">
            <v>MAJORCA RESIDENCES</v>
          </cell>
          <cell r="E254" t="str">
            <v>RESIDENTIAL</v>
          </cell>
        </row>
        <row r="255">
          <cell r="A255">
            <v>80111201</v>
          </cell>
          <cell r="D255" t="str">
            <v>MANCOM &amp; STAFF</v>
          </cell>
          <cell r="E255" t="str">
            <v>CORPORATE</v>
          </cell>
        </row>
        <row r="256">
          <cell r="A256">
            <v>81111201</v>
          </cell>
          <cell r="D256" t="str">
            <v>MANCOM &amp; STAFF</v>
          </cell>
          <cell r="E256" t="str">
            <v>CORPORATE</v>
          </cell>
        </row>
        <row r="257">
          <cell r="A257">
            <v>90111201</v>
          </cell>
          <cell r="D257" t="str">
            <v>MANCOM &amp; STAFF</v>
          </cell>
          <cell r="E257" t="str">
            <v>CORPORATE</v>
          </cell>
        </row>
        <row r="258">
          <cell r="A258">
            <v>80336101</v>
          </cell>
          <cell r="D258" t="str">
            <v>MAPLE TOWER</v>
          </cell>
          <cell r="E258" t="str">
            <v>RESIDENTIAL</v>
          </cell>
        </row>
        <row r="259">
          <cell r="A259">
            <v>80332104</v>
          </cell>
          <cell r="D259" t="str">
            <v>MARQUIS  TOWER</v>
          </cell>
          <cell r="E259" t="str">
            <v>RESIDENTIAL</v>
          </cell>
        </row>
        <row r="260">
          <cell r="A260">
            <v>80225504</v>
          </cell>
          <cell r="D260" t="str">
            <v>MAVEN RETAIL</v>
          </cell>
          <cell r="E260" t="str">
            <v>MALLS</v>
          </cell>
        </row>
        <row r="261">
          <cell r="A261">
            <v>81225504</v>
          </cell>
          <cell r="D261" t="str">
            <v>MAVEN RETAIL</v>
          </cell>
          <cell r="E261" t="str">
            <v>MALLS</v>
          </cell>
        </row>
        <row r="262">
          <cell r="A262">
            <v>80332201</v>
          </cell>
          <cell r="D262" t="str">
            <v>MAVEN TOWER</v>
          </cell>
          <cell r="E262" t="str">
            <v>RESIDENTIAL</v>
          </cell>
        </row>
        <row r="263">
          <cell r="A263">
            <v>80332202</v>
          </cell>
          <cell r="D263" t="str">
            <v>MAVEN TOWER 2</v>
          </cell>
          <cell r="E263" t="str">
            <v>RESIDENTIAL</v>
          </cell>
        </row>
        <row r="264">
          <cell r="A264">
            <v>80221208</v>
          </cell>
          <cell r="D264" t="str">
            <v>MCKINLEY ARCADE</v>
          </cell>
          <cell r="E264" t="str">
            <v>MALLS</v>
          </cell>
        </row>
        <row r="265">
          <cell r="A265">
            <v>81221208</v>
          </cell>
          <cell r="D265" t="str">
            <v>MCKINLEY ARCADE</v>
          </cell>
          <cell r="E265" t="str">
            <v>MALLS</v>
          </cell>
        </row>
        <row r="266">
          <cell r="A266">
            <v>80221401</v>
          </cell>
          <cell r="D266" t="str">
            <v>MCKINLEY BUILDING</v>
          </cell>
          <cell r="E266" t="str">
            <v>MALLS</v>
          </cell>
        </row>
        <row r="267">
          <cell r="A267">
            <v>81221401</v>
          </cell>
          <cell r="D267" t="str">
            <v>MCKINLEY BUILDING</v>
          </cell>
          <cell r="E267" t="str">
            <v>MALLS</v>
          </cell>
        </row>
        <row r="268">
          <cell r="A268">
            <v>80221301</v>
          </cell>
          <cell r="D268" t="str">
            <v>MISSOURI BUILDING</v>
          </cell>
          <cell r="E268" t="str">
            <v>MALLS</v>
          </cell>
        </row>
        <row r="269">
          <cell r="A269">
            <v>81221301</v>
          </cell>
          <cell r="D269" t="str">
            <v>MISSOURI BUILDING</v>
          </cell>
          <cell r="E269" t="str">
            <v>MALLS</v>
          </cell>
        </row>
        <row r="270">
          <cell r="A270">
            <v>81221702</v>
          </cell>
          <cell r="D270" t="str">
            <v>NEW VMALL PRKNG BLDG</v>
          </cell>
          <cell r="E270" t="str">
            <v>MALLS</v>
          </cell>
        </row>
        <row r="271">
          <cell r="A271">
            <v>80221501</v>
          </cell>
          <cell r="D271" t="str">
            <v>O SQUARE 1</v>
          </cell>
          <cell r="E271" t="str">
            <v>MALLS</v>
          </cell>
        </row>
        <row r="272">
          <cell r="A272">
            <v>81221501</v>
          </cell>
          <cell r="D272" t="str">
            <v>O SQUARE 1</v>
          </cell>
          <cell r="E272" t="str">
            <v>MALLS</v>
          </cell>
        </row>
        <row r="273">
          <cell r="A273">
            <v>80221502</v>
          </cell>
          <cell r="D273" t="str">
            <v>O SQUARE 2A</v>
          </cell>
          <cell r="E273" t="str">
            <v>MALLS</v>
          </cell>
        </row>
        <row r="274">
          <cell r="A274">
            <v>81221502</v>
          </cell>
          <cell r="D274" t="str">
            <v>O SQUARE 2A</v>
          </cell>
          <cell r="E274" t="str">
            <v>MALLS</v>
          </cell>
        </row>
        <row r="275">
          <cell r="A275">
            <v>80221503</v>
          </cell>
          <cell r="D275" t="str">
            <v>O SQUARE 2B</v>
          </cell>
          <cell r="E275" t="str">
            <v>MALLS</v>
          </cell>
        </row>
        <row r="276">
          <cell r="A276">
            <v>81221503</v>
          </cell>
          <cell r="D276" t="str">
            <v>O SQUARE 2B</v>
          </cell>
          <cell r="E276" t="str">
            <v>MALLS</v>
          </cell>
        </row>
        <row r="277">
          <cell r="A277">
            <v>81226102</v>
          </cell>
          <cell r="D277" t="str">
            <v>O-PARKLANE PARKING</v>
          </cell>
          <cell r="E277" t="str">
            <v>ESTATES</v>
          </cell>
        </row>
        <row r="278">
          <cell r="A278">
            <v>81226101</v>
          </cell>
          <cell r="D278" t="str">
            <v>O-PARKLANE RETAIL</v>
          </cell>
          <cell r="E278" t="str">
            <v>ESTATES</v>
          </cell>
        </row>
        <row r="279">
          <cell r="A279">
            <v>80321202</v>
          </cell>
          <cell r="D279" t="str">
            <v>OB CARPARK - OFFICE</v>
          </cell>
          <cell r="E279" t="str">
            <v>OFFICES</v>
          </cell>
        </row>
        <row r="280">
          <cell r="A280">
            <v>81321202</v>
          </cell>
          <cell r="D280" t="str">
            <v>OB CARPARK - OFFICE</v>
          </cell>
          <cell r="E280" t="str">
            <v>OFFICES</v>
          </cell>
        </row>
        <row r="281">
          <cell r="A281">
            <v>80226101</v>
          </cell>
          <cell r="D281" t="str">
            <v>OB PARKLANE</v>
          </cell>
          <cell r="E281" t="str">
            <v>ESTATES</v>
          </cell>
        </row>
        <row r="282">
          <cell r="A282">
            <v>80226102</v>
          </cell>
          <cell r="D282" t="str">
            <v>OB PARKLANE- PARKING</v>
          </cell>
          <cell r="E282" t="str">
            <v>ESTATES</v>
          </cell>
        </row>
        <row r="283">
          <cell r="A283">
            <v>80321101</v>
          </cell>
          <cell r="D283" t="str">
            <v>OC DEVELOPABLE</v>
          </cell>
          <cell r="E283" t="str">
            <v>ESTATES</v>
          </cell>
        </row>
        <row r="284">
          <cell r="A284">
            <v>81321101</v>
          </cell>
          <cell r="D284" t="str">
            <v>OC DEVELOPABLE</v>
          </cell>
          <cell r="E284" t="str">
            <v>ESTATES</v>
          </cell>
        </row>
        <row r="285">
          <cell r="A285">
            <v>80321199</v>
          </cell>
          <cell r="D285" t="str">
            <v>OC ESTATE PARKING</v>
          </cell>
          <cell r="E285" t="str">
            <v>ESTATES</v>
          </cell>
        </row>
        <row r="286">
          <cell r="A286">
            <v>81321199</v>
          </cell>
          <cell r="D286" t="str">
            <v>OC ESTATE PARKING</v>
          </cell>
          <cell r="E286" t="str">
            <v>ESTATES</v>
          </cell>
        </row>
        <row r="287">
          <cell r="A287">
            <v>80321102</v>
          </cell>
          <cell r="D287" t="str">
            <v>OC LAND LEASE</v>
          </cell>
          <cell r="E287" t="str">
            <v>ESTATES</v>
          </cell>
        </row>
        <row r="288">
          <cell r="A288">
            <v>81321102</v>
          </cell>
          <cell r="D288" t="str">
            <v>OC LAND LEASE</v>
          </cell>
          <cell r="E288" t="str">
            <v>ESTATES</v>
          </cell>
        </row>
        <row r="289">
          <cell r="A289" t="str">
            <v>803211CC</v>
          </cell>
          <cell r="D289" t="str">
            <v>OC LEASING - COMMON</v>
          </cell>
          <cell r="E289" t="str">
            <v>ESTATES</v>
          </cell>
        </row>
        <row r="290">
          <cell r="A290" t="str">
            <v>813211CC</v>
          </cell>
          <cell r="D290" t="str">
            <v>OC LEASING - COMMON</v>
          </cell>
          <cell r="E290" t="str">
            <v>ESTATES</v>
          </cell>
        </row>
        <row r="291">
          <cell r="A291" t="str">
            <v>803341CC</v>
          </cell>
          <cell r="D291" t="str">
            <v>OC RESL - COMMON</v>
          </cell>
          <cell r="E291" t="str">
            <v>RESIDENTIAL</v>
          </cell>
        </row>
        <row r="292">
          <cell r="A292">
            <v>81111102</v>
          </cell>
          <cell r="D292" t="str">
            <v>OCC ESTANCIA HQ</v>
          </cell>
          <cell r="E292" t="str">
            <v>CORPORATE</v>
          </cell>
        </row>
        <row r="293">
          <cell r="A293">
            <v>80111101</v>
          </cell>
          <cell r="D293" t="str">
            <v>OCLP-COMMON</v>
          </cell>
          <cell r="E293" t="str">
            <v>CORPORATE</v>
          </cell>
        </row>
        <row r="294">
          <cell r="A294" t="str">
            <v>803221CC</v>
          </cell>
          <cell r="D294" t="str">
            <v>OE - COMMON</v>
          </cell>
          <cell r="E294" t="str">
            <v>ESTATES</v>
          </cell>
        </row>
        <row r="295">
          <cell r="A295" t="str">
            <v>813221CC</v>
          </cell>
          <cell r="D295" t="str">
            <v>OE - COMMON</v>
          </cell>
          <cell r="E295" t="str">
            <v>ESTATES</v>
          </cell>
        </row>
        <row r="296">
          <cell r="A296">
            <v>80322501</v>
          </cell>
          <cell r="D296" t="str">
            <v>OE - OFFICE 1</v>
          </cell>
          <cell r="E296" t="str">
            <v>OFFICES</v>
          </cell>
        </row>
        <row r="297">
          <cell r="A297">
            <v>81322501</v>
          </cell>
          <cell r="D297" t="str">
            <v>OE - OFFICE 1</v>
          </cell>
          <cell r="E297" t="str">
            <v>OFFICES</v>
          </cell>
        </row>
        <row r="298">
          <cell r="A298">
            <v>81222601</v>
          </cell>
          <cell r="D298" t="str">
            <v>OE - RETAIL PHASE 1</v>
          </cell>
          <cell r="E298" t="str">
            <v>MALLS</v>
          </cell>
        </row>
        <row r="299">
          <cell r="A299">
            <v>80322101</v>
          </cell>
          <cell r="D299" t="str">
            <v>OE DEVELOPABLE</v>
          </cell>
          <cell r="E299" t="str">
            <v>ESTATES</v>
          </cell>
        </row>
        <row r="300">
          <cell r="A300">
            <v>81322101</v>
          </cell>
          <cell r="D300" t="str">
            <v>OE DEVELOPABLE</v>
          </cell>
          <cell r="E300" t="str">
            <v>ESTATES</v>
          </cell>
        </row>
        <row r="301">
          <cell r="A301">
            <v>80322199</v>
          </cell>
          <cell r="D301" t="str">
            <v>OE ESTATE PARKING</v>
          </cell>
          <cell r="E301" t="str">
            <v>ESTATES</v>
          </cell>
        </row>
        <row r="302">
          <cell r="A302">
            <v>81322199</v>
          </cell>
          <cell r="D302" t="str">
            <v>OE ESTATE PARKING</v>
          </cell>
          <cell r="E302" t="str">
            <v>ESTATES</v>
          </cell>
        </row>
        <row r="303">
          <cell r="A303">
            <v>80222402</v>
          </cell>
          <cell r="D303" t="str">
            <v>OE LAND - PARKING</v>
          </cell>
          <cell r="E303" t="str">
            <v>ESTATES</v>
          </cell>
        </row>
        <row r="304">
          <cell r="A304">
            <v>80222401</v>
          </cell>
          <cell r="D304" t="str">
            <v>OE LAND - RETAIL</v>
          </cell>
          <cell r="E304" t="str">
            <v>ESTATES</v>
          </cell>
        </row>
        <row r="305">
          <cell r="A305">
            <v>81222401</v>
          </cell>
          <cell r="D305" t="str">
            <v>OE LAND - RETAIL</v>
          </cell>
          <cell r="E305" t="str">
            <v>ESTATES</v>
          </cell>
        </row>
        <row r="306">
          <cell r="A306">
            <v>80322102</v>
          </cell>
          <cell r="D306" t="str">
            <v>OE LAND LEASE</v>
          </cell>
          <cell r="E306" t="str">
            <v>ESTATES</v>
          </cell>
        </row>
        <row r="307">
          <cell r="A307">
            <v>81322102</v>
          </cell>
          <cell r="D307" t="str">
            <v>OE LAND LEASE</v>
          </cell>
          <cell r="E307" t="str">
            <v>ESTATES</v>
          </cell>
        </row>
        <row r="308">
          <cell r="A308">
            <v>81222402</v>
          </cell>
          <cell r="D308" t="str">
            <v>OE LAND PARKING</v>
          </cell>
          <cell r="E308" t="str">
            <v>ESTATES</v>
          </cell>
        </row>
        <row r="309">
          <cell r="A309">
            <v>81222701</v>
          </cell>
          <cell r="D309" t="str">
            <v>OE MALL PHASE 1</v>
          </cell>
          <cell r="E309" t="str">
            <v>MALLS</v>
          </cell>
        </row>
        <row r="310">
          <cell r="A310">
            <v>80313102</v>
          </cell>
          <cell r="D310" t="str">
            <v>OFFICE LEASING</v>
          </cell>
          <cell r="E310" t="str">
            <v>CORPORATE</v>
          </cell>
        </row>
        <row r="311">
          <cell r="A311">
            <v>81313102</v>
          </cell>
          <cell r="D311" t="str">
            <v>OFFICE LEASING</v>
          </cell>
          <cell r="E311" t="str">
            <v>CORPORATE</v>
          </cell>
        </row>
        <row r="312">
          <cell r="A312">
            <v>90313102</v>
          </cell>
          <cell r="D312" t="str">
            <v>OFFICE LEASING</v>
          </cell>
          <cell r="E312" t="str">
            <v>CORPORATE</v>
          </cell>
        </row>
        <row r="313">
          <cell r="A313">
            <v>80312105</v>
          </cell>
          <cell r="D313" t="str">
            <v>OFFICE LEASING FINAN</v>
          </cell>
          <cell r="E313" t="str">
            <v>CORPORATE</v>
          </cell>
        </row>
        <row r="314">
          <cell r="A314">
            <v>81312105</v>
          </cell>
          <cell r="D314" t="str">
            <v>OFFICE LEASING FINAN</v>
          </cell>
          <cell r="E314" t="str">
            <v>CORPORATE</v>
          </cell>
        </row>
        <row r="315">
          <cell r="A315">
            <v>90312105</v>
          </cell>
          <cell r="D315" t="str">
            <v>OFFICE LEASING FINAN</v>
          </cell>
          <cell r="E315" t="str">
            <v>CORPORATE</v>
          </cell>
        </row>
        <row r="316">
          <cell r="A316">
            <v>80111204</v>
          </cell>
          <cell r="D316" t="str">
            <v>OFFICE OF THE CFO</v>
          </cell>
          <cell r="E316" t="str">
            <v>CORPORATE</v>
          </cell>
        </row>
        <row r="317">
          <cell r="A317">
            <v>81111204</v>
          </cell>
          <cell r="D317" t="str">
            <v>OFFICE OF THE CFO</v>
          </cell>
          <cell r="E317" t="str">
            <v>CORPORATE</v>
          </cell>
        </row>
        <row r="318">
          <cell r="A318">
            <v>90111204</v>
          </cell>
          <cell r="D318" t="str">
            <v>OFFICE OF THE CFO</v>
          </cell>
          <cell r="E318" t="str">
            <v>CORPORATE</v>
          </cell>
        </row>
        <row r="319">
          <cell r="A319">
            <v>80111206</v>
          </cell>
          <cell r="D319" t="str">
            <v>OFFICE OF THE COO</v>
          </cell>
          <cell r="E319" t="str">
            <v>CORPORATE</v>
          </cell>
        </row>
        <row r="320">
          <cell r="A320">
            <v>81111206</v>
          </cell>
          <cell r="D320" t="str">
            <v>OFFICE OF THE COO</v>
          </cell>
          <cell r="E320" t="str">
            <v>CORPORATE</v>
          </cell>
        </row>
        <row r="321">
          <cell r="A321">
            <v>90111206</v>
          </cell>
          <cell r="D321" t="str">
            <v>OFFICE OF THE COO</v>
          </cell>
          <cell r="E321" t="str">
            <v>CORPORATE</v>
          </cell>
        </row>
        <row r="322">
          <cell r="A322">
            <v>80111203</v>
          </cell>
          <cell r="D322" t="str">
            <v>OFFICE OF THE PRES.</v>
          </cell>
          <cell r="E322" t="str">
            <v>CORPORATE</v>
          </cell>
        </row>
        <row r="323">
          <cell r="A323">
            <v>81111203</v>
          </cell>
          <cell r="D323" t="str">
            <v>OFFICE OF THE PRES.</v>
          </cell>
          <cell r="E323" t="str">
            <v>CORPORATE</v>
          </cell>
        </row>
        <row r="324">
          <cell r="A324">
            <v>90111203</v>
          </cell>
          <cell r="D324" t="str">
            <v>OFFICE OF THE PRES.</v>
          </cell>
          <cell r="E324" t="str">
            <v>CORPORATE</v>
          </cell>
        </row>
        <row r="325">
          <cell r="A325">
            <v>80315102</v>
          </cell>
          <cell r="D325" t="str">
            <v>OFFICE/ESTATES BD/PD</v>
          </cell>
          <cell r="E325" t="str">
            <v>CORPORATE</v>
          </cell>
        </row>
        <row r="326">
          <cell r="A326">
            <v>81315102</v>
          </cell>
          <cell r="D326" t="str">
            <v>OFFICE/ESTATES BD/PD</v>
          </cell>
          <cell r="E326" t="str">
            <v>CORPORATE</v>
          </cell>
        </row>
        <row r="327">
          <cell r="A327">
            <v>90315102</v>
          </cell>
          <cell r="D327" t="str">
            <v>OFFICE/ESTATES BD/PD</v>
          </cell>
          <cell r="E327" t="str">
            <v>CORPORATE</v>
          </cell>
        </row>
        <row r="328">
          <cell r="A328">
            <v>80319202</v>
          </cell>
          <cell r="D328" t="str">
            <v>OFFICES OPERATIONS</v>
          </cell>
          <cell r="E328" t="str">
            <v>CORPORATE</v>
          </cell>
        </row>
        <row r="329">
          <cell r="A329">
            <v>81319202</v>
          </cell>
          <cell r="D329" t="str">
            <v>OFFICES OPERATIONS</v>
          </cell>
          <cell r="E329" t="str">
            <v>CORPORATE</v>
          </cell>
        </row>
        <row r="330">
          <cell r="A330">
            <v>90319202</v>
          </cell>
          <cell r="D330" t="str">
            <v>OFFICES OPERATIONS</v>
          </cell>
          <cell r="E330" t="str">
            <v>CORPORATE</v>
          </cell>
        </row>
        <row r="331">
          <cell r="A331">
            <v>90111101</v>
          </cell>
          <cell r="D331" t="str">
            <v>OHI-COMMON</v>
          </cell>
          <cell r="E331" t="str">
            <v>CORPORATE</v>
          </cell>
        </row>
        <row r="332">
          <cell r="A332">
            <v>80334106</v>
          </cell>
          <cell r="D332" t="str">
            <v>OLIN AT JADE DRIVE</v>
          </cell>
          <cell r="E332" t="str">
            <v>RESIDENTIAL</v>
          </cell>
        </row>
        <row r="333">
          <cell r="A333">
            <v>80212102</v>
          </cell>
          <cell r="D333" t="str">
            <v>OMD B&amp;C</v>
          </cell>
          <cell r="E333" t="str">
            <v>CORPORATE</v>
          </cell>
        </row>
        <row r="334">
          <cell r="A334">
            <v>81212102</v>
          </cell>
          <cell r="D334" t="str">
            <v>OMD B&amp;C</v>
          </cell>
          <cell r="E334" t="str">
            <v>CORPORATE</v>
          </cell>
        </row>
        <row r="335">
          <cell r="A335">
            <v>90212102</v>
          </cell>
          <cell r="D335" t="str">
            <v>OMD B&amp;C</v>
          </cell>
          <cell r="E335" t="str">
            <v>CORPORATE</v>
          </cell>
        </row>
        <row r="336">
          <cell r="A336">
            <v>80315101</v>
          </cell>
          <cell r="D336" t="str">
            <v>OMD BUS DEV/PROJ DEV</v>
          </cell>
          <cell r="E336" t="str">
            <v>CORPORATE</v>
          </cell>
        </row>
        <row r="337">
          <cell r="A337">
            <v>81315101</v>
          </cell>
          <cell r="D337" t="str">
            <v>OMD BUS DEV/PROJ DEV</v>
          </cell>
          <cell r="E337" t="str">
            <v>CORPORATE</v>
          </cell>
        </row>
        <row r="338">
          <cell r="A338">
            <v>90315101</v>
          </cell>
          <cell r="D338" t="str">
            <v>OMD BUS DEV/PROJ DEV</v>
          </cell>
          <cell r="E338" t="str">
            <v>CORPORATE</v>
          </cell>
        </row>
        <row r="339">
          <cell r="A339">
            <v>80212101</v>
          </cell>
          <cell r="D339" t="str">
            <v>OMD F&amp;A</v>
          </cell>
          <cell r="E339" t="str">
            <v>CORPORATE</v>
          </cell>
        </row>
        <row r="340">
          <cell r="A340">
            <v>81212101</v>
          </cell>
          <cell r="D340" t="str">
            <v>OMD F&amp;A</v>
          </cell>
          <cell r="E340" t="str">
            <v>CORPORATE</v>
          </cell>
        </row>
        <row r="341">
          <cell r="A341">
            <v>90212101</v>
          </cell>
          <cell r="D341" t="str">
            <v>OMD F&amp;A</v>
          </cell>
          <cell r="E341" t="str">
            <v>CORPORATE</v>
          </cell>
        </row>
        <row r="342">
          <cell r="A342">
            <v>80212104</v>
          </cell>
          <cell r="D342" t="str">
            <v>OMD FINANCE</v>
          </cell>
          <cell r="E342" t="str">
            <v>CORPORATE</v>
          </cell>
        </row>
        <row r="343">
          <cell r="A343">
            <v>81212104</v>
          </cell>
          <cell r="D343" t="str">
            <v>OMD FINANCE</v>
          </cell>
          <cell r="E343" t="str">
            <v>CORPORATE</v>
          </cell>
        </row>
        <row r="344">
          <cell r="A344">
            <v>90212104</v>
          </cell>
          <cell r="D344" t="str">
            <v>OMD FINANCE</v>
          </cell>
          <cell r="E344" t="str">
            <v>CORPORATE</v>
          </cell>
        </row>
        <row r="345">
          <cell r="A345">
            <v>80214101</v>
          </cell>
          <cell r="D345" t="str">
            <v>OMD LEASING</v>
          </cell>
          <cell r="E345" t="str">
            <v>CORPORATE</v>
          </cell>
        </row>
        <row r="346">
          <cell r="A346">
            <v>81214101</v>
          </cell>
          <cell r="D346" t="str">
            <v>OMD LEASING</v>
          </cell>
          <cell r="E346" t="str">
            <v>CORPORATE</v>
          </cell>
        </row>
        <row r="347">
          <cell r="A347">
            <v>90214101</v>
          </cell>
          <cell r="D347" t="str">
            <v>OMD LEASING</v>
          </cell>
          <cell r="E347" t="str">
            <v>CORPORATE</v>
          </cell>
        </row>
        <row r="348">
          <cell r="A348">
            <v>80213102</v>
          </cell>
          <cell r="D348" t="str">
            <v>OMD MARKETING</v>
          </cell>
          <cell r="E348" t="str">
            <v>CORPORATE</v>
          </cell>
        </row>
        <row r="349">
          <cell r="A349">
            <v>81213102</v>
          </cell>
          <cell r="D349" t="str">
            <v>OMD MARKETING</v>
          </cell>
          <cell r="E349" t="str">
            <v>CORPORATE</v>
          </cell>
        </row>
        <row r="350">
          <cell r="A350">
            <v>90213102</v>
          </cell>
          <cell r="D350" t="str">
            <v>OMD MARKETING</v>
          </cell>
          <cell r="E350" t="str">
            <v>CORPORATE</v>
          </cell>
        </row>
        <row r="351">
          <cell r="A351">
            <v>80319101</v>
          </cell>
          <cell r="D351" t="str">
            <v>OMD OPERATIONS</v>
          </cell>
          <cell r="E351" t="str">
            <v>CORPORATE</v>
          </cell>
        </row>
        <row r="352">
          <cell r="A352">
            <v>81319101</v>
          </cell>
          <cell r="D352" t="str">
            <v>OMD OPERATIONS</v>
          </cell>
          <cell r="E352" t="str">
            <v>CORPORATE</v>
          </cell>
        </row>
        <row r="353">
          <cell r="A353">
            <v>90319101</v>
          </cell>
          <cell r="D353" t="str">
            <v>OMD OPERATIONS</v>
          </cell>
          <cell r="E353" t="str">
            <v>CORPORATE</v>
          </cell>
        </row>
        <row r="354">
          <cell r="A354">
            <v>80213101</v>
          </cell>
          <cell r="D354" t="str">
            <v>OMD TRADE FAIRS/EXHI</v>
          </cell>
          <cell r="E354" t="str">
            <v>CORPORATE</v>
          </cell>
        </row>
        <row r="355">
          <cell r="A355">
            <v>81213101</v>
          </cell>
          <cell r="D355" t="str">
            <v>OMD TRADE FAIRS/EXHI</v>
          </cell>
          <cell r="E355" t="str">
            <v>CORPORATE</v>
          </cell>
        </row>
        <row r="356">
          <cell r="A356">
            <v>90213101</v>
          </cell>
          <cell r="D356" t="str">
            <v>OMD TRADE FAIRS/EXHI</v>
          </cell>
          <cell r="E356" t="str">
            <v>CORPORATE</v>
          </cell>
        </row>
        <row r="357">
          <cell r="A357">
            <v>80212103</v>
          </cell>
          <cell r="D357" t="str">
            <v>OMD TREASURY</v>
          </cell>
          <cell r="E357" t="str">
            <v>CORPORATE</v>
          </cell>
        </row>
        <row r="358">
          <cell r="A358">
            <v>81212103</v>
          </cell>
          <cell r="D358" t="str">
            <v>OMD TREASURY</v>
          </cell>
          <cell r="E358" t="str">
            <v>CORPORATE</v>
          </cell>
        </row>
        <row r="359">
          <cell r="A359">
            <v>90212103</v>
          </cell>
          <cell r="D359" t="str">
            <v>OMD TREASURY</v>
          </cell>
          <cell r="E359" t="str">
            <v>CORPORATE</v>
          </cell>
        </row>
        <row r="360">
          <cell r="A360">
            <v>80334101</v>
          </cell>
          <cell r="D360" t="str">
            <v>OPAL RESIDENCES</v>
          </cell>
          <cell r="E360" t="str">
            <v>RESIDENTIAL</v>
          </cell>
        </row>
        <row r="361">
          <cell r="A361">
            <v>80321201</v>
          </cell>
          <cell r="D361" t="str">
            <v>ORTIGAS BUILDING</v>
          </cell>
          <cell r="E361" t="str">
            <v>OFFICES</v>
          </cell>
        </row>
        <row r="362">
          <cell r="A362">
            <v>81321201</v>
          </cell>
          <cell r="D362" t="str">
            <v>ORTIGAS BUILDING</v>
          </cell>
          <cell r="E362" t="str">
            <v>OFFICES</v>
          </cell>
        </row>
        <row r="363">
          <cell r="A363">
            <v>80211101</v>
          </cell>
          <cell r="D363" t="str">
            <v>ORTIGAS MALLS DIV</v>
          </cell>
          <cell r="E363" t="str">
            <v>CORPORATE</v>
          </cell>
        </row>
        <row r="364">
          <cell r="A364">
            <v>81211101</v>
          </cell>
          <cell r="D364" t="str">
            <v>ORTIGAS MALLS DIV</v>
          </cell>
          <cell r="E364" t="str">
            <v>CORPORATE</v>
          </cell>
        </row>
        <row r="365">
          <cell r="A365">
            <v>90211101</v>
          </cell>
          <cell r="D365" t="str">
            <v>ORTIGAS MALLS DIV</v>
          </cell>
          <cell r="E365" t="str">
            <v>CORPORATE</v>
          </cell>
        </row>
        <row r="366">
          <cell r="A366">
            <v>80321401</v>
          </cell>
          <cell r="D366" t="str">
            <v>ORTIGAS PARK</v>
          </cell>
          <cell r="E366" t="str">
            <v>ESTATES</v>
          </cell>
        </row>
        <row r="367">
          <cell r="A367">
            <v>81321401</v>
          </cell>
          <cell r="D367" t="str">
            <v>ORTIGAS PARK</v>
          </cell>
          <cell r="E367" t="str">
            <v>ESTATES</v>
          </cell>
        </row>
        <row r="368">
          <cell r="A368">
            <v>80325102</v>
          </cell>
          <cell r="D368" t="str">
            <v>PHASE 0 - OFFICE</v>
          </cell>
          <cell r="E368" t="str">
            <v>OFFICES</v>
          </cell>
        </row>
        <row r="369">
          <cell r="A369">
            <v>81325102</v>
          </cell>
          <cell r="D369" t="str">
            <v>PHASE 0 - OFFICE</v>
          </cell>
          <cell r="E369" t="str">
            <v>OFFICES</v>
          </cell>
        </row>
        <row r="370">
          <cell r="A370" t="str">
            <v>812216CC</v>
          </cell>
          <cell r="D370" t="str">
            <v>PHASE 2B+3C - COMMON</v>
          </cell>
          <cell r="E370" t="str">
            <v>MALLS</v>
          </cell>
        </row>
        <row r="371">
          <cell r="A371" t="str">
            <v>802216CC</v>
          </cell>
          <cell r="D371" t="str">
            <v>PHASE 2B+3C COMMON</v>
          </cell>
          <cell r="E371" t="str">
            <v>MALLS</v>
          </cell>
        </row>
        <row r="372">
          <cell r="A372">
            <v>80221702</v>
          </cell>
          <cell r="D372" t="str">
            <v>PHASE 3A+3B RETAIL</v>
          </cell>
          <cell r="E372" t="str">
            <v>MALLS</v>
          </cell>
        </row>
        <row r="373">
          <cell r="A373">
            <v>80325201</v>
          </cell>
          <cell r="D373" t="str">
            <v>PHASE 3A3B - OFFICE</v>
          </cell>
          <cell r="E373" t="str">
            <v>OFFICES</v>
          </cell>
        </row>
        <row r="374">
          <cell r="A374">
            <v>81325201</v>
          </cell>
          <cell r="D374" t="str">
            <v>PHASE 3A3B - OFFICE</v>
          </cell>
          <cell r="E374" t="str">
            <v>OFFICES</v>
          </cell>
        </row>
        <row r="375">
          <cell r="A375">
            <v>80325301</v>
          </cell>
          <cell r="D375" t="str">
            <v>PHASE 4 - OFFICE</v>
          </cell>
          <cell r="E375" t="str">
            <v>OFFICES</v>
          </cell>
        </row>
        <row r="376">
          <cell r="A376">
            <v>81325301</v>
          </cell>
          <cell r="D376" t="str">
            <v>PHASE 4 - OFFICE</v>
          </cell>
          <cell r="E376" t="str">
            <v>OFFICES</v>
          </cell>
        </row>
        <row r="377">
          <cell r="A377">
            <v>80133103</v>
          </cell>
          <cell r="D377" t="str">
            <v>PROCUREMENT</v>
          </cell>
          <cell r="E377" t="str">
            <v>CORPORATE</v>
          </cell>
        </row>
        <row r="378">
          <cell r="A378">
            <v>81133103</v>
          </cell>
          <cell r="D378" t="str">
            <v>PROCUREMENT</v>
          </cell>
          <cell r="E378" t="str">
            <v>CORPORATE</v>
          </cell>
        </row>
        <row r="379">
          <cell r="A379">
            <v>90133103</v>
          </cell>
          <cell r="D379" t="str">
            <v>PROCUREMENT</v>
          </cell>
          <cell r="E379" t="str">
            <v>CORPORATE</v>
          </cell>
        </row>
        <row r="380">
          <cell r="A380">
            <v>80341401</v>
          </cell>
          <cell r="D380" t="str">
            <v>PROECT BRIXTON</v>
          </cell>
          <cell r="E380" t="str">
            <v>ESTATES</v>
          </cell>
        </row>
        <row r="381">
          <cell r="A381" t="str">
            <v>803322CC</v>
          </cell>
          <cell r="D381" t="str">
            <v>PROJECT F - COMMON</v>
          </cell>
          <cell r="E381" t="str">
            <v>RESIDENTIAL</v>
          </cell>
        </row>
        <row r="382">
          <cell r="A382">
            <v>80312103</v>
          </cell>
          <cell r="D382" t="str">
            <v>PROJECT FINANCE</v>
          </cell>
          <cell r="E382" t="str">
            <v>CORPORATE</v>
          </cell>
        </row>
        <row r="383">
          <cell r="A383">
            <v>81312103</v>
          </cell>
          <cell r="D383" t="str">
            <v>PROJECT FINANCE</v>
          </cell>
          <cell r="E383" t="str">
            <v>CORPORATE</v>
          </cell>
        </row>
        <row r="384">
          <cell r="A384">
            <v>90312103</v>
          </cell>
          <cell r="D384" t="str">
            <v>PROJECT FINANCE</v>
          </cell>
          <cell r="E384" t="str">
            <v>CORPORATE</v>
          </cell>
        </row>
        <row r="385">
          <cell r="A385">
            <v>80321501</v>
          </cell>
          <cell r="D385" t="str">
            <v>PROJECT FOJ - OFFICE</v>
          </cell>
          <cell r="E385" t="str">
            <v>OFFICES</v>
          </cell>
        </row>
        <row r="386">
          <cell r="A386">
            <v>81321501</v>
          </cell>
          <cell r="D386" t="str">
            <v>PROJECT FOJ - OFFICE</v>
          </cell>
          <cell r="E386" t="str">
            <v>OFFICES</v>
          </cell>
        </row>
        <row r="387">
          <cell r="A387">
            <v>80226301</v>
          </cell>
          <cell r="D387" t="str">
            <v>PROJECT FOJ - RETAIL</v>
          </cell>
          <cell r="E387" t="str">
            <v>MALLS</v>
          </cell>
        </row>
        <row r="388">
          <cell r="A388">
            <v>81226301</v>
          </cell>
          <cell r="D388" t="str">
            <v>PROJECT FOJ - RETAIL</v>
          </cell>
          <cell r="E388" t="str">
            <v>MALLS</v>
          </cell>
        </row>
        <row r="389">
          <cell r="A389">
            <v>80321103</v>
          </cell>
          <cell r="D389" t="str">
            <v>PROJECT ONE</v>
          </cell>
          <cell r="E389" t="str">
            <v>ESTATES</v>
          </cell>
        </row>
        <row r="390">
          <cell r="A390">
            <v>81321103</v>
          </cell>
          <cell r="D390" t="str">
            <v>PROJECT ONE</v>
          </cell>
          <cell r="E390" t="str">
            <v>ESTATES</v>
          </cell>
        </row>
        <row r="391">
          <cell r="A391">
            <v>80341201</v>
          </cell>
          <cell r="D391" t="str">
            <v>PROJECT STAR A</v>
          </cell>
          <cell r="E391" t="str">
            <v>ESTATES</v>
          </cell>
        </row>
        <row r="392">
          <cell r="A392">
            <v>80221211</v>
          </cell>
          <cell r="D392" t="str">
            <v>PROMENADE</v>
          </cell>
          <cell r="E392" t="str">
            <v>MALLS</v>
          </cell>
        </row>
        <row r="393">
          <cell r="A393">
            <v>81221211</v>
          </cell>
          <cell r="D393" t="str">
            <v>PROMENADE</v>
          </cell>
          <cell r="E393" t="str">
            <v>MALLS</v>
          </cell>
        </row>
        <row r="394">
          <cell r="A394">
            <v>80221210</v>
          </cell>
          <cell r="D394" t="str">
            <v>PROMENADE CINEMA</v>
          </cell>
          <cell r="E394" t="str">
            <v>MALLS</v>
          </cell>
        </row>
        <row r="395">
          <cell r="A395">
            <v>81221210</v>
          </cell>
          <cell r="D395" t="str">
            <v>PROMENADE CINEMA</v>
          </cell>
          <cell r="E395" t="str">
            <v>MALLS</v>
          </cell>
        </row>
        <row r="396">
          <cell r="A396">
            <v>80221212</v>
          </cell>
          <cell r="D396" t="str">
            <v>PROMENADE REELBITES</v>
          </cell>
          <cell r="E396" t="str">
            <v>MALLS</v>
          </cell>
        </row>
        <row r="397">
          <cell r="A397">
            <v>81221212</v>
          </cell>
          <cell r="D397" t="str">
            <v>PROMENADE REELBITES</v>
          </cell>
          <cell r="E397" t="str">
            <v>MALLS</v>
          </cell>
        </row>
        <row r="398">
          <cell r="A398">
            <v>80221209</v>
          </cell>
          <cell r="D398" t="str">
            <v>PROMENADE WALKWAY</v>
          </cell>
          <cell r="E398" t="str">
            <v>MALLS</v>
          </cell>
        </row>
        <row r="399">
          <cell r="A399">
            <v>81221209</v>
          </cell>
          <cell r="D399" t="str">
            <v>PROMENADE WALKWAY</v>
          </cell>
          <cell r="E399" t="str">
            <v>MALLS</v>
          </cell>
        </row>
        <row r="400">
          <cell r="A400">
            <v>80215101</v>
          </cell>
          <cell r="D400" t="str">
            <v>PROPERTY MANAGEMENT</v>
          </cell>
          <cell r="E400" t="str">
            <v>CORPORATE</v>
          </cell>
        </row>
        <row r="401">
          <cell r="A401">
            <v>81215101</v>
          </cell>
          <cell r="D401" t="str">
            <v>PROPERTY MANAGEMENT</v>
          </cell>
          <cell r="E401" t="str">
            <v>CORPORATE</v>
          </cell>
        </row>
        <row r="402">
          <cell r="A402">
            <v>90215101</v>
          </cell>
          <cell r="D402" t="str">
            <v>PROPERTY MANAGEMENT</v>
          </cell>
          <cell r="E402" t="str">
            <v>CORPORATE</v>
          </cell>
        </row>
        <row r="403">
          <cell r="A403">
            <v>80312104</v>
          </cell>
          <cell r="D403" t="str">
            <v>RBU ACCOUNTING</v>
          </cell>
          <cell r="E403" t="str">
            <v>CORPORATE</v>
          </cell>
        </row>
        <row r="404">
          <cell r="A404">
            <v>81312104</v>
          </cell>
          <cell r="D404" t="str">
            <v>RBU ACCOUNTING</v>
          </cell>
          <cell r="E404" t="str">
            <v>CORPORATE</v>
          </cell>
        </row>
        <row r="405">
          <cell r="A405">
            <v>90312104</v>
          </cell>
          <cell r="D405" t="str">
            <v>RBU ACCOUNTING</v>
          </cell>
          <cell r="E405" t="str">
            <v>CORPORATE</v>
          </cell>
        </row>
        <row r="406">
          <cell r="A406">
            <v>80312102</v>
          </cell>
          <cell r="D406" t="str">
            <v>RBU B&amp;C</v>
          </cell>
          <cell r="E406" t="str">
            <v>CORPORATE</v>
          </cell>
        </row>
        <row r="407">
          <cell r="A407">
            <v>81312102</v>
          </cell>
          <cell r="D407" t="str">
            <v>RBU B&amp;C</v>
          </cell>
          <cell r="E407" t="str">
            <v>CORPORATE</v>
          </cell>
        </row>
        <row r="408">
          <cell r="A408">
            <v>90312102</v>
          </cell>
          <cell r="D408" t="str">
            <v>RBU B&amp;C</v>
          </cell>
          <cell r="E408" t="str">
            <v>CORPORATE</v>
          </cell>
        </row>
        <row r="409">
          <cell r="A409">
            <v>80315201</v>
          </cell>
          <cell r="D409" t="str">
            <v>RBU BD/PD</v>
          </cell>
          <cell r="E409" t="str">
            <v>CORPORATE</v>
          </cell>
        </row>
        <row r="410">
          <cell r="A410">
            <v>81315201</v>
          </cell>
          <cell r="D410" t="str">
            <v>RBU BD/PD</v>
          </cell>
          <cell r="E410" t="str">
            <v>CORPORATE</v>
          </cell>
        </row>
        <row r="411">
          <cell r="A411">
            <v>90315201</v>
          </cell>
          <cell r="D411" t="str">
            <v>RBU BD/PD</v>
          </cell>
          <cell r="E411" t="str">
            <v>CORPORATE</v>
          </cell>
        </row>
        <row r="412">
          <cell r="A412">
            <v>80318101</v>
          </cell>
          <cell r="D412" t="str">
            <v>RED SECURITY</v>
          </cell>
          <cell r="E412" t="str">
            <v>CORPORATE</v>
          </cell>
        </row>
        <row r="413">
          <cell r="A413">
            <v>81318101</v>
          </cell>
          <cell r="D413" t="str">
            <v>RED SECURITY</v>
          </cell>
          <cell r="E413" t="str">
            <v>CORPORATE</v>
          </cell>
        </row>
        <row r="414">
          <cell r="A414">
            <v>90318101</v>
          </cell>
          <cell r="D414" t="str">
            <v>RED SECURITY</v>
          </cell>
          <cell r="E414" t="str">
            <v>CORPORATE</v>
          </cell>
        </row>
        <row r="415">
          <cell r="A415">
            <v>80311101</v>
          </cell>
          <cell r="D415" t="str">
            <v>RED-COMMON</v>
          </cell>
          <cell r="E415" t="str">
            <v>CORPORATE</v>
          </cell>
        </row>
        <row r="416">
          <cell r="A416">
            <v>81311101</v>
          </cell>
          <cell r="D416" t="str">
            <v>RED-COMMON</v>
          </cell>
          <cell r="E416" t="str">
            <v>CORPORATE</v>
          </cell>
        </row>
        <row r="417">
          <cell r="A417">
            <v>90311101</v>
          </cell>
          <cell r="D417" t="str">
            <v>RED-COMMON</v>
          </cell>
          <cell r="E417" t="str">
            <v>CORPORATE</v>
          </cell>
        </row>
        <row r="418">
          <cell r="A418">
            <v>80313108</v>
          </cell>
          <cell r="D418" t="str">
            <v>RESI BUSINESS UNIT</v>
          </cell>
          <cell r="E418" t="str">
            <v>CORPORATE</v>
          </cell>
        </row>
        <row r="419">
          <cell r="A419">
            <v>81313108</v>
          </cell>
          <cell r="D419" t="str">
            <v>RESI BUSINESS UNIT</v>
          </cell>
          <cell r="E419" t="str">
            <v>CORPORATE</v>
          </cell>
        </row>
        <row r="420">
          <cell r="A420">
            <v>90313108</v>
          </cell>
          <cell r="D420" t="str">
            <v>RESI BUSINESS UNIT</v>
          </cell>
          <cell r="E420" t="str">
            <v>CORPORATE</v>
          </cell>
        </row>
        <row r="421">
          <cell r="A421">
            <v>80111207</v>
          </cell>
          <cell r="D421" t="str">
            <v>RISK MANAGEMENT</v>
          </cell>
          <cell r="E421" t="str">
            <v>CORPORATE</v>
          </cell>
        </row>
        <row r="422">
          <cell r="A422">
            <v>81111207</v>
          </cell>
          <cell r="D422" t="str">
            <v>RISK MANAGEMENT</v>
          </cell>
          <cell r="E422" t="str">
            <v>CORPORATE</v>
          </cell>
        </row>
        <row r="423">
          <cell r="A423">
            <v>90111207</v>
          </cell>
          <cell r="D423" t="str">
            <v>RISK MANAGEMENT</v>
          </cell>
          <cell r="E423" t="str">
            <v>CORPORATE</v>
          </cell>
        </row>
        <row r="424">
          <cell r="A424">
            <v>80323401</v>
          </cell>
          <cell r="D424" t="str">
            <v>ROYALTON - RESI LEAS</v>
          </cell>
          <cell r="E424" t="str">
            <v>RESIDENTIAL</v>
          </cell>
        </row>
        <row r="425">
          <cell r="A425">
            <v>80225502</v>
          </cell>
          <cell r="D425" t="str">
            <v>ROYALTON RETAIL</v>
          </cell>
          <cell r="E425" t="str">
            <v>MALLS</v>
          </cell>
        </row>
        <row r="426">
          <cell r="A426">
            <v>81225502</v>
          </cell>
          <cell r="D426" t="str">
            <v>ROYALTON RETAIL</v>
          </cell>
          <cell r="E426" t="str">
            <v>MALLS</v>
          </cell>
        </row>
        <row r="427">
          <cell r="A427">
            <v>80332101</v>
          </cell>
          <cell r="D427" t="str">
            <v>ROYALTON TOWER</v>
          </cell>
          <cell r="E427" t="str">
            <v>RESIDENTIAL</v>
          </cell>
        </row>
        <row r="428">
          <cell r="A428">
            <v>80313101</v>
          </cell>
          <cell r="D428" t="str">
            <v>SALES</v>
          </cell>
          <cell r="E428" t="str">
            <v>CORPORATE</v>
          </cell>
        </row>
        <row r="429">
          <cell r="A429">
            <v>81313101</v>
          </cell>
          <cell r="D429" t="str">
            <v>SALES</v>
          </cell>
          <cell r="E429" t="str">
            <v>CORPORATE</v>
          </cell>
        </row>
        <row r="430">
          <cell r="A430">
            <v>90313101</v>
          </cell>
          <cell r="D430" t="str">
            <v>SALES</v>
          </cell>
          <cell r="E430" t="str">
            <v>CORPORATE</v>
          </cell>
        </row>
        <row r="431">
          <cell r="A431">
            <v>80313106</v>
          </cell>
          <cell r="D431" t="str">
            <v>SALES DEVELOPMENT</v>
          </cell>
          <cell r="E431" t="str">
            <v>CORPORATE</v>
          </cell>
        </row>
        <row r="432">
          <cell r="A432">
            <v>81313106</v>
          </cell>
          <cell r="D432" t="str">
            <v>SALES DEVELOPMENT</v>
          </cell>
          <cell r="E432" t="str">
            <v>CORPORATE</v>
          </cell>
        </row>
        <row r="433">
          <cell r="A433">
            <v>90313106</v>
          </cell>
          <cell r="D433" t="str">
            <v>SALES DEVELOPMENT</v>
          </cell>
          <cell r="E433" t="str">
            <v>CORPORATE</v>
          </cell>
        </row>
        <row r="434">
          <cell r="A434">
            <v>80313104</v>
          </cell>
          <cell r="D434" t="str">
            <v>SALES HR</v>
          </cell>
          <cell r="E434" t="str">
            <v>CORPORATE</v>
          </cell>
        </row>
        <row r="435">
          <cell r="A435">
            <v>81313104</v>
          </cell>
          <cell r="D435" t="str">
            <v>SALES HR</v>
          </cell>
          <cell r="E435" t="str">
            <v>CORPORATE</v>
          </cell>
        </row>
        <row r="436">
          <cell r="A436">
            <v>90313104</v>
          </cell>
          <cell r="D436" t="str">
            <v>SALES HR</v>
          </cell>
          <cell r="E436" t="str">
            <v>CORPORATE</v>
          </cell>
        </row>
        <row r="437">
          <cell r="A437">
            <v>80313105</v>
          </cell>
          <cell r="D437" t="str">
            <v>SALES OPERATIONS</v>
          </cell>
          <cell r="E437" t="str">
            <v>CORPORATE</v>
          </cell>
        </row>
        <row r="438">
          <cell r="A438">
            <v>81313105</v>
          </cell>
          <cell r="D438" t="str">
            <v>SALES OPERATIONS</v>
          </cell>
          <cell r="E438" t="str">
            <v>CORPORATE</v>
          </cell>
        </row>
        <row r="439">
          <cell r="A439">
            <v>90313105</v>
          </cell>
          <cell r="D439" t="str">
            <v>SALES OPERATIONS</v>
          </cell>
          <cell r="E439" t="str">
            <v>CORPORATE</v>
          </cell>
        </row>
        <row r="440">
          <cell r="A440">
            <v>80349101</v>
          </cell>
          <cell r="D440" t="str">
            <v>SBU BS - ESTATES (CO</v>
          </cell>
          <cell r="E440" t="str">
            <v>ESTATES</v>
          </cell>
        </row>
        <row r="441">
          <cell r="A441">
            <v>81349101</v>
          </cell>
          <cell r="D441" t="str">
            <v>SBU BS - ESTATES (CO</v>
          </cell>
          <cell r="E441" t="str">
            <v>ESTATES</v>
          </cell>
        </row>
        <row r="442">
          <cell r="A442">
            <v>90349101</v>
          </cell>
          <cell r="D442" t="str">
            <v>SBU BS - ESTATES (CO</v>
          </cell>
          <cell r="E442" t="str">
            <v>ESTATES</v>
          </cell>
        </row>
        <row r="443">
          <cell r="A443">
            <v>80229101</v>
          </cell>
          <cell r="D443" t="str">
            <v>SBU BS - MALLS (COMM</v>
          </cell>
          <cell r="E443" t="str">
            <v>MALLS</v>
          </cell>
        </row>
        <row r="444">
          <cell r="A444">
            <v>81229101</v>
          </cell>
          <cell r="D444" t="str">
            <v>SBU BS - MALLS (COMM</v>
          </cell>
          <cell r="E444" t="str">
            <v>MALLS</v>
          </cell>
        </row>
        <row r="445">
          <cell r="A445">
            <v>90219101</v>
          </cell>
          <cell r="D445" t="str">
            <v>SBU BS - MALLS (COMM</v>
          </cell>
          <cell r="E445" t="str">
            <v>MALLS</v>
          </cell>
        </row>
        <row r="446">
          <cell r="A446">
            <v>80329101</v>
          </cell>
          <cell r="D446" t="str">
            <v>SBU BS - OFFICES (CO</v>
          </cell>
          <cell r="E446" t="str">
            <v>OFFICES</v>
          </cell>
        </row>
        <row r="447">
          <cell r="A447">
            <v>81329101</v>
          </cell>
          <cell r="D447" t="str">
            <v>SBU BS - OFFICES (CO</v>
          </cell>
          <cell r="E447" t="str">
            <v>OFFICES</v>
          </cell>
        </row>
        <row r="448">
          <cell r="A448">
            <v>90329101</v>
          </cell>
          <cell r="D448" t="str">
            <v>SBU BS - OFFICES (CO</v>
          </cell>
          <cell r="E448" t="str">
            <v>OFFICES</v>
          </cell>
        </row>
        <row r="449">
          <cell r="A449">
            <v>80339101</v>
          </cell>
          <cell r="D449" t="str">
            <v>SBU BS - RBU (COMMON</v>
          </cell>
          <cell r="E449" t="str">
            <v>RESIDENTIAL</v>
          </cell>
        </row>
        <row r="450">
          <cell r="A450">
            <v>81339101</v>
          </cell>
          <cell r="D450" t="str">
            <v>SBU BS - RBU (COMMON</v>
          </cell>
          <cell r="E450" t="str">
            <v>RESIDENTIAL</v>
          </cell>
        </row>
        <row r="451">
          <cell r="A451">
            <v>90339101</v>
          </cell>
          <cell r="D451" t="str">
            <v>SBU BS - RBU (COMMON</v>
          </cell>
          <cell r="E451" t="str">
            <v>RESIDENTIAL</v>
          </cell>
        </row>
        <row r="452">
          <cell r="A452" t="str">
            <v>803222CC</v>
          </cell>
          <cell r="D452" t="str">
            <v>SC - COMMON</v>
          </cell>
          <cell r="E452" t="str">
            <v>OFFICES</v>
          </cell>
        </row>
        <row r="453">
          <cell r="A453" t="str">
            <v>813222CC</v>
          </cell>
          <cell r="D453" t="str">
            <v>SC - COMMON</v>
          </cell>
          <cell r="E453" t="str">
            <v>OFFICES</v>
          </cell>
        </row>
        <row r="454">
          <cell r="A454">
            <v>80322201</v>
          </cell>
          <cell r="D454" t="str">
            <v>SC 1 - OFFICE</v>
          </cell>
          <cell r="E454" t="str">
            <v>OFFICES</v>
          </cell>
        </row>
        <row r="455">
          <cell r="A455">
            <v>81322201</v>
          </cell>
          <cell r="D455" t="str">
            <v>SC 1 - OFFICE</v>
          </cell>
          <cell r="E455" t="str">
            <v>OFFICES</v>
          </cell>
        </row>
        <row r="456">
          <cell r="A456">
            <v>80222201</v>
          </cell>
          <cell r="D456" t="str">
            <v>SC 1 - RETAIL</v>
          </cell>
          <cell r="E456" t="str">
            <v>OFFICES</v>
          </cell>
        </row>
        <row r="457">
          <cell r="A457">
            <v>80322209</v>
          </cell>
          <cell r="D457" t="str">
            <v>SC 1 &amp; 1A - PARKING</v>
          </cell>
          <cell r="E457" t="str">
            <v>OFFICES</v>
          </cell>
        </row>
        <row r="458">
          <cell r="A458">
            <v>81322209</v>
          </cell>
          <cell r="D458" t="str">
            <v>SC 1 &amp; 1A - PARKING</v>
          </cell>
          <cell r="E458" t="str">
            <v>OFFICES</v>
          </cell>
        </row>
        <row r="459">
          <cell r="A459">
            <v>81222202</v>
          </cell>
          <cell r="D459" t="str">
            <v>SC 1 PARKING</v>
          </cell>
          <cell r="E459" t="str">
            <v>OFFICES</v>
          </cell>
        </row>
        <row r="460">
          <cell r="A460">
            <v>80322207</v>
          </cell>
          <cell r="D460" t="str">
            <v>SC 2&amp;3 - PARKING</v>
          </cell>
          <cell r="E460" t="str">
            <v>OFFICES</v>
          </cell>
        </row>
        <row r="461">
          <cell r="A461">
            <v>80322208</v>
          </cell>
          <cell r="D461" t="str">
            <v>SC 4 - PARKING</v>
          </cell>
          <cell r="E461" t="str">
            <v>OFFICES</v>
          </cell>
        </row>
        <row r="462">
          <cell r="A462">
            <v>81322208</v>
          </cell>
          <cell r="D462" t="str">
            <v>SC 4 - PARKING</v>
          </cell>
          <cell r="E462" t="str">
            <v>OFFICES</v>
          </cell>
        </row>
        <row r="463">
          <cell r="A463">
            <v>80222202</v>
          </cell>
          <cell r="D463" t="str">
            <v>SC1 - PARKING</v>
          </cell>
          <cell r="E463" t="str">
            <v>OFFICES</v>
          </cell>
        </row>
        <row r="464">
          <cell r="A464">
            <v>81322207</v>
          </cell>
          <cell r="D464" t="str">
            <v>SC2&amp;3 - PARKING</v>
          </cell>
          <cell r="E464" t="str">
            <v>OFFICES</v>
          </cell>
        </row>
        <row r="465">
          <cell r="A465">
            <v>80215105</v>
          </cell>
          <cell r="D465" t="str">
            <v>SECURITY</v>
          </cell>
          <cell r="E465" t="str">
            <v>CORPORATE</v>
          </cell>
        </row>
        <row r="466">
          <cell r="A466">
            <v>81215105</v>
          </cell>
          <cell r="D466" t="str">
            <v>SECURITY</v>
          </cell>
          <cell r="E466" t="str">
            <v>CORPORATE</v>
          </cell>
        </row>
        <row r="467">
          <cell r="A467">
            <v>90215105</v>
          </cell>
          <cell r="D467" t="str">
            <v>SECURITY</v>
          </cell>
          <cell r="E467" t="str">
            <v>CORPORATE</v>
          </cell>
        </row>
        <row r="468">
          <cell r="A468">
            <v>80324108</v>
          </cell>
          <cell r="D468" t="str">
            <v>SEVILLE - RESI LEASI</v>
          </cell>
          <cell r="E468" t="str">
            <v>RESIDENTIAL</v>
          </cell>
        </row>
        <row r="469">
          <cell r="A469">
            <v>80331103</v>
          </cell>
          <cell r="D469" t="str">
            <v>SEVILLE RESIDENCES</v>
          </cell>
          <cell r="E469" t="str">
            <v>RESIDENTIAL</v>
          </cell>
        </row>
        <row r="470">
          <cell r="A470">
            <v>80331108</v>
          </cell>
          <cell r="D470" t="str">
            <v>Seville Serviced Res</v>
          </cell>
          <cell r="E470" t="str">
            <v>RESIDENTIAL</v>
          </cell>
        </row>
        <row r="471">
          <cell r="A471">
            <v>80221604</v>
          </cell>
          <cell r="D471" t="str">
            <v>SHOPPESVILLE</v>
          </cell>
          <cell r="E471" t="str">
            <v>MALLS</v>
          </cell>
        </row>
        <row r="472">
          <cell r="A472">
            <v>81221604</v>
          </cell>
          <cell r="D472" t="str">
            <v>SHOPPESVILLE</v>
          </cell>
          <cell r="E472" t="str">
            <v>MALLS</v>
          </cell>
        </row>
        <row r="473">
          <cell r="A473">
            <v>81222201</v>
          </cell>
          <cell r="D473" t="str">
            <v>SILVER CITY 1 RETAIL</v>
          </cell>
          <cell r="E473" t="str">
            <v>OFFICES</v>
          </cell>
        </row>
        <row r="474">
          <cell r="A474">
            <v>80322204</v>
          </cell>
          <cell r="D474" t="str">
            <v>SILVER CITY 1A</v>
          </cell>
          <cell r="E474" t="str">
            <v>OFFICES</v>
          </cell>
        </row>
        <row r="475">
          <cell r="A475">
            <v>81322204</v>
          </cell>
          <cell r="D475" t="str">
            <v>SILVER CITY 1A</v>
          </cell>
          <cell r="E475" t="str">
            <v>OFFICES</v>
          </cell>
        </row>
        <row r="476">
          <cell r="A476">
            <v>80322202</v>
          </cell>
          <cell r="D476" t="str">
            <v>SILVER CITY 2 &amp; 3</v>
          </cell>
          <cell r="E476" t="str">
            <v>OFFICES</v>
          </cell>
        </row>
        <row r="477">
          <cell r="A477">
            <v>81322202</v>
          </cell>
          <cell r="D477" t="str">
            <v>SILVER CITY 2 &amp; 3</v>
          </cell>
          <cell r="E477" t="str">
            <v>OFFICES</v>
          </cell>
        </row>
        <row r="478">
          <cell r="A478">
            <v>80322203</v>
          </cell>
          <cell r="D478" t="str">
            <v>SILVER CITY 4</v>
          </cell>
          <cell r="E478" t="str">
            <v>OFFICES</v>
          </cell>
        </row>
        <row r="479">
          <cell r="A479">
            <v>81322203</v>
          </cell>
          <cell r="D479" t="str">
            <v>SILVER CITY 4</v>
          </cell>
          <cell r="E479" t="str">
            <v>OFFICES</v>
          </cell>
        </row>
        <row r="480">
          <cell r="A480">
            <v>80322205</v>
          </cell>
          <cell r="D480" t="str">
            <v>SILVER CITY 5</v>
          </cell>
          <cell r="E480" t="str">
            <v>OFFICES</v>
          </cell>
        </row>
        <row r="481">
          <cell r="A481">
            <v>81322205</v>
          </cell>
          <cell r="D481" t="str">
            <v>SILVER CITY 5</v>
          </cell>
          <cell r="E481" t="str">
            <v>OFFICES</v>
          </cell>
        </row>
        <row r="482">
          <cell r="A482">
            <v>80322301</v>
          </cell>
          <cell r="D482" t="str">
            <v>SILVER CITY 5 OFFICE</v>
          </cell>
          <cell r="E482" t="str">
            <v>OFFICES</v>
          </cell>
        </row>
        <row r="483">
          <cell r="A483">
            <v>81322301</v>
          </cell>
          <cell r="D483" t="str">
            <v>SILVER CITY 5 OFFICE</v>
          </cell>
          <cell r="E483" t="str">
            <v>OFFICES</v>
          </cell>
        </row>
        <row r="484">
          <cell r="A484">
            <v>80322302</v>
          </cell>
          <cell r="D484" t="str">
            <v>SILVER CITY 5 PARKNG</v>
          </cell>
          <cell r="E484" t="str">
            <v>OFFICES</v>
          </cell>
        </row>
        <row r="485">
          <cell r="A485">
            <v>81322302</v>
          </cell>
          <cell r="D485" t="str">
            <v>SILVER CITY 5 PARKNG</v>
          </cell>
          <cell r="E485" t="str">
            <v>OFFICES</v>
          </cell>
        </row>
        <row r="486">
          <cell r="A486">
            <v>80222301</v>
          </cell>
          <cell r="D486" t="str">
            <v>SILVER CITY 5 RETAIL</v>
          </cell>
          <cell r="E486" t="str">
            <v>OFFICES</v>
          </cell>
        </row>
        <row r="487">
          <cell r="A487">
            <v>81222301</v>
          </cell>
          <cell r="D487" t="str">
            <v>SILVER CITY 5 RETAIL</v>
          </cell>
          <cell r="E487" t="str">
            <v>OFFICES</v>
          </cell>
        </row>
        <row r="488">
          <cell r="A488">
            <v>80322206</v>
          </cell>
          <cell r="D488" t="str">
            <v>SILVER CITY 6</v>
          </cell>
          <cell r="E488" t="str">
            <v>OFFICES</v>
          </cell>
        </row>
        <row r="489">
          <cell r="A489">
            <v>81322206</v>
          </cell>
          <cell r="D489" t="str">
            <v>SILVER CITY 6</v>
          </cell>
          <cell r="E489" t="str">
            <v>OFFICES</v>
          </cell>
        </row>
        <row r="490">
          <cell r="A490">
            <v>80351101</v>
          </cell>
          <cell r="D490" t="str">
            <v>STO. TOMAS BATANGAS</v>
          </cell>
          <cell r="E490" t="str">
            <v>RESIDENTIAL</v>
          </cell>
        </row>
        <row r="491">
          <cell r="A491">
            <v>80133101</v>
          </cell>
          <cell r="D491" t="str">
            <v>TAX &amp; PRO - COMMON</v>
          </cell>
          <cell r="E491" t="str">
            <v>CORPORATE</v>
          </cell>
        </row>
        <row r="492">
          <cell r="A492">
            <v>81133101</v>
          </cell>
          <cell r="D492" t="str">
            <v>TAX &amp; PRO - COMMON</v>
          </cell>
          <cell r="E492" t="str">
            <v>CORPORATE</v>
          </cell>
        </row>
        <row r="493">
          <cell r="A493">
            <v>90133101</v>
          </cell>
          <cell r="D493" t="str">
            <v>TAX &amp; PRO - COMMON</v>
          </cell>
          <cell r="E493" t="str">
            <v>CORPORATE</v>
          </cell>
        </row>
        <row r="494">
          <cell r="A494">
            <v>80133102</v>
          </cell>
          <cell r="D494" t="str">
            <v>TAX ACCOUNTING</v>
          </cell>
          <cell r="E494" t="str">
            <v>CORPORATE</v>
          </cell>
        </row>
        <row r="495">
          <cell r="A495">
            <v>81133102</v>
          </cell>
          <cell r="D495" t="str">
            <v>TAX ACCOUNTING</v>
          </cell>
          <cell r="E495" t="str">
            <v>CORPORATE</v>
          </cell>
        </row>
        <row r="496">
          <cell r="A496">
            <v>90133102</v>
          </cell>
          <cell r="D496" t="str">
            <v>TAX ACCOUNTING</v>
          </cell>
          <cell r="E496" t="str">
            <v>CORPORATE</v>
          </cell>
        </row>
        <row r="497">
          <cell r="A497">
            <v>80215102</v>
          </cell>
          <cell r="D497" t="str">
            <v>TECHNICAL DESIGN</v>
          </cell>
          <cell r="E497" t="str">
            <v>CORPORATE</v>
          </cell>
        </row>
        <row r="498">
          <cell r="A498">
            <v>81215102</v>
          </cell>
          <cell r="D498" t="str">
            <v>TECHNICAL DESIGN</v>
          </cell>
          <cell r="E498" t="str">
            <v>CORPORATE</v>
          </cell>
        </row>
        <row r="499">
          <cell r="A499">
            <v>90215102</v>
          </cell>
          <cell r="D499" t="str">
            <v>TECHNICAL DESIGN</v>
          </cell>
          <cell r="E499" t="str">
            <v>CORPORATE</v>
          </cell>
        </row>
        <row r="500">
          <cell r="A500">
            <v>80215106</v>
          </cell>
          <cell r="D500" t="str">
            <v>TECHNICAL SERVICES</v>
          </cell>
          <cell r="E500" t="str">
            <v>CORPORATE</v>
          </cell>
        </row>
        <row r="501">
          <cell r="A501">
            <v>81215106</v>
          </cell>
          <cell r="D501" t="str">
            <v>TECHNICAL SERVICES</v>
          </cell>
          <cell r="E501" t="str">
            <v>CORPORATE</v>
          </cell>
        </row>
        <row r="502">
          <cell r="A502">
            <v>90215106</v>
          </cell>
          <cell r="D502" t="str">
            <v>TECHNICAL SERVICES</v>
          </cell>
          <cell r="E502" t="str">
            <v>CORPORATE</v>
          </cell>
        </row>
        <row r="503">
          <cell r="A503">
            <v>80221213</v>
          </cell>
          <cell r="D503" t="str">
            <v>THEATER MALL</v>
          </cell>
          <cell r="E503" t="str">
            <v>MALLS</v>
          </cell>
        </row>
        <row r="504">
          <cell r="A504">
            <v>81221213</v>
          </cell>
          <cell r="D504" t="str">
            <v>THEATER MALL</v>
          </cell>
          <cell r="E504" t="str">
            <v>MALLS</v>
          </cell>
        </row>
        <row r="505">
          <cell r="A505">
            <v>80222101</v>
          </cell>
          <cell r="D505" t="str">
            <v>TIENDESITAS</v>
          </cell>
          <cell r="E505" t="str">
            <v>MALLS</v>
          </cell>
        </row>
        <row r="506">
          <cell r="A506">
            <v>81222101</v>
          </cell>
          <cell r="D506" t="str">
            <v>TIENDESITAS</v>
          </cell>
          <cell r="E506" t="str">
            <v>MALLS</v>
          </cell>
        </row>
        <row r="507">
          <cell r="A507">
            <v>80222104</v>
          </cell>
          <cell r="D507" t="str">
            <v>TIENDESITAS BLDG. A</v>
          </cell>
          <cell r="E507" t="str">
            <v>MALLS</v>
          </cell>
        </row>
        <row r="508">
          <cell r="A508">
            <v>81222104</v>
          </cell>
          <cell r="D508" t="str">
            <v>TIENDESITAS BLDG. A</v>
          </cell>
          <cell r="E508" t="str">
            <v>MALLS</v>
          </cell>
        </row>
        <row r="509">
          <cell r="A509">
            <v>80222105</v>
          </cell>
          <cell r="D509" t="str">
            <v>TIENDESITAS BLDG. B</v>
          </cell>
          <cell r="E509" t="str">
            <v>MALLS</v>
          </cell>
        </row>
        <row r="510">
          <cell r="A510">
            <v>81222105</v>
          </cell>
          <cell r="D510" t="str">
            <v>TIENDESITAS BLDG. B</v>
          </cell>
          <cell r="E510" t="str">
            <v>MALLS</v>
          </cell>
        </row>
        <row r="511">
          <cell r="A511">
            <v>80222106</v>
          </cell>
          <cell r="D511" t="str">
            <v>TIENDESITAS BLDG. C</v>
          </cell>
          <cell r="E511" t="str">
            <v>MALLS</v>
          </cell>
        </row>
        <row r="512">
          <cell r="A512">
            <v>81222106</v>
          </cell>
          <cell r="D512" t="str">
            <v>TIENDESITAS BLDG. C</v>
          </cell>
          <cell r="E512" t="str">
            <v>MALLS</v>
          </cell>
        </row>
        <row r="513">
          <cell r="A513">
            <v>80222107</v>
          </cell>
          <cell r="D513" t="str">
            <v>TIENDESITAS BLDG. D</v>
          </cell>
          <cell r="E513" t="str">
            <v>MALLS</v>
          </cell>
        </row>
        <row r="514">
          <cell r="A514">
            <v>81222107</v>
          </cell>
          <cell r="D514" t="str">
            <v>TIENDESITAS BLDG. D</v>
          </cell>
          <cell r="E514" t="str">
            <v>MALLS</v>
          </cell>
        </row>
        <row r="515">
          <cell r="A515">
            <v>80222108</v>
          </cell>
          <cell r="D515" t="str">
            <v>TIENDESITAS LAND LEA</v>
          </cell>
          <cell r="E515" t="str">
            <v>MALLS</v>
          </cell>
        </row>
        <row r="516">
          <cell r="A516">
            <v>81222108</v>
          </cell>
          <cell r="D516" t="str">
            <v>TIENDESITAS LAND LEA</v>
          </cell>
          <cell r="E516" t="str">
            <v>MALLS</v>
          </cell>
        </row>
        <row r="517">
          <cell r="A517">
            <v>81222102</v>
          </cell>
          <cell r="D517" t="str">
            <v>TIENDESITAS PARKING</v>
          </cell>
          <cell r="E517" t="str">
            <v>MALLS</v>
          </cell>
        </row>
        <row r="518">
          <cell r="A518">
            <v>80222103</v>
          </cell>
          <cell r="D518" t="str">
            <v>TIENDESITAS TIANGGE</v>
          </cell>
          <cell r="E518" t="str">
            <v>MALLS</v>
          </cell>
        </row>
        <row r="519">
          <cell r="A519">
            <v>81222103</v>
          </cell>
          <cell r="D519" t="str">
            <v>TIENDESITAS TIANGGE</v>
          </cell>
          <cell r="E519" t="str">
            <v>MALLS</v>
          </cell>
        </row>
        <row r="520">
          <cell r="A520">
            <v>80222102</v>
          </cell>
          <cell r="D520" t="str">
            <v>TIENDESITAS-PARKING</v>
          </cell>
          <cell r="E520" t="str">
            <v>MALLS</v>
          </cell>
        </row>
        <row r="521">
          <cell r="A521">
            <v>80319201</v>
          </cell>
          <cell r="D521" t="str">
            <v>TPSG-RESIDENTIAL</v>
          </cell>
          <cell r="E521" t="str">
            <v>CORPORATE</v>
          </cell>
        </row>
        <row r="522">
          <cell r="A522">
            <v>81319201</v>
          </cell>
          <cell r="D522" t="str">
            <v>TPSG-RESIDENTIAL</v>
          </cell>
          <cell r="E522" t="str">
            <v>CORPORATE</v>
          </cell>
        </row>
        <row r="523">
          <cell r="A523">
            <v>90319201</v>
          </cell>
          <cell r="D523" t="str">
            <v>TPSG-RESIDENTIAL</v>
          </cell>
          <cell r="E523" t="str">
            <v>CORPORATE</v>
          </cell>
        </row>
        <row r="524">
          <cell r="A524">
            <v>80319203</v>
          </cell>
          <cell r="D524" t="str">
            <v>TPSG-TECHNICAL SERVI</v>
          </cell>
          <cell r="E524" t="str">
            <v>CORPORATE</v>
          </cell>
        </row>
        <row r="525">
          <cell r="A525">
            <v>81319203</v>
          </cell>
          <cell r="D525" t="str">
            <v>TPSG-TECHNICAL SERVI</v>
          </cell>
          <cell r="E525" t="str">
            <v>CORPORATE</v>
          </cell>
        </row>
        <row r="526">
          <cell r="A526">
            <v>90319203</v>
          </cell>
          <cell r="D526" t="str">
            <v>TPSG-TECHNICAL SERVI</v>
          </cell>
          <cell r="E526" t="str">
            <v>CORPORATE</v>
          </cell>
        </row>
        <row r="527">
          <cell r="A527">
            <v>80132101</v>
          </cell>
          <cell r="D527" t="str">
            <v>TREASURY OPERATIONS</v>
          </cell>
          <cell r="E527" t="str">
            <v>CORPORATE</v>
          </cell>
        </row>
        <row r="528">
          <cell r="A528">
            <v>81132101</v>
          </cell>
          <cell r="D528" t="str">
            <v>TREASURY OPERATIONS</v>
          </cell>
          <cell r="E528" t="str">
            <v>CORPORATE</v>
          </cell>
        </row>
        <row r="529">
          <cell r="A529">
            <v>90132101</v>
          </cell>
          <cell r="D529" t="str">
            <v>TREASURY OPERATIONS</v>
          </cell>
          <cell r="E529" t="str">
            <v>CORPORATE</v>
          </cell>
        </row>
        <row r="530">
          <cell r="A530">
            <v>80132102</v>
          </cell>
          <cell r="D530" t="str">
            <v>TREASURY SERVICES</v>
          </cell>
          <cell r="E530" t="str">
            <v>CORPORATE</v>
          </cell>
        </row>
        <row r="531">
          <cell r="A531">
            <v>81132102</v>
          </cell>
          <cell r="D531" t="str">
            <v>TREASURY SERVICES</v>
          </cell>
          <cell r="E531" t="str">
            <v>CORPORATE</v>
          </cell>
        </row>
        <row r="532">
          <cell r="A532">
            <v>90132102</v>
          </cell>
          <cell r="D532" t="str">
            <v>TREASURY SERVICES</v>
          </cell>
          <cell r="E532" t="str">
            <v>CORPORATE</v>
          </cell>
        </row>
        <row r="533">
          <cell r="A533">
            <v>80221605</v>
          </cell>
          <cell r="D533" t="str">
            <v>V-MALL</v>
          </cell>
          <cell r="E533" t="str">
            <v>MALLS</v>
          </cell>
        </row>
        <row r="534">
          <cell r="A534">
            <v>81221605</v>
          </cell>
          <cell r="D534" t="str">
            <v>V-MALL</v>
          </cell>
          <cell r="E534" t="str">
            <v>MALLS</v>
          </cell>
        </row>
        <row r="535">
          <cell r="A535">
            <v>80333101</v>
          </cell>
          <cell r="D535" t="str">
            <v>VIRIDIAN - RESL</v>
          </cell>
          <cell r="E535" t="str">
            <v>RESIDENTIAL</v>
          </cell>
        </row>
        <row r="536">
          <cell r="A536">
            <v>80341102</v>
          </cell>
          <cell r="D536" t="str">
            <v>VIRIDIAN LAND LEASE</v>
          </cell>
          <cell r="E536" t="str">
            <v>ESTATES</v>
          </cell>
        </row>
        <row r="537">
          <cell r="A537">
            <v>81341102</v>
          </cell>
          <cell r="D537" t="str">
            <v>VIRIDIAN LAND LEASE</v>
          </cell>
          <cell r="E537" t="str">
            <v>ESTATES</v>
          </cell>
        </row>
        <row r="538">
          <cell r="A538">
            <v>80326101</v>
          </cell>
          <cell r="D538" t="str">
            <v>VIRIDIAN RESI LEASIN</v>
          </cell>
          <cell r="E538" t="str">
            <v>RESIDENTIAL</v>
          </cell>
        </row>
        <row r="539">
          <cell r="A539">
            <v>80221801</v>
          </cell>
          <cell r="D539" t="str">
            <v>VIRIDIAN RETAIL</v>
          </cell>
          <cell r="E539" t="str">
            <v>MALLS</v>
          </cell>
        </row>
        <row r="540">
          <cell r="A540">
            <v>81221811</v>
          </cell>
          <cell r="D540" t="str">
            <v>VIRIDIAN RETAIL</v>
          </cell>
          <cell r="E540" t="str">
            <v>MALLS</v>
          </cell>
        </row>
        <row r="541">
          <cell r="A541">
            <v>81221205</v>
          </cell>
          <cell r="D541" t="str">
            <v>XXXX</v>
          </cell>
          <cell r="E541" t="str">
            <v>MALLS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Eloida O. Tubania" id="{FD5E75A1-D245-49F5-83E6-D65A1205944F}" userId="S::tubaniaeo@ortigas.com.ph::a82cc6c3-4114-4358-962f-1cae0a513b64" providerId="AD"/>
  <person displayName="Princess Vera P. Jumalon" id="{A10DE164-FE0B-489D-9FC3-036935688126}" userId="S::jumalonpvp@ortigas.com.ph::a1933eb8-e23b-489b-9c9b-eba56169428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X6" dT="2023-04-24T05:52:48.15" personId="{FD5E75A1-D245-49F5-83E6-D65A1205944F}" id="{D9E5A2E6-2D93-480F-8598-DC36B7C2B138}">
    <text>From the following T-code:
KO22 - Loading of original budget (=)
KO24 - Loading of supplemental budget (+)
KO26 - Loading of budget return (-)</text>
  </threadedComment>
  <threadedComment ref="A84" dT="2026-03-30T08:54:58.44" personId="{A10DE164-FE0B-489D-9FC3-036935688126}" id="{87A19323-96E8-4B92-AA63-09514F4B8E9E}">
    <text>10001408 old</text>
  </threadedComment>
  <threadedComment ref="A85" dT="2026-03-30T08:55:23.04" personId="{A10DE164-FE0B-489D-9FC3-036935688126}" id="{148F2D23-5A59-4E68-89DF-2B38853D275A}">
    <text>10001405 old</text>
  </threadedComment>
</ThreadedComment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D1D53-27DF-49F2-9459-2A7C66EB7CC4}">
  <dimension ref="B1:AC43"/>
  <sheetViews>
    <sheetView tabSelected="1" topLeftCell="A2" zoomScale="70" zoomScaleNormal="70" workbookViewId="0">
      <pane xSplit="5" ySplit="5" topLeftCell="F7" activePane="bottomRight" state="frozen"/>
      <selection activeCell="A2" sqref="A2"/>
      <selection pane="topRight" activeCell="F2" sqref="F2"/>
      <selection pane="bottomLeft" activeCell="A7" sqref="A7"/>
      <selection pane="bottomRight" activeCell="M27" sqref="M27"/>
    </sheetView>
  </sheetViews>
  <sheetFormatPr defaultRowHeight="14.5" outlineLevelCol="1" x14ac:dyDescent="0.35"/>
  <cols>
    <col min="1" max="1" width="1.26953125" customWidth="1"/>
    <col min="2" max="2" width="18.7265625" customWidth="1"/>
    <col min="3" max="13" width="13" customWidth="1"/>
    <col min="14" max="25" width="13" hidden="1" customWidth="1" outlineLevel="1"/>
    <col min="26" max="26" width="14.81640625" bestFit="1" customWidth="1" collapsed="1"/>
    <col min="27" max="28" width="13" customWidth="1"/>
    <col min="29" max="29" width="20" bestFit="1" customWidth="1"/>
  </cols>
  <sheetData>
    <row r="1" spans="2:29" x14ac:dyDescent="0.35">
      <c r="B1" s="10"/>
    </row>
    <row r="2" spans="2:29" ht="16" x14ac:dyDescent="0.4">
      <c r="B2" s="29" t="s">
        <v>823</v>
      </c>
    </row>
    <row r="3" spans="2:29" ht="15" thickBot="1" x14ac:dyDescent="0.4">
      <c r="B3" s="11" t="s">
        <v>863</v>
      </c>
    </row>
    <row r="4" spans="2:29" x14ac:dyDescent="0.35">
      <c r="B4" s="95" t="s">
        <v>65</v>
      </c>
      <c r="C4" s="97" t="s">
        <v>825</v>
      </c>
      <c r="D4" s="97" t="s">
        <v>826</v>
      </c>
      <c r="E4" s="101" t="s">
        <v>827</v>
      </c>
      <c r="F4" s="103" t="s">
        <v>828</v>
      </c>
      <c r="G4" s="105" t="s">
        <v>1819</v>
      </c>
      <c r="H4" s="109" t="s">
        <v>829</v>
      </c>
      <c r="I4" s="92"/>
      <c r="J4" s="93" t="s">
        <v>2846</v>
      </c>
      <c r="K4" s="94"/>
      <c r="L4" s="93" t="s">
        <v>2847</v>
      </c>
      <c r="M4" s="94"/>
      <c r="N4" s="107" t="s">
        <v>830</v>
      </c>
      <c r="O4" s="107" t="s">
        <v>831</v>
      </c>
      <c r="P4" s="107" t="s">
        <v>832</v>
      </c>
      <c r="Q4" s="107" t="s">
        <v>833</v>
      </c>
      <c r="R4" s="107" t="s">
        <v>834</v>
      </c>
      <c r="S4" s="107" t="s">
        <v>835</v>
      </c>
      <c r="T4" s="107" t="s">
        <v>836</v>
      </c>
      <c r="U4" s="107" t="s">
        <v>837</v>
      </c>
      <c r="V4" s="107" t="s">
        <v>838</v>
      </c>
      <c r="W4" s="107" t="s">
        <v>839</v>
      </c>
      <c r="X4" s="107" t="s">
        <v>840</v>
      </c>
      <c r="Y4" s="107" t="s">
        <v>841</v>
      </c>
      <c r="Z4" s="110" t="s">
        <v>842</v>
      </c>
      <c r="AA4" s="112" t="s">
        <v>843</v>
      </c>
      <c r="AB4" s="94"/>
    </row>
    <row r="5" spans="2:29" x14ac:dyDescent="0.35">
      <c r="B5" s="96"/>
      <c r="C5" s="98"/>
      <c r="D5" s="98"/>
      <c r="E5" s="102"/>
      <c r="F5" s="104"/>
      <c r="G5" s="106"/>
      <c r="H5" s="30" t="s">
        <v>844</v>
      </c>
      <c r="I5" s="31" t="s">
        <v>845</v>
      </c>
      <c r="J5" s="32" t="s">
        <v>844</v>
      </c>
      <c r="K5" s="33" t="s">
        <v>845</v>
      </c>
      <c r="L5" s="32" t="s">
        <v>844</v>
      </c>
      <c r="M5" s="33" t="s">
        <v>845</v>
      </c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11"/>
      <c r="AA5" s="34" t="s">
        <v>844</v>
      </c>
      <c r="AB5" s="33" t="s">
        <v>845</v>
      </c>
    </row>
    <row r="6" spans="2:29" x14ac:dyDescent="0.35">
      <c r="B6" s="35"/>
      <c r="C6" s="36" t="s">
        <v>846</v>
      </c>
      <c r="D6" s="37" t="s">
        <v>847</v>
      </c>
      <c r="E6" s="37" t="s">
        <v>848</v>
      </c>
      <c r="F6" s="36" t="s">
        <v>849</v>
      </c>
      <c r="G6" s="37" t="s">
        <v>850</v>
      </c>
      <c r="H6" s="37" t="s">
        <v>851</v>
      </c>
      <c r="I6" s="38" t="s">
        <v>852</v>
      </c>
      <c r="J6" s="37" t="s">
        <v>853</v>
      </c>
      <c r="K6" s="38" t="s">
        <v>854</v>
      </c>
      <c r="L6" s="37" t="s">
        <v>1815</v>
      </c>
      <c r="M6" s="38" t="s">
        <v>1816</v>
      </c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8" t="s">
        <v>855</v>
      </c>
      <c r="AA6" s="36" t="s">
        <v>856</v>
      </c>
      <c r="AB6" s="38" t="s">
        <v>857</v>
      </c>
    </row>
    <row r="7" spans="2:29" x14ac:dyDescent="0.35">
      <c r="B7" s="39" t="s">
        <v>858</v>
      </c>
      <c r="C7" s="40">
        <v>19700000</v>
      </c>
      <c r="D7" s="41"/>
      <c r="E7" s="41">
        <f>C7+D7</f>
        <v>19700000</v>
      </c>
      <c r="F7" s="40">
        <f>SUMIFS(Monitoring!$AA:$AA,Monitoring!$D:$D,$B7,Monitoring!$F:$F,"N")</f>
        <v>9832978.5700000003</v>
      </c>
      <c r="G7" s="41">
        <f>SUMIFS(Monitoring!$AB:$AB,Monitoring!$D:$D,$B7,Monitoring!$F:$F,"N")</f>
        <v>2203571.4300000002</v>
      </c>
      <c r="H7" s="41">
        <f t="shared" ref="H7:H13" si="0">SUM(F7:G7)</f>
        <v>12036550</v>
      </c>
      <c r="I7" s="42">
        <f t="shared" ref="I7:I14" si="1">H7/E7</f>
        <v>0.61099238578680204</v>
      </c>
      <c r="J7" s="41">
        <f t="shared" ref="J7:J13" si="2">E7-H7</f>
        <v>7663450</v>
      </c>
      <c r="K7" s="42">
        <f t="shared" ref="K7:K14" si="3">J7/E7</f>
        <v>0.38900761421319796</v>
      </c>
      <c r="L7" s="41">
        <f>E7-F7</f>
        <v>9867021.4299999997</v>
      </c>
      <c r="M7" s="42">
        <f>L7/E7</f>
        <v>0.50086403197969542</v>
      </c>
      <c r="N7" s="40">
        <f>SUMIFS(Monitoring!AG:AG,Monitoring!$D:$D,$B7,Monitoring!$F:$F,"N")</f>
        <v>0</v>
      </c>
      <c r="O7" s="41">
        <f>SUMIFS(Monitoring!AH:AH,Monitoring!$D:$D,$B7,Monitoring!$F:$F,"N")</f>
        <v>1828571.43</v>
      </c>
      <c r="P7" s="41">
        <f>SUMIFS(Monitoring!AI:AI,Monitoring!$D:$D,$B7,Monitoring!$F:$F,"N")</f>
        <v>0</v>
      </c>
      <c r="Q7" s="41">
        <f>SUMIFS(Monitoring!AJ:AJ,Monitoring!$D:$D,$B7,Monitoring!$F:$F,"N")</f>
        <v>0</v>
      </c>
      <c r="R7" s="41">
        <f>SUMIFS(Monitoring!AK:AK,Monitoring!$D:$D,$B7,Monitoring!$F:$F,"N")</f>
        <v>1756428.57</v>
      </c>
      <c r="S7" s="41">
        <f>SUMIFS(Monitoring!AL:AL,Monitoring!$D:$D,$B7,Monitoring!$F:$F,"N")</f>
        <v>2803335.71</v>
      </c>
      <c r="T7" s="41">
        <f>SUMIFS(Monitoring!AM:AM,Monitoring!$D:$D,$B7,Monitoring!$F:$F,"N")</f>
        <v>775000</v>
      </c>
      <c r="U7" s="41">
        <f>SUMIFS(Monitoring!AN:AN,Monitoring!$D:$D,$B7,Monitoring!$F:$F,"N")</f>
        <v>2669642.86</v>
      </c>
      <c r="V7" s="41">
        <f>SUMIFS(Monitoring!AO:AO,Monitoring!$D:$D,$B7,Monitoring!$F:$F,"N")</f>
        <v>0</v>
      </c>
      <c r="W7" s="41">
        <f>SUMIFS(Monitoring!AP:AP,Monitoring!$D:$D,$B7,Monitoring!$F:$F,"N")</f>
        <v>2203571.4300000002</v>
      </c>
      <c r="X7" s="41">
        <f>SUMIFS(Monitoring!AQ:AQ,Monitoring!$D:$D,$B7,Monitoring!$F:$F,"N")</f>
        <v>452232.57999999996</v>
      </c>
      <c r="Y7" s="41">
        <f>SUMIFS(Monitoring!AR:AR,Monitoring!$D:$D,$B7,Monitoring!$F:$F,"N")</f>
        <v>452232.57999999996</v>
      </c>
      <c r="Z7" s="44">
        <f>SUM(N7:Y7)</f>
        <v>12941015.16</v>
      </c>
      <c r="AA7" s="40">
        <f t="shared" ref="AA7" si="4">E7-Z7</f>
        <v>6758984.8399999999</v>
      </c>
      <c r="AB7" s="42">
        <f t="shared" ref="AB7:AB14" si="5">AA7/E7</f>
        <v>0.34309567715736039</v>
      </c>
    </row>
    <row r="8" spans="2:29" x14ac:dyDescent="0.35">
      <c r="B8" s="39" t="s">
        <v>859</v>
      </c>
      <c r="C8" s="40">
        <v>31000000</v>
      </c>
      <c r="D8" s="41"/>
      <c r="E8" s="41">
        <f>C8+D8</f>
        <v>31000000</v>
      </c>
      <c r="F8" s="40">
        <f>SUMIFS(Monitoring!$AA:$AA,Monitoring!$D:$D,$B8,Monitoring!$F:$F,"N")</f>
        <v>16165522.32</v>
      </c>
      <c r="G8" s="41">
        <f>SUMIFS(Monitoring!$AB:$AB,Monitoring!$D:$D,$B8,Monitoring!$F:$F,"N")</f>
        <v>1562946.4400000002</v>
      </c>
      <c r="H8" s="41">
        <f t="shared" si="0"/>
        <v>17728468.760000002</v>
      </c>
      <c r="I8" s="42">
        <f t="shared" si="1"/>
        <v>0.57188608903225813</v>
      </c>
      <c r="J8" s="41">
        <f t="shared" si="2"/>
        <v>13271531.239999998</v>
      </c>
      <c r="K8" s="42">
        <f t="shared" si="3"/>
        <v>0.42811391096774187</v>
      </c>
      <c r="L8" s="41">
        <f t="shared" ref="L8:L13" si="6">E8-F8</f>
        <v>14834477.68</v>
      </c>
      <c r="M8" s="42">
        <f t="shared" ref="M8:M14" si="7">L8/E8</f>
        <v>0.47853153806451609</v>
      </c>
      <c r="N8" s="40">
        <f>SUMIFS(Monitoring!AG:AG,Monitoring!$D:$D,$B8,Monitoring!$F:$F,"N")</f>
        <v>350000</v>
      </c>
      <c r="O8" s="41">
        <f>SUMIFS(Monitoring!AH:AH,Monitoring!$D:$D,$B8,Monitoring!$F:$F,"N")</f>
        <v>0</v>
      </c>
      <c r="P8" s="41">
        <f>SUMIFS(Monitoring!AI:AI,Monitoring!$D:$D,$B8,Monitoring!$F:$F,"N")</f>
        <v>0</v>
      </c>
      <c r="Q8" s="41">
        <f>SUMIFS(Monitoring!AJ:AJ,Monitoring!$D:$D,$B8,Monitoring!$F:$F,"N")</f>
        <v>128571.43</v>
      </c>
      <c r="R8" s="41">
        <f>SUMIFS(Monitoring!AK:AK,Monitoring!$D:$D,$B8,Monitoring!$F:$F,"N")</f>
        <v>13953571.420000002</v>
      </c>
      <c r="S8" s="41">
        <f>SUMIFS(Monitoring!AL:AL,Monitoring!$D:$D,$B8,Monitoring!$F:$F,"N")</f>
        <v>0</v>
      </c>
      <c r="T8" s="41">
        <f>SUMIFS(Monitoring!AM:AM,Monitoring!$D:$D,$B8,Monitoring!$F:$F,"N")</f>
        <v>0</v>
      </c>
      <c r="U8" s="41">
        <f>SUMIFS(Monitoring!AN:AN,Monitoring!$D:$D,$B8,Monitoring!$F:$F,"N")</f>
        <v>424107.15</v>
      </c>
      <c r="V8" s="41">
        <f>SUMIFS(Monitoring!AO:AO,Monitoring!$D:$D,$B8,Monitoring!$F:$F,"N")</f>
        <v>1309272.3199999998</v>
      </c>
      <c r="W8" s="41">
        <f>SUMIFS(Monitoring!AP:AP,Monitoring!$D:$D,$B8,Monitoring!$F:$F,"N")</f>
        <v>1562946.4400000002</v>
      </c>
      <c r="X8" s="41">
        <f>SUMIFS(Monitoring!AQ:AQ,Monitoring!$D:$D,$B8,Monitoring!$F:$F,"N")</f>
        <v>596617.46499999997</v>
      </c>
      <c r="Y8" s="41">
        <f>SUMIFS(Monitoring!AR:AR,Monitoring!$D:$D,$B8,Monitoring!$F:$F,"N")</f>
        <v>596617.46499999997</v>
      </c>
      <c r="Z8" s="44">
        <f t="shared" ref="Z8:Z13" si="8">SUM(N8:Y8)</f>
        <v>18921703.690000001</v>
      </c>
      <c r="AA8" s="40">
        <f t="shared" ref="AA8:AA13" si="9">E8-Z8</f>
        <v>12078296.309999999</v>
      </c>
      <c r="AB8" s="42">
        <f t="shared" ref="AB8:AB13" si="10">AA8/E8</f>
        <v>0.3896224616129032</v>
      </c>
      <c r="AC8" t="s">
        <v>3091</v>
      </c>
    </row>
    <row r="9" spans="2:29" x14ac:dyDescent="0.35">
      <c r="B9" s="39" t="s">
        <v>860</v>
      </c>
      <c r="C9" s="40">
        <v>2337486</v>
      </c>
      <c r="D9" s="41"/>
      <c r="E9" s="41">
        <f>C9+D9</f>
        <v>2337486</v>
      </c>
      <c r="F9" s="40">
        <f>SUMIFS(Monitoring!$AA:$AA,Monitoring!$D:$D,$B9,Monitoring!$F:$F,"N")</f>
        <v>138392.85999999999</v>
      </c>
      <c r="G9" s="41">
        <f>SUMIFS(Monitoring!$AB:$AB,Monitoring!$D:$D,$B9,Monitoring!$F:$F,"N")</f>
        <v>0</v>
      </c>
      <c r="H9" s="41">
        <f t="shared" si="0"/>
        <v>138392.85999999999</v>
      </c>
      <c r="I9" s="42">
        <f t="shared" si="1"/>
        <v>5.9205856206197595E-2</v>
      </c>
      <c r="J9" s="41">
        <f t="shared" si="2"/>
        <v>2199093.14</v>
      </c>
      <c r="K9" s="42">
        <f t="shared" si="3"/>
        <v>0.94079414379380244</v>
      </c>
      <c r="L9" s="41">
        <f t="shared" si="6"/>
        <v>2199093.14</v>
      </c>
      <c r="M9" s="42">
        <f t="shared" si="7"/>
        <v>0.94079414379380244</v>
      </c>
      <c r="N9" s="40">
        <f>SUMIFS(Monitoring!AG:AG,Monitoring!$D:$D,$B9,Monitoring!$F:$F,"N")</f>
        <v>0</v>
      </c>
      <c r="O9" s="41">
        <f>SUMIFS(Monitoring!AH:AH,Monitoring!$D:$D,$B9,Monitoring!$F:$F,"N")</f>
        <v>138392.85999999999</v>
      </c>
      <c r="P9" s="41">
        <f>SUMIFS(Monitoring!AI:AI,Monitoring!$D:$D,$B9,Monitoring!$F:$F,"N")</f>
        <v>0</v>
      </c>
      <c r="Q9" s="41">
        <f>SUMIFS(Monitoring!AJ:AJ,Monitoring!$D:$D,$B9,Monitoring!$F:$F,"N")</f>
        <v>0</v>
      </c>
      <c r="R9" s="41">
        <f>SUMIFS(Monitoring!AK:AK,Monitoring!$D:$D,$B9,Monitoring!$F:$F,"N")</f>
        <v>0</v>
      </c>
      <c r="S9" s="41">
        <f>SUMIFS(Monitoring!AL:AL,Monitoring!$D:$D,$B9,Monitoring!$F:$F,"N")</f>
        <v>0</v>
      </c>
      <c r="T9" s="41">
        <f>SUMIFS(Monitoring!AM:AM,Monitoring!$D:$D,$B9,Monitoring!$F:$F,"N")</f>
        <v>0</v>
      </c>
      <c r="U9" s="41">
        <f>SUMIFS(Monitoring!AN:AN,Monitoring!$D:$D,$B9,Monitoring!$F:$F,"N")</f>
        <v>0</v>
      </c>
      <c r="V9" s="41">
        <f>SUMIFS(Monitoring!AO:AO,Monitoring!$D:$D,$B9,Monitoring!$F:$F,"N")</f>
        <v>0</v>
      </c>
      <c r="W9" s="41">
        <f>SUMIFS(Monitoring!AP:AP,Monitoring!$D:$D,$B9,Monitoring!$F:$F,"N")</f>
        <v>0</v>
      </c>
      <c r="X9" s="41">
        <f>SUMIFS(Monitoring!AQ:AQ,Monitoring!$D:$D,$B9,Monitoring!$F:$F,"N")</f>
        <v>0</v>
      </c>
      <c r="Y9" s="41">
        <f>SUMIFS(Monitoring!AR:AR,Monitoring!$D:$D,$B9,Monitoring!$F:$F,"N")</f>
        <v>0</v>
      </c>
      <c r="Z9" s="44">
        <f t="shared" si="8"/>
        <v>138392.85999999999</v>
      </c>
      <c r="AA9" s="40">
        <f t="shared" si="9"/>
        <v>2199093.14</v>
      </c>
      <c r="AB9" s="42">
        <f t="shared" si="10"/>
        <v>0.94079414379380244</v>
      </c>
    </row>
    <row r="10" spans="2:29" x14ac:dyDescent="0.35">
      <c r="B10" s="39" t="s">
        <v>766</v>
      </c>
      <c r="C10" s="40">
        <v>60000000</v>
      </c>
      <c r="D10" s="41"/>
      <c r="E10" s="41">
        <f t="shared" ref="E10:E13" si="11">C10+D10</f>
        <v>60000000</v>
      </c>
      <c r="F10" s="40">
        <f>SUMIFS(Monitoring!$AA:$AA,Monitoring!$D:$D,$B10,Monitoring!$F:$F,"N")</f>
        <v>10913928.559999999</v>
      </c>
      <c r="G10" s="41">
        <f>SUMIFS(Monitoring!$AB:$AB,Monitoring!$D:$D,$B10,Monitoring!$F:$F,"N")</f>
        <v>35518593.079999998</v>
      </c>
      <c r="H10" s="41">
        <f t="shared" si="0"/>
        <v>46432521.640000001</v>
      </c>
      <c r="I10" s="42">
        <f t="shared" si="1"/>
        <v>0.77387536066666662</v>
      </c>
      <c r="J10" s="41">
        <f t="shared" si="2"/>
        <v>13567478.359999999</v>
      </c>
      <c r="K10" s="42">
        <f t="shared" si="3"/>
        <v>0.22612463933333332</v>
      </c>
      <c r="L10" s="41">
        <f t="shared" si="6"/>
        <v>49086071.439999998</v>
      </c>
      <c r="M10" s="42">
        <f t="shared" si="7"/>
        <v>0.81810119066666664</v>
      </c>
      <c r="N10" s="40">
        <f>SUMIFS(Monitoring!AG:AG,Monitoring!$D:$D,$B10,Monitoring!$F:$F,"N")</f>
        <v>0</v>
      </c>
      <c r="O10" s="41">
        <f>SUMIFS(Monitoring!AH:AH,Monitoring!$D:$D,$B10,Monitoring!$F:$F,"N")</f>
        <v>0</v>
      </c>
      <c r="P10" s="41">
        <f>SUMIFS(Monitoring!AI:AI,Monitoring!$D:$D,$B10,Monitoring!$F:$F,"N")</f>
        <v>0</v>
      </c>
      <c r="Q10" s="41">
        <f>SUMIFS(Monitoring!AJ:AJ,Monitoring!$D:$D,$B10,Monitoring!$F:$F,"N")</f>
        <v>982142.86</v>
      </c>
      <c r="R10" s="41">
        <f>SUMIFS(Monitoring!AK:AK,Monitoring!$D:$D,$B10,Monitoring!$F:$F,"N")</f>
        <v>7096071.4299999997</v>
      </c>
      <c r="S10" s="41">
        <f>SUMIFS(Monitoring!AL:AL,Monitoring!$D:$D,$B10,Monitoring!$F:$F,"N")</f>
        <v>1517857.13</v>
      </c>
      <c r="T10" s="41">
        <f>SUMIFS(Monitoring!AM:AM,Monitoring!$D:$D,$B10,Monitoring!$F:$F,"N")</f>
        <v>-83928.57</v>
      </c>
      <c r="U10" s="41">
        <f>SUMIFS(Monitoring!AN:AN,Monitoring!$D:$D,$B10,Monitoring!$F:$F,"N")</f>
        <v>0</v>
      </c>
      <c r="V10" s="41">
        <f>SUMIFS(Monitoring!AO:AO,Monitoring!$D:$D,$B10,Monitoring!$F:$F,"N")</f>
        <v>1401785.71</v>
      </c>
      <c r="W10" s="41">
        <f>SUMIFS(Monitoring!AP:AP,Monitoring!$D:$D,$B10,Monitoring!$F:$F,"N")</f>
        <v>35518593.079999998</v>
      </c>
      <c r="X10" s="41">
        <f>SUMIFS(Monitoring!AQ:AQ,Monitoring!$D:$D,$B10,Monitoring!$F:$F,"N")</f>
        <v>3262664.8100000015</v>
      </c>
      <c r="Y10" s="41">
        <f>SUMIFS(Monitoring!AR:AR,Monitoring!$D:$D,$B10,Monitoring!$F:$F,"N")</f>
        <v>3262664.8100000015</v>
      </c>
      <c r="Z10" s="44">
        <f t="shared" si="8"/>
        <v>52957851.260000005</v>
      </c>
      <c r="AA10" s="40">
        <f t="shared" si="9"/>
        <v>7042148.7399999946</v>
      </c>
      <c r="AB10" s="42">
        <f t="shared" si="10"/>
        <v>0.11736914566666658</v>
      </c>
    </row>
    <row r="11" spans="2:29" x14ac:dyDescent="0.35">
      <c r="B11" s="39" t="s">
        <v>9</v>
      </c>
      <c r="C11" s="40">
        <f>Malls!$G$1</f>
        <v>113206053.06000002</v>
      </c>
      <c r="D11" s="41"/>
      <c r="E11" s="41">
        <f t="shared" si="11"/>
        <v>113206053.06000002</v>
      </c>
      <c r="F11" s="40">
        <f>SUMIFS(Monitoring!$AA:$AA,Monitoring!$D:$D,$B11,Monitoring!$F:$F,"N")</f>
        <v>27138754.929999992</v>
      </c>
      <c r="G11" s="41">
        <f>SUMIFS(Monitoring!$AB:$AB,Monitoring!$D:$D,$B11,Monitoring!$F:$F,"N")</f>
        <v>55946400.270000003</v>
      </c>
      <c r="H11" s="41">
        <f t="shared" si="0"/>
        <v>83085155.199999988</v>
      </c>
      <c r="I11" s="42">
        <f t="shared" si="1"/>
        <v>0.73392855730041451</v>
      </c>
      <c r="J11" s="41">
        <f t="shared" si="2"/>
        <v>30120897.860000029</v>
      </c>
      <c r="K11" s="42">
        <f t="shared" si="3"/>
        <v>0.26607144269958549</v>
      </c>
      <c r="L11" s="41">
        <f t="shared" si="6"/>
        <v>86067298.130000025</v>
      </c>
      <c r="M11" s="42">
        <f t="shared" si="7"/>
        <v>0.7602711675177275</v>
      </c>
      <c r="N11" s="40">
        <f>SUMIFS(Monitoring!AG:AG,Monitoring!$D:$D,$B11,Monitoring!$F:$F,"N")</f>
        <v>303160.71999999997</v>
      </c>
      <c r="O11" s="41">
        <f>SUMIFS(Monitoring!AH:AH,Monitoring!$D:$D,$B11,Monitoring!$F:$F,"N")</f>
        <v>192133.92000000004</v>
      </c>
      <c r="P11" s="41">
        <f>SUMIFS(Monitoring!AI:AI,Monitoring!$D:$D,$B11,Monitoring!$F:$F,"N")</f>
        <v>4099105.96</v>
      </c>
      <c r="Q11" s="41">
        <f>SUMIFS(Monitoring!AJ:AJ,Monitoring!$D:$D,$B11,Monitoring!$F:$F,"N")</f>
        <v>5106499.9399999985</v>
      </c>
      <c r="R11" s="41">
        <f>SUMIFS(Monitoring!AK:AK,Monitoring!$D:$D,$B11,Monitoring!$F:$F,"N")</f>
        <v>1056860.9699999997</v>
      </c>
      <c r="S11" s="41">
        <f>SUMIFS(Monitoring!AL:AL,Monitoring!$D:$D,$B11,Monitoring!$F:$F,"N")</f>
        <v>1758947.1700000002</v>
      </c>
      <c r="T11" s="41">
        <f>SUMIFS(Monitoring!AM:AM,Monitoring!$D:$D,$B11,Monitoring!$F:$F,"N")</f>
        <v>4291527.2600000007</v>
      </c>
      <c r="U11" s="41">
        <f>SUMIFS(Monitoring!AN:AN,Monitoring!$D:$D,$B11,Monitoring!$F:$F,"N")</f>
        <v>8630965.4299999997</v>
      </c>
      <c r="V11" s="41">
        <f>SUMIFS(Monitoring!AO:AO,Monitoring!$D:$D,$B11,Monitoring!$F:$F,"N")</f>
        <v>1699553.56</v>
      </c>
      <c r="W11" s="41">
        <f>SUMIFS(Monitoring!AP:AP,Monitoring!$D:$D,$B11,Monitoring!$F:$F,"N")</f>
        <v>55946400.270000003</v>
      </c>
      <c r="X11" s="41">
        <f>SUMIFS(Monitoring!AQ:AQ,Monitoring!$D:$D,$B11,Monitoring!$F:$F,"N")</f>
        <v>26185448.935000002</v>
      </c>
      <c r="Y11" s="41">
        <f>SUMIFS(Monitoring!AR:AR,Monitoring!$D:$D,$B11,Monitoring!$F:$F,"N")</f>
        <v>26185448.935000002</v>
      </c>
      <c r="Z11" s="44">
        <f t="shared" si="8"/>
        <v>135456053.06999999</v>
      </c>
      <c r="AA11" s="40">
        <f t="shared" si="9"/>
        <v>-22250000.009999976</v>
      </c>
      <c r="AB11" s="42">
        <f t="shared" si="10"/>
        <v>-0.19654426074025669</v>
      </c>
    </row>
    <row r="12" spans="2:29" x14ac:dyDescent="0.35">
      <c r="B12" s="39" t="s">
        <v>93</v>
      </c>
      <c r="C12" s="40">
        <v>67300000.004285723</v>
      </c>
      <c r="D12" s="41"/>
      <c r="E12" s="41">
        <f t="shared" si="11"/>
        <v>67300000.004285723</v>
      </c>
      <c r="F12" s="40">
        <f>SUMIFS(Monitoring!$AA:$AA,Monitoring!$D:$D,$B12,Monitoring!$F:$F,"N")</f>
        <v>33367017.909999996</v>
      </c>
      <c r="G12" s="41">
        <f>SUMIFS(Monitoring!$AB:$AB,Monitoring!$D:$D,$B12,Monitoring!$F:$F,"N")</f>
        <v>20169251.890000004</v>
      </c>
      <c r="H12" s="41">
        <f t="shared" si="0"/>
        <v>53536269.799999997</v>
      </c>
      <c r="I12" s="42">
        <f t="shared" si="1"/>
        <v>0.79548692119748532</v>
      </c>
      <c r="J12" s="41">
        <f t="shared" si="2"/>
        <v>13763730.204285726</v>
      </c>
      <c r="K12" s="42">
        <f t="shared" si="3"/>
        <v>0.20451307880251471</v>
      </c>
      <c r="L12" s="41">
        <f t="shared" si="6"/>
        <v>33932982.094285727</v>
      </c>
      <c r="M12" s="42">
        <f t="shared" si="7"/>
        <v>0.50420478591567375</v>
      </c>
      <c r="N12" s="40">
        <f>SUMIFS(Monitoring!AG:AG,Monitoring!$D:$D,$B12,Monitoring!$F:$F,"N")</f>
        <v>0</v>
      </c>
      <c r="O12" s="41">
        <f>SUMIFS(Monitoring!AH:AH,Monitoring!$D:$D,$B12,Monitoring!$F:$F,"N")</f>
        <v>3563196.45</v>
      </c>
      <c r="P12" s="41">
        <f>SUMIFS(Monitoring!AI:AI,Monitoring!$D:$D,$B12,Monitoring!$F:$F,"N")</f>
        <v>6383928.5800000001</v>
      </c>
      <c r="Q12" s="41">
        <f>SUMIFS(Monitoring!AJ:AJ,Monitoring!$D:$D,$B12,Monitoring!$F:$F,"N")</f>
        <v>9682285.7199999988</v>
      </c>
      <c r="R12" s="41">
        <f>SUMIFS(Monitoring!AK:AK,Monitoring!$D:$D,$B12,Monitoring!$F:$F,"N")</f>
        <v>410714.29</v>
      </c>
      <c r="S12" s="41">
        <f>SUMIFS(Monitoring!AL:AL,Monitoring!$D:$D,$B12,Monitoring!$F:$F,"N")</f>
        <v>7600107.1500000004</v>
      </c>
      <c r="T12" s="41">
        <f>SUMIFS(Monitoring!AM:AM,Monitoring!$D:$D,$B12,Monitoring!$F:$F,"N")</f>
        <v>403571.43</v>
      </c>
      <c r="U12" s="41">
        <f>SUMIFS(Monitoring!AN:AN,Monitoring!$D:$D,$B12,Monitoring!$F:$F,"N")</f>
        <v>1707142.86</v>
      </c>
      <c r="V12" s="41">
        <f>SUMIFS(Monitoring!AO:AO,Monitoring!$D:$D,$B12,Monitoring!$F:$F,"N")</f>
        <v>3616071.4299999997</v>
      </c>
      <c r="W12" s="41">
        <f>SUMIFS(Monitoring!AP:AP,Monitoring!$D:$D,$B12,Monitoring!$F:$F,"N")</f>
        <v>20169251.890000004</v>
      </c>
      <c r="X12" s="41">
        <f>SUMIFS(Monitoring!AQ:AQ,Monitoring!$D:$D,$B12,Monitoring!$F:$F,"N")</f>
        <v>6881865.0999999996</v>
      </c>
      <c r="Y12" s="41">
        <f>SUMIFS(Monitoring!AR:AR,Monitoring!$D:$D,$B12,Monitoring!$F:$F,"N")</f>
        <v>6881865.0999999996</v>
      </c>
      <c r="Z12" s="44">
        <f t="shared" si="8"/>
        <v>67300000</v>
      </c>
      <c r="AA12" s="40">
        <f t="shared" si="9"/>
        <v>4.2857229709625244E-3</v>
      </c>
      <c r="AB12" s="42">
        <f t="shared" si="10"/>
        <v>6.3680876236101124E-11</v>
      </c>
    </row>
    <row r="13" spans="2:29" x14ac:dyDescent="0.35">
      <c r="B13" s="39" t="s">
        <v>861</v>
      </c>
      <c r="C13" s="40">
        <v>50000000</v>
      </c>
      <c r="D13" s="41"/>
      <c r="E13" s="41">
        <f t="shared" si="11"/>
        <v>50000000</v>
      </c>
      <c r="F13" s="40">
        <f>SUMIFS(Monitoring!$AA:$AA,Monitoring!$D:$D,$B13,Monitoring!$F:$F,"N")</f>
        <v>8244582.8599999985</v>
      </c>
      <c r="G13" s="41">
        <f>SUMIFS(Monitoring!$AB:$AB,Monitoring!$D:$D,$B13,Monitoring!$F:$F,"N")</f>
        <v>3777253.6899999995</v>
      </c>
      <c r="H13" s="41">
        <f t="shared" si="0"/>
        <v>12021836.549999997</v>
      </c>
      <c r="I13" s="42">
        <f t="shared" si="1"/>
        <v>0.24043673099999993</v>
      </c>
      <c r="J13" s="41">
        <f t="shared" si="2"/>
        <v>37978163.450000003</v>
      </c>
      <c r="K13" s="42">
        <f t="shared" si="3"/>
        <v>0.75956326900000004</v>
      </c>
      <c r="L13" s="41">
        <f t="shared" si="6"/>
        <v>41755417.140000001</v>
      </c>
      <c r="M13" s="42">
        <f t="shared" si="7"/>
        <v>0.83510834280000001</v>
      </c>
      <c r="N13" s="40">
        <f>SUMIFS(Monitoring!AG:AG,Monitoring!$D:$D,$B13,Monitoring!$F:$F,"N")</f>
        <v>276196.43</v>
      </c>
      <c r="O13" s="41">
        <f>SUMIFS(Monitoring!AH:AH,Monitoring!$D:$D,$B13,Monitoring!$F:$F,"N")</f>
        <v>6428571.4299999997</v>
      </c>
      <c r="P13" s="41">
        <f>SUMIFS(Monitoring!AI:AI,Monitoring!$D:$D,$B13,Monitoring!$F:$F,"N")</f>
        <v>12767.849999999627</v>
      </c>
      <c r="Q13" s="41">
        <f>SUMIFS(Monitoring!AJ:AJ,Monitoring!$D:$D,$B13,Monitoring!$F:$F,"N")</f>
        <v>-9.3132257461547852E-10</v>
      </c>
      <c r="R13" s="41">
        <f>SUMIFS(Monitoring!AK:AK,Monitoring!$D:$D,$B13,Monitoring!$F:$F,"N")</f>
        <v>70526.789999999994</v>
      </c>
      <c r="S13" s="41">
        <f>SUMIFS(Monitoring!AL:AL,Monitoring!$D:$D,$B13,Monitoring!$F:$F,"N")</f>
        <v>1192187.5</v>
      </c>
      <c r="T13" s="41">
        <f>SUMIFS(Monitoring!AM:AM,Monitoring!$D:$D,$B13,Monitoring!$F:$F,"N")</f>
        <v>62500</v>
      </c>
      <c r="U13" s="41">
        <f>SUMIFS(Monitoring!AN:AN,Monitoring!$D:$D,$B13,Monitoring!$F:$F,"N")</f>
        <v>201832.86</v>
      </c>
      <c r="V13" s="41">
        <f>SUMIFS(Monitoring!AO:AO,Monitoring!$D:$D,$B13,Monitoring!$F:$F,"N")</f>
        <v>0</v>
      </c>
      <c r="W13" s="41">
        <f>SUMIFS(Monitoring!AP:AP,Monitoring!$D:$D,$B13,Monitoring!$F:$F,"N")</f>
        <v>3777253.6899999995</v>
      </c>
      <c r="X13" s="41">
        <f>SUMIFS(Monitoring!AQ:AQ,Monitoring!$D:$D,$B13,Monitoring!$F:$F,"N")</f>
        <v>1036030.525000001</v>
      </c>
      <c r="Y13" s="41">
        <f>SUMIFS(Monitoring!AR:AR,Monitoring!$D:$D,$B13,Monitoring!$F:$F,"N")</f>
        <v>1036030.525000001</v>
      </c>
      <c r="Z13" s="44">
        <f t="shared" si="8"/>
        <v>14093897.599999998</v>
      </c>
      <c r="AA13" s="40">
        <f t="shared" si="9"/>
        <v>35906102.400000006</v>
      </c>
      <c r="AB13" s="42">
        <f t="shared" si="10"/>
        <v>0.71812204800000012</v>
      </c>
    </row>
    <row r="14" spans="2:29" ht="15" thickBot="1" x14ac:dyDescent="0.4">
      <c r="B14" s="45" t="s">
        <v>862</v>
      </c>
      <c r="C14" s="46">
        <f t="shared" ref="C14:H14" si="12">SUM(C7:C13)</f>
        <v>343543539.06428576</v>
      </c>
      <c r="D14" s="47">
        <f t="shared" si="12"/>
        <v>0</v>
      </c>
      <c r="E14" s="47">
        <f t="shared" si="12"/>
        <v>343543539.06428576</v>
      </c>
      <c r="F14" s="46">
        <f t="shared" si="12"/>
        <v>105801178.00999999</v>
      </c>
      <c r="G14" s="47">
        <f t="shared" si="12"/>
        <v>119178016.8</v>
      </c>
      <c r="H14" s="47">
        <f t="shared" si="12"/>
        <v>224979194.81</v>
      </c>
      <c r="I14" s="48">
        <f t="shared" si="1"/>
        <v>0.65487825916557452</v>
      </c>
      <c r="J14" s="47">
        <f>SUM(J7:J13)</f>
        <v>118564344.25428575</v>
      </c>
      <c r="K14" s="48">
        <f t="shared" si="3"/>
        <v>0.34512174083442548</v>
      </c>
      <c r="L14" s="47">
        <f>SUM(L7:L13)</f>
        <v>237742361.05428576</v>
      </c>
      <c r="M14" s="48">
        <f t="shared" si="7"/>
        <v>0.69202978377013835</v>
      </c>
      <c r="N14" s="49">
        <f t="shared" ref="N14:P14" si="13">SUM(N7:N13)</f>
        <v>929357.14999999991</v>
      </c>
      <c r="O14" s="49">
        <f t="shared" si="13"/>
        <v>12150866.09</v>
      </c>
      <c r="P14" s="49">
        <f t="shared" si="13"/>
        <v>10495802.389999999</v>
      </c>
      <c r="Q14" s="49">
        <f t="shared" ref="Q14:R14" si="14">SUM(Q7:Q13)</f>
        <v>15899499.949999996</v>
      </c>
      <c r="R14" s="49">
        <f t="shared" si="14"/>
        <v>24344173.469999999</v>
      </c>
      <c r="S14" s="49">
        <f t="shared" ref="S14:Y14" si="15">SUM(S7:S13)</f>
        <v>14872434.66</v>
      </c>
      <c r="T14" s="49">
        <f t="shared" si="15"/>
        <v>5448670.1200000001</v>
      </c>
      <c r="U14" s="49">
        <f t="shared" si="15"/>
        <v>13633691.159999998</v>
      </c>
      <c r="V14" s="49">
        <f t="shared" si="15"/>
        <v>8026683.0199999996</v>
      </c>
      <c r="W14" s="49">
        <f t="shared" si="15"/>
        <v>119178016.8</v>
      </c>
      <c r="X14" s="49">
        <f t="shared" si="15"/>
        <v>38414859.414999999</v>
      </c>
      <c r="Y14" s="49">
        <f t="shared" si="15"/>
        <v>38414859.414999999</v>
      </c>
      <c r="Z14" s="50">
        <f t="shared" ref="Z14" si="16">SUM(Z7:Z13)</f>
        <v>301808913.63999999</v>
      </c>
      <c r="AA14" s="46">
        <f>SUM(AA7:AA13)</f>
        <v>41734625.424285747</v>
      </c>
      <c r="AB14" s="48">
        <f t="shared" si="5"/>
        <v>0.12148278363190564</v>
      </c>
    </row>
    <row r="15" spans="2:29" x14ac:dyDescent="0.35">
      <c r="F15" s="78">
        <f>F14-SUMIF(Monitoring!$F:$F,"N",Monitoring!AA:AA)</f>
        <v>0</v>
      </c>
      <c r="G15" s="78">
        <f>G14-SUMIF(Monitoring!$F:$F,"N",Monitoring!AB:AB)</f>
        <v>0</v>
      </c>
      <c r="H15" s="78">
        <f>H14-SUMIF(Monitoring!$F:$F,"N",Monitoring!AC:AC)</f>
        <v>0</v>
      </c>
      <c r="N15" s="78">
        <f>N14-SUMIF(Monitoring!$F:$F,"N",Monitoring!AG:AG)</f>
        <v>0</v>
      </c>
      <c r="O15" s="78">
        <f>O14-SUMIF(Monitoring!$F:$F,"N",Monitoring!AH:AH)</f>
        <v>0</v>
      </c>
      <c r="P15" s="78">
        <f>P14-SUMIF(Monitoring!$F:$F,"N",Monitoring!AI:AI)</f>
        <v>0</v>
      </c>
      <c r="Q15" s="78">
        <f>Q14-SUMIF(Monitoring!$F:$F,"N",Monitoring!AJ:AJ)</f>
        <v>0</v>
      </c>
      <c r="R15" s="78">
        <f>R14-SUMIF(Monitoring!$F:$F,"N",Monitoring!AK:AK)</f>
        <v>0</v>
      </c>
      <c r="S15" s="78">
        <f>S14-SUMIF(Monitoring!$F:$F,"N",Monitoring!AL:AL)</f>
        <v>0</v>
      </c>
      <c r="T15" s="78">
        <f>T14-SUMIF(Monitoring!$F:$F,"N",Monitoring!AM:AM)</f>
        <v>0</v>
      </c>
      <c r="U15" s="78">
        <f>U14-SUMIF(Monitoring!$F:$F,"N",Monitoring!AN:AN)</f>
        <v>0</v>
      </c>
      <c r="V15" s="78">
        <f>V14-SUMIF(Monitoring!$F:$F,"N",Monitoring!AO:AO)</f>
        <v>0</v>
      </c>
      <c r="W15" s="78">
        <f>W14-SUMIF(Monitoring!$F:$F,"N",Monitoring!AP:AP)</f>
        <v>0</v>
      </c>
      <c r="X15" s="78">
        <f>X14-SUMIF(Monitoring!$F:$F,"N",Monitoring!AQ:AQ)</f>
        <v>0</v>
      </c>
      <c r="Y15" s="78">
        <f>Y14-SUMIF(Monitoring!$F:$F,"N",Monitoring!AR:AR)</f>
        <v>0</v>
      </c>
      <c r="Z15" s="78">
        <f>Z14-SUMIF(Monitoring!$F:$F,"N",Monitoring!AS:AS)</f>
        <v>0</v>
      </c>
    </row>
    <row r="16" spans="2:29" ht="14.5" customHeight="1" x14ac:dyDescent="0.4">
      <c r="B16" s="29" t="s">
        <v>1857</v>
      </c>
    </row>
    <row r="17" spans="2:28" ht="15" thickBot="1" x14ac:dyDescent="0.4">
      <c r="B17" s="11" t="s">
        <v>863</v>
      </c>
    </row>
    <row r="18" spans="2:28" x14ac:dyDescent="0.35">
      <c r="B18" s="95" t="s">
        <v>65</v>
      </c>
      <c r="C18" s="97" t="s">
        <v>825</v>
      </c>
      <c r="D18" s="97" t="s">
        <v>826</v>
      </c>
      <c r="E18" s="99" t="s">
        <v>827</v>
      </c>
      <c r="F18" s="91" t="s">
        <v>1856</v>
      </c>
      <c r="G18" s="92"/>
      <c r="H18" s="93" t="s">
        <v>2071</v>
      </c>
      <c r="I18" s="94"/>
    </row>
    <row r="19" spans="2:28" x14ac:dyDescent="0.35">
      <c r="B19" s="96"/>
      <c r="C19" s="98"/>
      <c r="D19" s="98"/>
      <c r="E19" s="100"/>
      <c r="F19" s="84" t="s">
        <v>844</v>
      </c>
      <c r="G19" s="31" t="s">
        <v>845</v>
      </c>
      <c r="H19" s="32" t="s">
        <v>844</v>
      </c>
      <c r="I19" s="33" t="s">
        <v>845</v>
      </c>
    </row>
    <row r="20" spans="2:28" x14ac:dyDescent="0.35">
      <c r="B20" s="35"/>
      <c r="C20" s="36" t="s">
        <v>846</v>
      </c>
      <c r="D20" s="37" t="s">
        <v>847</v>
      </c>
      <c r="E20" s="37" t="s">
        <v>848</v>
      </c>
      <c r="F20" s="36" t="s">
        <v>849</v>
      </c>
      <c r="G20" s="38" t="s">
        <v>1832</v>
      </c>
      <c r="H20" s="37" t="s">
        <v>1833</v>
      </c>
      <c r="I20" s="38" t="s">
        <v>852</v>
      </c>
    </row>
    <row r="21" spans="2:28" hidden="1" x14ac:dyDescent="0.35">
      <c r="B21" s="39" t="s">
        <v>858</v>
      </c>
      <c r="C21" s="40">
        <v>19700000</v>
      </c>
      <c r="D21" s="41"/>
      <c r="E21" s="41">
        <f>C21+D21</f>
        <v>19700000</v>
      </c>
      <c r="F21" s="40">
        <f>SUMIFS(Monitoring!R:R,Monitoring!D:D,Summary!B21,Monitoring!F:F,"N")</f>
        <v>13721450.879999999</v>
      </c>
      <c r="G21" s="42">
        <f t="shared" ref="G21:G28" si="17">F21/E21</f>
        <v>0.69652034923857864</v>
      </c>
      <c r="H21" s="41">
        <f t="shared" ref="H21:H27" si="18">E21-F21</f>
        <v>5978549.120000001</v>
      </c>
      <c r="I21" s="42">
        <f t="shared" ref="I21:I28" si="19">H21/E21</f>
        <v>0.30347965076142136</v>
      </c>
    </row>
    <row r="22" spans="2:28" hidden="1" x14ac:dyDescent="0.35">
      <c r="B22" s="39" t="s">
        <v>859</v>
      </c>
      <c r="C22" s="40">
        <v>31000000</v>
      </c>
      <c r="D22" s="41"/>
      <c r="E22" s="41">
        <f>C22+D22</f>
        <v>31000000</v>
      </c>
      <c r="F22" s="40">
        <f>SUMIFS(Monitoring!R:R,Monitoring!D:D,Summary!B22,Monitoring!F:F,"N")</f>
        <v>18921703.672857143</v>
      </c>
      <c r="G22" s="42">
        <f t="shared" si="17"/>
        <v>0.61037753783410142</v>
      </c>
      <c r="H22" s="41">
        <f t="shared" si="18"/>
        <v>12078296.327142857</v>
      </c>
      <c r="I22" s="42">
        <f t="shared" si="19"/>
        <v>0.38962246216589863</v>
      </c>
    </row>
    <row r="23" spans="2:28" hidden="1" x14ac:dyDescent="0.35">
      <c r="B23" s="39" t="s">
        <v>860</v>
      </c>
      <c r="C23" s="40">
        <v>2337486</v>
      </c>
      <c r="D23" s="41"/>
      <c r="E23" s="41">
        <f>C23+D23</f>
        <v>2337486</v>
      </c>
      <c r="F23" s="40">
        <f>SUMIFS(Monitoring!R:R,Monitoring!D:D,Summary!B23,Monitoring!F:F,"N")</f>
        <v>138392.85999999999</v>
      </c>
      <c r="G23" s="42">
        <f t="shared" si="17"/>
        <v>5.9205856206197595E-2</v>
      </c>
      <c r="H23" s="41">
        <f t="shared" si="18"/>
        <v>2199093.14</v>
      </c>
      <c r="I23" s="42">
        <f t="shared" si="19"/>
        <v>0.94079414379380244</v>
      </c>
    </row>
    <row r="24" spans="2:28" hidden="1" x14ac:dyDescent="0.35">
      <c r="B24" s="39" t="s">
        <v>766</v>
      </c>
      <c r="C24" s="40">
        <v>60000000</v>
      </c>
      <c r="D24" s="41"/>
      <c r="E24" s="41">
        <f t="shared" ref="E24:E27" si="20">C24+D24</f>
        <v>60000000</v>
      </c>
      <c r="F24" s="40">
        <f>SUMIFS(Monitoring!R:R,Monitoring!D:D,Summary!B24,Monitoring!F:F,"N")</f>
        <v>52957851.260000005</v>
      </c>
      <c r="G24" s="42">
        <f t="shared" si="17"/>
        <v>0.88263085433333344</v>
      </c>
      <c r="H24" s="41">
        <f t="shared" si="18"/>
        <v>7042148.7399999946</v>
      </c>
      <c r="I24" s="42">
        <f t="shared" si="19"/>
        <v>0.11736914566666658</v>
      </c>
    </row>
    <row r="25" spans="2:28" x14ac:dyDescent="0.35">
      <c r="B25" s="39" t="s">
        <v>9</v>
      </c>
      <c r="C25" s="40">
        <f>Malls!$G$1</f>
        <v>113206053.06000002</v>
      </c>
      <c r="D25" s="41"/>
      <c r="E25" s="41">
        <f t="shared" si="20"/>
        <v>113206053.06000002</v>
      </c>
      <c r="F25" s="40">
        <f>SUMIFS(Monitoring!R:R,Monitoring!D:D,Summary!B25,Monitoring!F:F,"N")</f>
        <v>137956053.05999997</v>
      </c>
      <c r="G25" s="42">
        <f t="shared" si="17"/>
        <v>1.2186278854442729</v>
      </c>
      <c r="H25" s="41">
        <f t="shared" si="18"/>
        <v>-24749999.999999955</v>
      </c>
      <c r="I25" s="42">
        <f t="shared" si="19"/>
        <v>-0.21862788544427283</v>
      </c>
    </row>
    <row r="26" spans="2:28" x14ac:dyDescent="0.35">
      <c r="B26" s="39" t="s">
        <v>93</v>
      </c>
      <c r="C26" s="40">
        <v>67300000.004285723</v>
      </c>
      <c r="D26" s="41"/>
      <c r="E26" s="41">
        <f t="shared" si="20"/>
        <v>67300000.004285723</v>
      </c>
      <c r="F26" s="40">
        <f>SUMIFS(Monitoring!R:R,Monitoring!D:D,Summary!B26,Monitoring!F:F,"N")</f>
        <v>66298214.290000007</v>
      </c>
      <c r="G26" s="42">
        <f t="shared" si="17"/>
        <v>0.98511462534588523</v>
      </c>
      <c r="H26" s="41">
        <f t="shared" si="18"/>
        <v>1001785.7142857164</v>
      </c>
      <c r="I26" s="42">
        <f t="shared" si="19"/>
        <v>1.4885374654114738E-2</v>
      </c>
    </row>
    <row r="27" spans="2:28" x14ac:dyDescent="0.35">
      <c r="B27" s="39" t="s">
        <v>861</v>
      </c>
      <c r="C27" s="40">
        <v>50000000</v>
      </c>
      <c r="D27" s="41"/>
      <c r="E27" s="41">
        <f t="shared" si="20"/>
        <v>50000000</v>
      </c>
      <c r="F27" s="40">
        <f>SUMIFS(Monitoring!R:R,Monitoring!D:D,Summary!B27,Monitoring!F:F,"N")</f>
        <v>14093897.529999999</v>
      </c>
      <c r="G27" s="42">
        <f t="shared" si="17"/>
        <v>0.28187795059999998</v>
      </c>
      <c r="H27" s="41">
        <f t="shared" si="18"/>
        <v>35906102.469999999</v>
      </c>
      <c r="I27" s="42">
        <f t="shared" si="19"/>
        <v>0.71812204940000002</v>
      </c>
    </row>
    <row r="28" spans="2:28" ht="15" thickBot="1" x14ac:dyDescent="0.4">
      <c r="B28" s="45" t="s">
        <v>862</v>
      </c>
      <c r="C28" s="46">
        <f t="shared" ref="C28:E28" si="21">SUM(C21:C27)</f>
        <v>343543539.06428576</v>
      </c>
      <c r="D28" s="47">
        <f t="shared" si="21"/>
        <v>0</v>
      </c>
      <c r="E28" s="47">
        <f t="shared" si="21"/>
        <v>343543539.06428576</v>
      </c>
      <c r="F28" s="46">
        <f>SUM(F21:F27)</f>
        <v>304087563.5528571</v>
      </c>
      <c r="G28" s="48">
        <f t="shared" si="17"/>
        <v>0.88514999985476239</v>
      </c>
      <c r="H28" s="47">
        <f>SUM(H21:H27)</f>
        <v>39455975.511428609</v>
      </c>
      <c r="I28" s="48">
        <f t="shared" si="19"/>
        <v>0.11485000014523745</v>
      </c>
    </row>
    <row r="29" spans="2:28" x14ac:dyDescent="0.35">
      <c r="B29" s="81"/>
      <c r="C29" s="82"/>
      <c r="D29" s="82"/>
      <c r="E29" s="82"/>
      <c r="F29" s="82"/>
      <c r="G29" s="82"/>
      <c r="H29" s="82"/>
      <c r="I29" s="83"/>
      <c r="J29" s="82"/>
      <c r="K29" s="83"/>
    </row>
    <row r="30" spans="2:28" ht="16" x14ac:dyDescent="0.4">
      <c r="B30" s="29" t="s">
        <v>823</v>
      </c>
    </row>
    <row r="31" spans="2:28" ht="15" thickBot="1" x14ac:dyDescent="0.4">
      <c r="B31" s="11" t="s">
        <v>824</v>
      </c>
    </row>
    <row r="32" spans="2:28" ht="14.5" customHeight="1" x14ac:dyDescent="0.35">
      <c r="B32" s="95" t="s">
        <v>65</v>
      </c>
      <c r="C32" s="97" t="s">
        <v>825</v>
      </c>
      <c r="D32" s="97" t="s">
        <v>826</v>
      </c>
      <c r="E32" s="101" t="s">
        <v>827</v>
      </c>
      <c r="F32" s="103" t="s">
        <v>828</v>
      </c>
      <c r="G32" s="105" t="s">
        <v>1819</v>
      </c>
      <c r="H32" s="109" t="s">
        <v>829</v>
      </c>
      <c r="I32" s="92"/>
      <c r="J32" s="93" t="s">
        <v>1817</v>
      </c>
      <c r="K32" s="94"/>
      <c r="L32" s="93" t="s">
        <v>1818</v>
      </c>
      <c r="M32" s="94"/>
      <c r="N32" s="107" t="s">
        <v>830</v>
      </c>
      <c r="O32" s="107" t="s">
        <v>831</v>
      </c>
      <c r="P32" s="107" t="s">
        <v>832</v>
      </c>
      <c r="Q32" s="107" t="s">
        <v>833</v>
      </c>
      <c r="R32" s="107" t="s">
        <v>834</v>
      </c>
      <c r="S32" s="107" t="s">
        <v>835</v>
      </c>
      <c r="T32" s="107" t="s">
        <v>836</v>
      </c>
      <c r="U32" s="107" t="s">
        <v>837</v>
      </c>
      <c r="V32" s="107" t="s">
        <v>838</v>
      </c>
      <c r="W32" s="107" t="s">
        <v>839</v>
      </c>
      <c r="X32" s="107" t="s">
        <v>840</v>
      </c>
      <c r="Y32" s="107" t="s">
        <v>841</v>
      </c>
      <c r="Z32" s="110" t="s">
        <v>842</v>
      </c>
      <c r="AA32" s="112" t="s">
        <v>843</v>
      </c>
      <c r="AB32" s="94"/>
    </row>
    <row r="33" spans="2:28" x14ac:dyDescent="0.35">
      <c r="B33" s="96"/>
      <c r="C33" s="98"/>
      <c r="D33" s="98"/>
      <c r="E33" s="102"/>
      <c r="F33" s="104"/>
      <c r="G33" s="106"/>
      <c r="H33" s="30" t="s">
        <v>844</v>
      </c>
      <c r="I33" s="31" t="s">
        <v>845</v>
      </c>
      <c r="J33" s="32" t="s">
        <v>844</v>
      </c>
      <c r="K33" s="33" t="s">
        <v>845</v>
      </c>
      <c r="L33" s="32" t="s">
        <v>844</v>
      </c>
      <c r="M33" s="33" t="s">
        <v>845</v>
      </c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11"/>
      <c r="AA33" s="34" t="s">
        <v>844</v>
      </c>
      <c r="AB33" s="33" t="s">
        <v>845</v>
      </c>
    </row>
    <row r="34" spans="2:28" x14ac:dyDescent="0.35">
      <c r="B34" s="35"/>
      <c r="C34" s="36" t="s">
        <v>846</v>
      </c>
      <c r="D34" s="37" t="s">
        <v>847</v>
      </c>
      <c r="E34" s="37" t="s">
        <v>848</v>
      </c>
      <c r="F34" s="36" t="s">
        <v>849</v>
      </c>
      <c r="G34" s="37" t="s">
        <v>850</v>
      </c>
      <c r="H34" s="37" t="s">
        <v>851</v>
      </c>
      <c r="I34" s="38" t="s">
        <v>852</v>
      </c>
      <c r="J34" s="37" t="s">
        <v>853</v>
      </c>
      <c r="K34" s="38" t="s">
        <v>854</v>
      </c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8" t="s">
        <v>855</v>
      </c>
      <c r="AA34" s="36" t="s">
        <v>856</v>
      </c>
      <c r="AB34" s="38" t="s">
        <v>857</v>
      </c>
    </row>
    <row r="35" spans="2:28" x14ac:dyDescent="0.35">
      <c r="B35" s="39" t="s">
        <v>858</v>
      </c>
      <c r="C35" s="40">
        <v>19700000</v>
      </c>
      <c r="D35" s="41"/>
      <c r="E35" s="41">
        <f>C35+D35</f>
        <v>19700000</v>
      </c>
      <c r="F35" s="40">
        <f>SUMIF(Monitoring!$D:$D,Summary!$B35,Monitoring!$AA:$AA)</f>
        <v>9832978.5700000003</v>
      </c>
      <c r="G35" s="41">
        <f>SUMIF(Monitoring!$D:$D,Summary!$B35,Monitoring!$AB:$AB)</f>
        <v>2203571.4300000002</v>
      </c>
      <c r="H35" s="41">
        <f t="shared" ref="H35:H41" si="22">SUM(F35:G35)</f>
        <v>12036550</v>
      </c>
      <c r="I35" s="42">
        <f t="shared" ref="I35:I42" si="23">H35/E35</f>
        <v>0.61099238578680204</v>
      </c>
      <c r="J35" s="41">
        <f t="shared" ref="J35:J41" si="24">E35-H35</f>
        <v>7663450</v>
      </c>
      <c r="K35" s="42">
        <f t="shared" ref="K35:K42" si="25">J35/E35</f>
        <v>0.38900761421319796</v>
      </c>
      <c r="L35" s="79"/>
      <c r="M35" s="79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4">
        <f>SUM(N35:Y35)</f>
        <v>0</v>
      </c>
      <c r="AA35" s="40">
        <f t="shared" ref="AA35:AA41" si="26">E35-Z35</f>
        <v>19700000</v>
      </c>
      <c r="AB35" s="42">
        <f t="shared" ref="AB35:AB42" si="27">AA35/E35</f>
        <v>1</v>
      </c>
    </row>
    <row r="36" spans="2:28" x14ac:dyDescent="0.35">
      <c r="B36" s="39" t="s">
        <v>859</v>
      </c>
      <c r="C36" s="40">
        <v>31000000</v>
      </c>
      <c r="D36" s="41"/>
      <c r="E36" s="41">
        <f>C36+D36</f>
        <v>31000000</v>
      </c>
      <c r="F36" s="40">
        <f>SUMIF(Monitoring!$D:$D,Summary!$B36,Monitoring!$AA:$AA)</f>
        <v>16165522.32</v>
      </c>
      <c r="G36" s="41">
        <f>SUMIF(Monitoring!$D:$D,Summary!$B36,Monitoring!$AB:$AB)</f>
        <v>1562946.4400000002</v>
      </c>
      <c r="H36" s="41">
        <f t="shared" si="22"/>
        <v>17728468.760000002</v>
      </c>
      <c r="I36" s="42">
        <f t="shared" si="23"/>
        <v>0.57188608903225813</v>
      </c>
      <c r="J36" s="41">
        <f t="shared" si="24"/>
        <v>13271531.239999998</v>
      </c>
      <c r="K36" s="42">
        <f t="shared" si="25"/>
        <v>0.42811391096774187</v>
      </c>
      <c r="L36" s="79"/>
      <c r="M36" s="79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4">
        <f t="shared" ref="Z36:Z41" si="28">SUM(N36:Y36)</f>
        <v>0</v>
      </c>
      <c r="AA36" s="40">
        <f t="shared" si="26"/>
        <v>31000000</v>
      </c>
      <c r="AB36" s="42">
        <f t="shared" si="27"/>
        <v>1</v>
      </c>
    </row>
    <row r="37" spans="2:28" x14ac:dyDescent="0.35">
      <c r="B37" s="39" t="s">
        <v>860</v>
      </c>
      <c r="C37" s="40">
        <v>2337486</v>
      </c>
      <c r="D37" s="41"/>
      <c r="E37" s="41">
        <f>C37+D37</f>
        <v>2337486</v>
      </c>
      <c r="F37" s="40">
        <f>SUMIF(Monitoring!$D:$D,Summary!$B37,Monitoring!$AA:$AA)</f>
        <v>138392.85999999999</v>
      </c>
      <c r="G37" s="41">
        <f>SUMIF(Monitoring!$D:$D,Summary!$B37,Monitoring!$AB:$AB)</f>
        <v>0</v>
      </c>
      <c r="H37" s="41">
        <f t="shared" ref="H37" si="29">SUM(F37:G37)</f>
        <v>138392.85999999999</v>
      </c>
      <c r="I37" s="42">
        <f t="shared" si="23"/>
        <v>5.9205856206197595E-2</v>
      </c>
      <c r="J37" s="41">
        <f t="shared" si="24"/>
        <v>2199093.14</v>
      </c>
      <c r="K37" s="42">
        <f t="shared" si="25"/>
        <v>0.94079414379380244</v>
      </c>
      <c r="L37" s="79"/>
      <c r="M37" s="79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4">
        <f t="shared" si="28"/>
        <v>0</v>
      </c>
      <c r="AA37" s="40">
        <f t="shared" si="26"/>
        <v>2337486</v>
      </c>
      <c r="AB37" s="42">
        <f t="shared" si="27"/>
        <v>1</v>
      </c>
    </row>
    <row r="38" spans="2:28" x14ac:dyDescent="0.35">
      <c r="B38" s="39" t="s">
        <v>766</v>
      </c>
      <c r="C38" s="40">
        <v>60000000</v>
      </c>
      <c r="D38" s="41"/>
      <c r="E38" s="41">
        <f t="shared" ref="E38:E41" si="30">C38+D38</f>
        <v>60000000</v>
      </c>
      <c r="F38" s="40">
        <f>SUMIF(Monitoring!$D:$D,Summary!$B38,Monitoring!$AA:$AA)</f>
        <v>50481168.759999998</v>
      </c>
      <c r="G38" s="41">
        <f>SUMIF(Monitoring!$D:$D,Summary!$B38,Monitoring!$AB:$AB)</f>
        <v>145258225.84999999</v>
      </c>
      <c r="H38" s="41">
        <f t="shared" si="22"/>
        <v>195739394.60999998</v>
      </c>
      <c r="I38" s="42">
        <f t="shared" si="23"/>
        <v>3.2623232434999996</v>
      </c>
      <c r="J38" s="41">
        <f t="shared" si="24"/>
        <v>-135739394.60999998</v>
      </c>
      <c r="K38" s="42">
        <f t="shared" si="25"/>
        <v>-2.2623232434999996</v>
      </c>
      <c r="L38" s="79"/>
      <c r="M38" s="79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4">
        <f t="shared" si="28"/>
        <v>0</v>
      </c>
      <c r="AA38" s="40">
        <f t="shared" si="26"/>
        <v>60000000</v>
      </c>
      <c r="AB38" s="42">
        <f t="shared" si="27"/>
        <v>1</v>
      </c>
    </row>
    <row r="39" spans="2:28" x14ac:dyDescent="0.35">
      <c r="B39" s="39" t="s">
        <v>9</v>
      </c>
      <c r="C39" s="40">
        <f>Malls!$G$1</f>
        <v>113206053.06000002</v>
      </c>
      <c r="D39" s="41"/>
      <c r="E39" s="41">
        <f t="shared" si="30"/>
        <v>113206053.06000002</v>
      </c>
      <c r="F39" s="40">
        <f>SUMIF(Monitoring!$D:$D,Summary!$B39,Monitoring!$AA:$AA)</f>
        <v>27138754.929999992</v>
      </c>
      <c r="G39" s="41">
        <f>SUMIF(Monitoring!$D:$D,Summary!$B39,Monitoring!$AB:$AB)</f>
        <v>55946400.270000003</v>
      </c>
      <c r="H39" s="41">
        <f t="shared" si="22"/>
        <v>83085155.199999988</v>
      </c>
      <c r="I39" s="42">
        <f t="shared" si="23"/>
        <v>0.73392855730041451</v>
      </c>
      <c r="J39" s="41">
        <f t="shared" si="24"/>
        <v>30120897.860000029</v>
      </c>
      <c r="K39" s="42">
        <f t="shared" si="25"/>
        <v>0.26607144269958549</v>
      </c>
      <c r="L39" s="79"/>
      <c r="M39" s="79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4">
        <f t="shared" si="28"/>
        <v>0</v>
      </c>
      <c r="AA39" s="40">
        <f t="shared" si="26"/>
        <v>113206053.06000002</v>
      </c>
      <c r="AB39" s="42">
        <f t="shared" si="27"/>
        <v>1</v>
      </c>
    </row>
    <row r="40" spans="2:28" x14ac:dyDescent="0.35">
      <c r="B40" s="39" t="s">
        <v>93</v>
      </c>
      <c r="C40" s="40">
        <v>67300000.004285723</v>
      </c>
      <c r="D40" s="41"/>
      <c r="E40" s="41">
        <f t="shared" si="30"/>
        <v>67300000.004285723</v>
      </c>
      <c r="F40" s="40">
        <f>SUMIF(Monitoring!$D:$D,Summary!$B40,Monitoring!$AA:$AA)</f>
        <v>42886794.149999999</v>
      </c>
      <c r="G40" s="41">
        <f>SUMIF(Monitoring!$D:$D,Summary!$B40,Monitoring!$AB:$AB)</f>
        <v>25379823.320000004</v>
      </c>
      <c r="H40" s="41">
        <f t="shared" si="22"/>
        <v>68266617.469999999</v>
      </c>
      <c r="I40" s="42">
        <f t="shared" si="23"/>
        <v>1.0143628152400108</v>
      </c>
      <c r="J40" s="41">
        <f t="shared" si="24"/>
        <v>-966617.46571427584</v>
      </c>
      <c r="K40" s="42">
        <f t="shared" si="25"/>
        <v>-1.436281524001071E-2</v>
      </c>
      <c r="L40" s="79"/>
      <c r="M40" s="79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4">
        <f t="shared" si="28"/>
        <v>0</v>
      </c>
      <c r="AA40" s="40">
        <f t="shared" si="26"/>
        <v>67300000.004285723</v>
      </c>
      <c r="AB40" s="42">
        <f t="shared" si="27"/>
        <v>1</v>
      </c>
    </row>
    <row r="41" spans="2:28" x14ac:dyDescent="0.35">
      <c r="B41" s="39" t="s">
        <v>861</v>
      </c>
      <c r="C41" s="40">
        <v>50000000</v>
      </c>
      <c r="D41" s="41"/>
      <c r="E41" s="41">
        <f t="shared" si="30"/>
        <v>50000000</v>
      </c>
      <c r="F41" s="40">
        <f>SUMIF(Monitoring!$D:$D,Summary!$B41,Monitoring!$AA:$AA)</f>
        <v>8244582.8599999985</v>
      </c>
      <c r="G41" s="41">
        <f>SUMIF(Monitoring!$D:$D,Summary!$B41,Monitoring!$AB:$AB)</f>
        <v>3777253.6899999995</v>
      </c>
      <c r="H41" s="41">
        <f t="shared" si="22"/>
        <v>12021836.549999997</v>
      </c>
      <c r="I41" s="42">
        <f t="shared" si="23"/>
        <v>0.24043673099999993</v>
      </c>
      <c r="J41" s="41">
        <f t="shared" si="24"/>
        <v>37978163.450000003</v>
      </c>
      <c r="K41" s="42">
        <f t="shared" si="25"/>
        <v>0.75956326900000004</v>
      </c>
      <c r="L41" s="79"/>
      <c r="M41" s="79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4">
        <f t="shared" si="28"/>
        <v>0</v>
      </c>
      <c r="AA41" s="40">
        <f t="shared" si="26"/>
        <v>50000000</v>
      </c>
      <c r="AB41" s="42">
        <f t="shared" si="27"/>
        <v>1</v>
      </c>
    </row>
    <row r="42" spans="2:28" ht="15" thickBot="1" x14ac:dyDescent="0.4">
      <c r="B42" s="45" t="s">
        <v>862</v>
      </c>
      <c r="C42" s="46">
        <f t="shared" ref="C42:H42" si="31">SUM(C35:C41)</f>
        <v>343543539.06428576</v>
      </c>
      <c r="D42" s="47">
        <f t="shared" si="31"/>
        <v>0</v>
      </c>
      <c r="E42" s="47">
        <f t="shared" si="31"/>
        <v>343543539.06428576</v>
      </c>
      <c r="F42" s="46">
        <f t="shared" si="31"/>
        <v>154888194.44999996</v>
      </c>
      <c r="G42" s="47">
        <f t="shared" si="31"/>
        <v>234128221</v>
      </c>
      <c r="H42" s="47">
        <f t="shared" si="31"/>
        <v>389016415.44999999</v>
      </c>
      <c r="I42" s="48">
        <f t="shared" si="23"/>
        <v>1.132364231065353</v>
      </c>
      <c r="J42" s="47">
        <f>SUM(J35:J41)</f>
        <v>-45472876.385714233</v>
      </c>
      <c r="K42" s="48">
        <f t="shared" si="25"/>
        <v>-0.13236423106535297</v>
      </c>
      <c r="L42" s="80"/>
      <c r="M42" s="80"/>
      <c r="N42" s="49">
        <f t="shared" ref="N42:Z42" si="32">SUM(N35:N41)</f>
        <v>0</v>
      </c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>
        <f t="shared" si="32"/>
        <v>0</v>
      </c>
      <c r="Z42" s="50">
        <f t="shared" si="32"/>
        <v>0</v>
      </c>
      <c r="AA42" s="46">
        <f>SUM(AA35:AA41)</f>
        <v>343543539.06428576</v>
      </c>
      <c r="AB42" s="48">
        <f t="shared" si="27"/>
        <v>1</v>
      </c>
    </row>
    <row r="43" spans="2:28" x14ac:dyDescent="0.35">
      <c r="F43" s="12">
        <f>F42-Monitoring!AA5</f>
        <v>0</v>
      </c>
      <c r="G43" s="12">
        <f>G42-Monitoring!AB5</f>
        <v>0</v>
      </c>
      <c r="H43" s="12">
        <f>H42-Monitoring!AC5</f>
        <v>0</v>
      </c>
    </row>
  </sheetData>
  <mergeCells count="52">
    <mergeCell ref="L4:M4"/>
    <mergeCell ref="AA4:AB4"/>
    <mergeCell ref="R4:R5"/>
    <mergeCell ref="S4:S5"/>
    <mergeCell ref="T4:T5"/>
    <mergeCell ref="U4:U5"/>
    <mergeCell ref="V4:V5"/>
    <mergeCell ref="W4:W5"/>
    <mergeCell ref="O4:O5"/>
    <mergeCell ref="P4:P5"/>
    <mergeCell ref="X4:X5"/>
    <mergeCell ref="Y4:Y5"/>
    <mergeCell ref="Z4:Z5"/>
    <mergeCell ref="X32:X33"/>
    <mergeCell ref="Y32:Y33"/>
    <mergeCell ref="Z32:Z33"/>
    <mergeCell ref="AA32:AB32"/>
    <mergeCell ref="V32:V33"/>
    <mergeCell ref="W32:W33"/>
    <mergeCell ref="B4:B5"/>
    <mergeCell ref="C4:C5"/>
    <mergeCell ref="D4:D5"/>
    <mergeCell ref="E4:E5"/>
    <mergeCell ref="F4:F5"/>
    <mergeCell ref="G4:G5"/>
    <mergeCell ref="R32:R33"/>
    <mergeCell ref="S32:S33"/>
    <mergeCell ref="T32:T33"/>
    <mergeCell ref="U32:U33"/>
    <mergeCell ref="H32:I32"/>
    <mergeCell ref="J32:K32"/>
    <mergeCell ref="N32:N33"/>
    <mergeCell ref="O32:O33"/>
    <mergeCell ref="P32:P33"/>
    <mergeCell ref="Q32:Q33"/>
    <mergeCell ref="G32:G33"/>
    <mergeCell ref="Q4:Q5"/>
    <mergeCell ref="H4:I4"/>
    <mergeCell ref="J4:K4"/>
    <mergeCell ref="N4:N5"/>
    <mergeCell ref="L32:M32"/>
    <mergeCell ref="B32:B33"/>
    <mergeCell ref="C32:C33"/>
    <mergeCell ref="D32:D33"/>
    <mergeCell ref="E32:E33"/>
    <mergeCell ref="F32:F33"/>
    <mergeCell ref="F18:G18"/>
    <mergeCell ref="H18:I18"/>
    <mergeCell ref="B18:B19"/>
    <mergeCell ref="C18:C19"/>
    <mergeCell ref="D18:D19"/>
    <mergeCell ref="E18:E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EF62E-4955-46A3-992F-3968B489812C}">
  <sheetPr>
    <tabColor theme="0" tint="-0.14999847407452621"/>
  </sheetPr>
  <dimension ref="A1:I189"/>
  <sheetViews>
    <sheetView zoomScale="70" zoomScaleNormal="80" workbookViewId="0">
      <pane xSplit="2" ySplit="3" topLeftCell="C162" activePane="bottomRight" state="frozen"/>
      <selection pane="topRight" activeCell="C1" sqref="C1"/>
      <selection pane="bottomLeft" activeCell="A3" sqref="A3"/>
      <selection pane="bottomRight" activeCell="B178" sqref="B178"/>
    </sheetView>
  </sheetViews>
  <sheetFormatPr defaultRowHeight="14.5" x14ac:dyDescent="0.35"/>
  <cols>
    <col min="1" max="1" width="12.81640625" bestFit="1" customWidth="1"/>
    <col min="2" max="2" width="32.7265625" bestFit="1" customWidth="1"/>
    <col min="3" max="3" width="15.453125" bestFit="1" customWidth="1"/>
    <col min="4" max="4" width="14.453125" bestFit="1" customWidth="1"/>
    <col min="5" max="7" width="15.453125" bestFit="1" customWidth="1"/>
    <col min="9" max="9" width="12" bestFit="1" customWidth="1"/>
    <col min="10" max="10" width="10.08984375" bestFit="1" customWidth="1"/>
  </cols>
  <sheetData>
    <row r="1" spans="1:9" x14ac:dyDescent="0.35">
      <c r="A1" t="s">
        <v>2844</v>
      </c>
      <c r="B1" s="88" t="s">
        <v>3220</v>
      </c>
    </row>
    <row r="2" spans="1:9" x14ac:dyDescent="0.35">
      <c r="C2" s="6">
        <f>SUBTOTAL(9,C4:C179)</f>
        <v>707668257.02000034</v>
      </c>
      <c r="D2" s="6">
        <f t="shared" ref="D2:G2" si="0">SUBTOTAL(9,D4:D179)</f>
        <v>154888194.45000002</v>
      </c>
      <c r="E2" s="6">
        <f t="shared" si="0"/>
        <v>234128221</v>
      </c>
      <c r="F2" s="6">
        <f t="shared" si="0"/>
        <v>389016415.45000005</v>
      </c>
      <c r="G2" s="6">
        <f t="shared" si="0"/>
        <v>318651841.57000011</v>
      </c>
    </row>
    <row r="3" spans="1:9" x14ac:dyDescent="0.35">
      <c r="A3" t="s">
        <v>904</v>
      </c>
      <c r="B3" t="s">
        <v>905</v>
      </c>
      <c r="C3" t="s">
        <v>906</v>
      </c>
      <c r="D3" t="s">
        <v>907</v>
      </c>
      <c r="E3" t="s">
        <v>908</v>
      </c>
      <c r="F3" t="s">
        <v>909</v>
      </c>
      <c r="G3" t="s">
        <v>910</v>
      </c>
    </row>
    <row r="4" spans="1:9" x14ac:dyDescent="0.35">
      <c r="A4">
        <v>10000820</v>
      </c>
      <c r="B4" t="s">
        <v>117</v>
      </c>
      <c r="C4" s="24">
        <v>278125</v>
      </c>
      <c r="E4" s="24">
        <v>278125</v>
      </c>
      <c r="F4" s="24">
        <v>278125</v>
      </c>
      <c r="G4" s="24">
        <f t="shared" ref="G4:G67" si="1">C4-F4</f>
        <v>0</v>
      </c>
    </row>
    <row r="5" spans="1:9" x14ac:dyDescent="0.35">
      <c r="A5">
        <v>10001021</v>
      </c>
      <c r="B5" t="s">
        <v>118</v>
      </c>
      <c r="C5" s="24">
        <v>4855625.01</v>
      </c>
      <c r="E5" s="24">
        <v>4855625.01</v>
      </c>
      <c r="F5" s="24">
        <v>4855625.01</v>
      </c>
      <c r="G5" s="24">
        <f t="shared" si="1"/>
        <v>0</v>
      </c>
    </row>
    <row r="6" spans="1:9" x14ac:dyDescent="0.35">
      <c r="A6">
        <v>10001072</v>
      </c>
      <c r="B6" t="s">
        <v>625</v>
      </c>
      <c r="C6" s="24">
        <v>142000</v>
      </c>
      <c r="E6" s="24">
        <v>142000</v>
      </c>
      <c r="F6" s="24">
        <v>142000</v>
      </c>
      <c r="G6" s="24">
        <f t="shared" si="1"/>
        <v>0</v>
      </c>
    </row>
    <row r="7" spans="1:9" x14ac:dyDescent="0.35">
      <c r="A7">
        <v>10001075</v>
      </c>
      <c r="B7" t="s">
        <v>911</v>
      </c>
      <c r="G7" s="24">
        <f t="shared" si="1"/>
        <v>0</v>
      </c>
    </row>
    <row r="8" spans="1:9" x14ac:dyDescent="0.35">
      <c r="A8">
        <v>10001134</v>
      </c>
      <c r="B8" t="s">
        <v>626</v>
      </c>
      <c r="C8" s="24">
        <v>789517.86</v>
      </c>
      <c r="E8" s="24">
        <v>789517.86</v>
      </c>
      <c r="F8" s="24">
        <v>789517.86</v>
      </c>
      <c r="G8" s="24">
        <f t="shared" si="1"/>
        <v>0</v>
      </c>
    </row>
    <row r="9" spans="1:9" x14ac:dyDescent="0.35">
      <c r="A9">
        <v>10001136</v>
      </c>
      <c r="B9" t="s">
        <v>912</v>
      </c>
      <c r="C9" s="24">
        <v>982142.86</v>
      </c>
      <c r="D9" s="24">
        <v>982142.86</v>
      </c>
      <c r="F9" s="24">
        <v>982142.86</v>
      </c>
      <c r="G9" s="24">
        <f t="shared" si="1"/>
        <v>0</v>
      </c>
    </row>
    <row r="10" spans="1:9" x14ac:dyDescent="0.35">
      <c r="A10">
        <v>10001140</v>
      </c>
      <c r="B10" t="s">
        <v>913</v>
      </c>
      <c r="C10" s="24">
        <v>232142.86</v>
      </c>
      <c r="E10" s="24">
        <v>232142.86</v>
      </c>
      <c r="F10" s="24">
        <v>232142.86</v>
      </c>
      <c r="G10" s="24">
        <f t="shared" si="1"/>
        <v>0</v>
      </c>
    </row>
    <row r="11" spans="1:9" x14ac:dyDescent="0.35">
      <c r="A11">
        <v>10001143</v>
      </c>
      <c r="B11" t="s">
        <v>914</v>
      </c>
      <c r="C11" s="24">
        <v>308303.57</v>
      </c>
      <c r="G11" s="24">
        <f t="shared" si="1"/>
        <v>308303.57</v>
      </c>
    </row>
    <row r="12" spans="1:9" x14ac:dyDescent="0.35">
      <c r="A12">
        <v>10001190</v>
      </c>
      <c r="B12" t="s">
        <v>140</v>
      </c>
      <c r="C12" s="24">
        <v>2400000</v>
      </c>
      <c r="D12" s="24">
        <v>2400000</v>
      </c>
      <c r="F12" s="24">
        <v>2400000</v>
      </c>
      <c r="G12" s="24">
        <f t="shared" si="1"/>
        <v>0</v>
      </c>
    </row>
    <row r="13" spans="1:9" x14ac:dyDescent="0.35">
      <c r="A13">
        <v>10001220</v>
      </c>
      <c r="B13" t="s">
        <v>119</v>
      </c>
      <c r="C13" s="24">
        <v>99196.43</v>
      </c>
      <c r="E13" s="24">
        <v>99196.43</v>
      </c>
      <c r="F13" s="24">
        <v>99196.43</v>
      </c>
      <c r="G13" s="24">
        <f t="shared" si="1"/>
        <v>0</v>
      </c>
    </row>
    <row r="14" spans="1:9" x14ac:dyDescent="0.35">
      <c r="A14">
        <v>10001254</v>
      </c>
      <c r="B14" t="s">
        <v>628</v>
      </c>
      <c r="C14" s="24">
        <v>32193.08</v>
      </c>
      <c r="E14" s="24">
        <v>32193.08</v>
      </c>
      <c r="F14" s="24">
        <v>32193.08</v>
      </c>
      <c r="G14" s="24">
        <f t="shared" si="1"/>
        <v>0</v>
      </c>
    </row>
    <row r="15" spans="1:9" x14ac:dyDescent="0.35">
      <c r="A15">
        <v>10001262</v>
      </c>
      <c r="B15" t="s">
        <v>627</v>
      </c>
      <c r="C15" s="24">
        <v>767321.43</v>
      </c>
      <c r="D15" s="24">
        <v>417857.14</v>
      </c>
      <c r="E15" s="24">
        <v>349464.28</v>
      </c>
      <c r="F15" s="24">
        <v>767321.42</v>
      </c>
      <c r="G15" s="24">
        <f t="shared" si="1"/>
        <v>1.0000000009313226E-2</v>
      </c>
      <c r="I15" s="24"/>
    </row>
    <row r="16" spans="1:9" x14ac:dyDescent="0.35">
      <c r="A16">
        <v>10001269</v>
      </c>
      <c r="B16" t="s">
        <v>152</v>
      </c>
      <c r="C16" s="24">
        <v>560714.29</v>
      </c>
      <c r="D16" s="24">
        <v>560714.29</v>
      </c>
      <c r="F16" s="24">
        <v>560714.29</v>
      </c>
      <c r="G16" s="24">
        <f t="shared" si="1"/>
        <v>0</v>
      </c>
    </row>
    <row r="17" spans="1:9" x14ac:dyDescent="0.35">
      <c r="A17">
        <v>10001270</v>
      </c>
      <c r="B17" t="s">
        <v>156</v>
      </c>
      <c r="C17" s="24">
        <v>437500</v>
      </c>
      <c r="D17" s="24">
        <v>437500</v>
      </c>
      <c r="F17" s="24">
        <v>437500</v>
      </c>
      <c r="G17" s="24">
        <f t="shared" si="1"/>
        <v>0</v>
      </c>
    </row>
    <row r="18" spans="1:9" x14ac:dyDescent="0.35">
      <c r="A18">
        <v>10001281</v>
      </c>
      <c r="B18" t="s">
        <v>159</v>
      </c>
      <c r="C18" s="24">
        <v>3004771.45</v>
      </c>
      <c r="D18" s="24">
        <v>1973033.93</v>
      </c>
      <c r="E18" s="24">
        <v>1031737.52</v>
      </c>
      <c r="F18" s="24">
        <v>3004771.45</v>
      </c>
      <c r="G18" s="24">
        <f t="shared" si="1"/>
        <v>0</v>
      </c>
      <c r="I18" s="24"/>
    </row>
    <row r="19" spans="1:9" x14ac:dyDescent="0.35">
      <c r="A19">
        <v>10001288</v>
      </c>
      <c r="B19" t="s">
        <v>629</v>
      </c>
      <c r="C19" s="24">
        <v>7500</v>
      </c>
      <c r="E19" s="24">
        <v>7500</v>
      </c>
      <c r="F19" s="24">
        <v>7500</v>
      </c>
      <c r="G19" s="24">
        <f t="shared" si="1"/>
        <v>0</v>
      </c>
    </row>
    <row r="20" spans="1:9" x14ac:dyDescent="0.35">
      <c r="A20">
        <v>10001289</v>
      </c>
      <c r="B20" t="s">
        <v>630</v>
      </c>
      <c r="C20" s="24">
        <v>42857.14</v>
      </c>
      <c r="E20" s="24">
        <v>42857.14</v>
      </c>
      <c r="F20" s="24">
        <v>42857.14</v>
      </c>
      <c r="G20" s="24">
        <f t="shared" si="1"/>
        <v>0</v>
      </c>
    </row>
    <row r="21" spans="1:9" x14ac:dyDescent="0.35">
      <c r="A21">
        <v>10001294</v>
      </c>
      <c r="B21" t="s">
        <v>632</v>
      </c>
      <c r="C21" s="24">
        <v>4560714.29</v>
      </c>
      <c r="D21" s="24">
        <v>4253567.5999999996</v>
      </c>
      <c r="F21" s="24">
        <v>4253567.5999999996</v>
      </c>
      <c r="G21" s="24">
        <f t="shared" si="1"/>
        <v>307146.69000000041</v>
      </c>
    </row>
    <row r="22" spans="1:9" x14ac:dyDescent="0.35">
      <c r="A22">
        <v>10001296</v>
      </c>
      <c r="B22" t="s">
        <v>633</v>
      </c>
      <c r="C22" s="24">
        <v>506471.03</v>
      </c>
      <c r="D22" s="24">
        <v>437499.99</v>
      </c>
      <c r="E22" s="24">
        <v>20810.32</v>
      </c>
      <c r="F22" s="24">
        <v>458310.31</v>
      </c>
      <c r="G22" s="24">
        <f t="shared" si="1"/>
        <v>48160.72000000003</v>
      </c>
      <c r="I22" s="24"/>
    </row>
    <row r="23" spans="1:9" x14ac:dyDescent="0.35">
      <c r="A23">
        <v>10001298</v>
      </c>
      <c r="B23" t="s">
        <v>120</v>
      </c>
      <c r="C23" s="24">
        <v>7190.4</v>
      </c>
      <c r="D23">
        <v>-0.01</v>
      </c>
      <c r="E23" s="24">
        <v>7190.4</v>
      </c>
      <c r="F23" s="24">
        <v>7190.39</v>
      </c>
      <c r="G23" s="24">
        <f t="shared" si="1"/>
        <v>9.999999999308784E-3</v>
      </c>
    </row>
    <row r="24" spans="1:9" x14ac:dyDescent="0.35">
      <c r="A24">
        <v>10001302</v>
      </c>
      <c r="B24" t="s">
        <v>634</v>
      </c>
      <c r="C24" s="24">
        <v>278743.18</v>
      </c>
      <c r="E24" s="24">
        <v>278743.18</v>
      </c>
      <c r="F24" s="24">
        <v>278743.18</v>
      </c>
      <c r="G24" s="24">
        <f t="shared" si="1"/>
        <v>0</v>
      </c>
    </row>
    <row r="25" spans="1:9" x14ac:dyDescent="0.35">
      <c r="A25">
        <v>10001305</v>
      </c>
      <c r="B25" t="s">
        <v>635</v>
      </c>
      <c r="C25" s="24">
        <v>356250</v>
      </c>
      <c r="E25" s="24">
        <v>356250</v>
      </c>
      <c r="F25" s="24">
        <v>356250</v>
      </c>
      <c r="G25" s="24">
        <f t="shared" si="1"/>
        <v>0</v>
      </c>
    </row>
    <row r="26" spans="1:9" x14ac:dyDescent="0.35">
      <c r="A26">
        <v>10001308</v>
      </c>
      <c r="B26" t="s">
        <v>113</v>
      </c>
      <c r="C26" s="24">
        <v>25714285.710000001</v>
      </c>
      <c r="G26" s="24">
        <f t="shared" si="1"/>
        <v>25714285.710000001</v>
      </c>
    </row>
    <row r="27" spans="1:9" x14ac:dyDescent="0.35">
      <c r="A27">
        <v>10001311</v>
      </c>
      <c r="B27" t="s">
        <v>163</v>
      </c>
      <c r="C27" s="24">
        <v>3660714.29</v>
      </c>
      <c r="D27" s="24">
        <v>3161591.1</v>
      </c>
      <c r="E27" s="24">
        <v>499123.19</v>
      </c>
      <c r="F27" s="24">
        <v>3660714.29</v>
      </c>
      <c r="G27" s="24">
        <f t="shared" si="1"/>
        <v>0</v>
      </c>
      <c r="I27" s="24"/>
    </row>
    <row r="28" spans="1:9" x14ac:dyDescent="0.35">
      <c r="A28">
        <v>10001312</v>
      </c>
      <c r="B28" t="s">
        <v>636</v>
      </c>
      <c r="C28" s="24">
        <v>12232.14</v>
      </c>
      <c r="E28" s="24">
        <v>12232.14</v>
      </c>
      <c r="F28" s="24">
        <v>12232.14</v>
      </c>
      <c r="G28" s="24">
        <f t="shared" si="1"/>
        <v>0</v>
      </c>
    </row>
    <row r="29" spans="1:9" x14ac:dyDescent="0.35">
      <c r="A29">
        <v>10001314</v>
      </c>
      <c r="B29" t="s">
        <v>167</v>
      </c>
      <c r="C29" s="24">
        <v>10217697.66</v>
      </c>
      <c r="D29" s="24">
        <v>8096919.0999999996</v>
      </c>
      <c r="E29" s="24">
        <v>1429857.15</v>
      </c>
      <c r="F29" s="24">
        <v>9526776.25</v>
      </c>
      <c r="G29" s="24">
        <f t="shared" si="1"/>
        <v>690921.41000000015</v>
      </c>
      <c r="I29" s="24"/>
    </row>
    <row r="30" spans="1:9" x14ac:dyDescent="0.35">
      <c r="A30">
        <v>10001315</v>
      </c>
      <c r="B30" t="s">
        <v>637</v>
      </c>
      <c r="C30" s="24">
        <v>26321.43</v>
      </c>
      <c r="D30" s="24">
        <v>133464.29</v>
      </c>
      <c r="F30" s="24">
        <v>133464.29</v>
      </c>
      <c r="G30" s="24">
        <f t="shared" si="1"/>
        <v>-107142.86000000002</v>
      </c>
    </row>
    <row r="31" spans="1:9" x14ac:dyDescent="0.35">
      <c r="A31">
        <v>10001320</v>
      </c>
      <c r="B31" t="s">
        <v>121</v>
      </c>
      <c r="C31" s="24">
        <v>875000</v>
      </c>
      <c r="E31" s="24">
        <v>875000</v>
      </c>
      <c r="F31" s="24">
        <v>875000</v>
      </c>
      <c r="G31" s="24">
        <f t="shared" si="1"/>
        <v>0</v>
      </c>
    </row>
    <row r="32" spans="1:9" x14ac:dyDescent="0.35">
      <c r="A32">
        <v>10001322</v>
      </c>
      <c r="B32" t="s">
        <v>915</v>
      </c>
      <c r="C32" s="24">
        <v>15000000</v>
      </c>
      <c r="D32" s="24">
        <v>6300000</v>
      </c>
      <c r="E32" s="24">
        <v>8700000</v>
      </c>
      <c r="F32" s="24">
        <v>15000000</v>
      </c>
      <c r="G32" s="24">
        <f t="shared" si="1"/>
        <v>0</v>
      </c>
      <c r="I32" s="24"/>
    </row>
    <row r="33" spans="1:9" x14ac:dyDescent="0.35">
      <c r="A33">
        <v>10001340</v>
      </c>
      <c r="B33" t="s">
        <v>174</v>
      </c>
      <c r="C33" s="24">
        <v>285714.28999999998</v>
      </c>
      <c r="D33" s="24">
        <v>285714.28999999998</v>
      </c>
      <c r="F33" s="24">
        <v>285714.28999999998</v>
      </c>
      <c r="G33" s="24">
        <f t="shared" si="1"/>
        <v>0</v>
      </c>
    </row>
    <row r="34" spans="1:9" x14ac:dyDescent="0.35">
      <c r="A34">
        <v>10001341</v>
      </c>
      <c r="B34" t="s">
        <v>114</v>
      </c>
      <c r="C34" s="24">
        <v>50718877.850000001</v>
      </c>
      <c r="D34" s="24">
        <v>24715944.25</v>
      </c>
      <c r="E34" s="24">
        <v>20320127.41</v>
      </c>
      <c r="F34" s="24">
        <v>45036071.659999996</v>
      </c>
      <c r="G34" s="24">
        <f t="shared" si="1"/>
        <v>5682806.1900000051</v>
      </c>
      <c r="I34" s="24"/>
    </row>
    <row r="35" spans="1:9" x14ac:dyDescent="0.35">
      <c r="A35">
        <v>10001342</v>
      </c>
      <c r="B35" t="s">
        <v>638</v>
      </c>
      <c r="C35" s="24">
        <v>341960.05</v>
      </c>
      <c r="D35" s="24">
        <v>208214.29</v>
      </c>
      <c r="E35" s="24">
        <v>133745.76</v>
      </c>
      <c r="F35" s="24">
        <v>341960.05</v>
      </c>
      <c r="G35" s="24">
        <f t="shared" si="1"/>
        <v>0</v>
      </c>
    </row>
    <row r="36" spans="1:9" x14ac:dyDescent="0.35">
      <c r="A36">
        <v>10001348</v>
      </c>
      <c r="B36" t="s">
        <v>639</v>
      </c>
      <c r="C36" s="24">
        <v>486257.14</v>
      </c>
      <c r="E36" s="24">
        <v>486257.14</v>
      </c>
      <c r="F36" s="24">
        <v>486257.14</v>
      </c>
      <c r="G36" s="24">
        <f t="shared" si="1"/>
        <v>0</v>
      </c>
    </row>
    <row r="37" spans="1:9" x14ac:dyDescent="0.35">
      <c r="A37">
        <v>10001350</v>
      </c>
      <c r="B37" t="s">
        <v>115</v>
      </c>
      <c r="C37" s="24">
        <v>20168928.579999998</v>
      </c>
      <c r="D37" s="24">
        <v>11986160.699999999</v>
      </c>
      <c r="E37" s="24">
        <v>3966040.38</v>
      </c>
      <c r="F37" s="24">
        <v>15952201.08</v>
      </c>
      <c r="G37" s="24">
        <f t="shared" si="1"/>
        <v>4216727.4999999981</v>
      </c>
      <c r="I37" s="24"/>
    </row>
    <row r="38" spans="1:9" x14ac:dyDescent="0.35">
      <c r="A38">
        <v>10001360</v>
      </c>
      <c r="B38" t="s">
        <v>177</v>
      </c>
      <c r="C38" s="24">
        <v>2437500</v>
      </c>
      <c r="D38" s="24">
        <v>2437500</v>
      </c>
      <c r="F38" s="24">
        <v>2437500</v>
      </c>
      <c r="G38" s="24">
        <f t="shared" si="1"/>
        <v>0</v>
      </c>
    </row>
    <row r="39" spans="1:9" x14ac:dyDescent="0.35">
      <c r="A39">
        <v>10001361</v>
      </c>
      <c r="B39" t="s">
        <v>180</v>
      </c>
      <c r="C39" s="24">
        <v>2901785.71</v>
      </c>
      <c r="D39" s="24">
        <v>2901785.71</v>
      </c>
      <c r="F39" s="24">
        <v>2901785.71</v>
      </c>
      <c r="G39" s="24">
        <f t="shared" si="1"/>
        <v>0</v>
      </c>
    </row>
    <row r="40" spans="1:9" x14ac:dyDescent="0.35">
      <c r="A40">
        <v>10001362</v>
      </c>
      <c r="B40" t="s">
        <v>122</v>
      </c>
      <c r="C40" s="24">
        <v>366071.43</v>
      </c>
      <c r="D40" s="24">
        <v>366071.43</v>
      </c>
      <c r="F40" s="24">
        <v>366071.43</v>
      </c>
      <c r="G40" s="24">
        <f t="shared" si="1"/>
        <v>0</v>
      </c>
    </row>
    <row r="41" spans="1:9" x14ac:dyDescent="0.35">
      <c r="A41">
        <v>10001363</v>
      </c>
      <c r="B41" t="s">
        <v>183</v>
      </c>
      <c r="C41" s="24">
        <v>714285.71</v>
      </c>
      <c r="D41" s="24">
        <v>714285.71</v>
      </c>
      <c r="F41" s="24">
        <v>714285.71</v>
      </c>
      <c r="G41" s="24">
        <f t="shared" si="1"/>
        <v>0</v>
      </c>
    </row>
    <row r="42" spans="1:9" x14ac:dyDescent="0.35">
      <c r="A42">
        <v>10001364</v>
      </c>
      <c r="B42" t="s">
        <v>186</v>
      </c>
      <c r="C42" s="24">
        <v>3493750</v>
      </c>
      <c r="D42" s="24">
        <v>3082801.35</v>
      </c>
      <c r="E42" s="24">
        <v>342533.48</v>
      </c>
      <c r="F42" s="24">
        <v>3425334.83</v>
      </c>
      <c r="G42" s="24">
        <f t="shared" si="1"/>
        <v>68415.169999999925</v>
      </c>
      <c r="I42" s="24"/>
    </row>
    <row r="43" spans="1:9" x14ac:dyDescent="0.35">
      <c r="A43">
        <v>10001365</v>
      </c>
      <c r="B43" t="s">
        <v>191</v>
      </c>
      <c r="C43" s="24">
        <v>2673660.71</v>
      </c>
      <c r="D43" s="24">
        <v>2344720.98</v>
      </c>
      <c r="E43" s="24">
        <v>260524.55</v>
      </c>
      <c r="F43" s="24">
        <v>2605245.5299999998</v>
      </c>
      <c r="G43" s="24">
        <f t="shared" si="1"/>
        <v>68415.180000000168</v>
      </c>
      <c r="I43" s="24"/>
    </row>
    <row r="44" spans="1:9" x14ac:dyDescent="0.35">
      <c r="A44">
        <v>10001366</v>
      </c>
      <c r="B44" t="s">
        <v>193</v>
      </c>
      <c r="C44" s="24">
        <v>2048660.71</v>
      </c>
      <c r="D44" s="24">
        <v>1781819.19</v>
      </c>
      <c r="E44" s="24">
        <v>197979.91</v>
      </c>
      <c r="F44" s="24">
        <v>1979799.1</v>
      </c>
      <c r="G44" s="24">
        <f t="shared" si="1"/>
        <v>68861.60999999987</v>
      </c>
      <c r="I44" s="24"/>
    </row>
    <row r="45" spans="1:9" x14ac:dyDescent="0.35">
      <c r="A45">
        <v>10001372</v>
      </c>
      <c r="B45" t="s">
        <v>123</v>
      </c>
      <c r="C45" s="24">
        <v>321428.57</v>
      </c>
      <c r="E45" s="24">
        <v>321428.57</v>
      </c>
      <c r="F45" s="24">
        <v>321428.57</v>
      </c>
      <c r="G45" s="24">
        <f t="shared" si="1"/>
        <v>0</v>
      </c>
    </row>
    <row r="46" spans="1:9" x14ac:dyDescent="0.35">
      <c r="A46">
        <v>10001374</v>
      </c>
      <c r="B46" t="s">
        <v>640</v>
      </c>
      <c r="C46" s="24">
        <v>1316964.29</v>
      </c>
      <c r="D46" s="24">
        <v>1316964.28</v>
      </c>
      <c r="F46" s="24">
        <v>1316964.28</v>
      </c>
      <c r="G46" s="24">
        <f t="shared" si="1"/>
        <v>1.0000000009313226E-2</v>
      </c>
    </row>
    <row r="47" spans="1:9" x14ac:dyDescent="0.35">
      <c r="A47">
        <v>10001378</v>
      </c>
      <c r="B47" t="s">
        <v>124</v>
      </c>
      <c r="C47" s="24">
        <v>1178571.43</v>
      </c>
      <c r="D47" s="24">
        <v>346071.43</v>
      </c>
      <c r="E47" s="24">
        <v>832500</v>
      </c>
      <c r="F47" s="24">
        <v>1178571.43</v>
      </c>
      <c r="G47" s="24">
        <f t="shared" si="1"/>
        <v>0</v>
      </c>
      <c r="I47" s="24"/>
    </row>
    <row r="48" spans="1:9" x14ac:dyDescent="0.35">
      <c r="A48">
        <v>10001381</v>
      </c>
      <c r="B48" t="s">
        <v>195</v>
      </c>
      <c r="C48" s="24">
        <v>968800</v>
      </c>
      <c r="D48" s="24">
        <v>625000</v>
      </c>
      <c r="F48" s="24">
        <v>625000</v>
      </c>
      <c r="G48" s="24">
        <f t="shared" si="1"/>
        <v>343800</v>
      </c>
    </row>
    <row r="49" spans="1:9" x14ac:dyDescent="0.35">
      <c r="A49">
        <v>10001385</v>
      </c>
      <c r="B49" t="s">
        <v>11</v>
      </c>
      <c r="C49" s="24">
        <v>5500000</v>
      </c>
      <c r="D49" s="24">
        <v>2053571.43</v>
      </c>
      <c r="E49" s="24">
        <v>3237276.78</v>
      </c>
      <c r="F49" s="24">
        <v>5290848.21</v>
      </c>
      <c r="G49" s="24">
        <f t="shared" si="1"/>
        <v>209151.79000000004</v>
      </c>
    </row>
    <row r="50" spans="1:9" x14ac:dyDescent="0.35">
      <c r="A50">
        <v>10001386</v>
      </c>
      <c r="B50" t="s">
        <v>916</v>
      </c>
      <c r="C50" s="24">
        <v>2000000</v>
      </c>
      <c r="D50" s="24">
        <v>300000</v>
      </c>
      <c r="E50" s="24">
        <v>104738</v>
      </c>
      <c r="F50" s="24">
        <v>404738</v>
      </c>
      <c r="G50" s="24">
        <f t="shared" si="1"/>
        <v>1595262</v>
      </c>
    </row>
    <row r="51" spans="1:9" x14ac:dyDescent="0.35">
      <c r="A51">
        <v>10001387</v>
      </c>
      <c r="B51" t="s">
        <v>26</v>
      </c>
      <c r="C51" s="24">
        <v>3355000</v>
      </c>
      <c r="D51" s="24">
        <v>49316.69</v>
      </c>
      <c r="E51" s="24">
        <v>469548.71</v>
      </c>
      <c r="F51" s="24">
        <v>518865.4</v>
      </c>
      <c r="G51" s="24">
        <f t="shared" si="1"/>
        <v>2836134.6</v>
      </c>
      <c r="I51" s="24"/>
    </row>
    <row r="52" spans="1:9" x14ac:dyDescent="0.35">
      <c r="A52">
        <v>10001388</v>
      </c>
      <c r="B52" t="s">
        <v>917</v>
      </c>
      <c r="C52" s="24">
        <v>5000000</v>
      </c>
      <c r="D52" s="24">
        <v>843125.13</v>
      </c>
      <c r="E52" s="24">
        <v>3688102.18</v>
      </c>
      <c r="F52" s="24">
        <v>4531227.3099999996</v>
      </c>
      <c r="G52" s="24">
        <f t="shared" si="1"/>
        <v>468772.69000000041</v>
      </c>
      <c r="I52" s="24"/>
    </row>
    <row r="53" spans="1:9" x14ac:dyDescent="0.35">
      <c r="A53">
        <v>10001389</v>
      </c>
      <c r="B53" t="s">
        <v>36</v>
      </c>
      <c r="C53" s="24">
        <v>3000000</v>
      </c>
      <c r="D53" s="24">
        <v>700173.93</v>
      </c>
      <c r="E53" s="24">
        <v>1484187.5</v>
      </c>
      <c r="F53" s="24">
        <v>2184361.4300000002</v>
      </c>
      <c r="G53" s="24">
        <f t="shared" si="1"/>
        <v>815638.56999999983</v>
      </c>
      <c r="I53" s="24"/>
    </row>
    <row r="54" spans="1:9" x14ac:dyDescent="0.35">
      <c r="A54">
        <v>10001390</v>
      </c>
      <c r="B54" t="s">
        <v>39</v>
      </c>
      <c r="C54" s="24">
        <v>3000000</v>
      </c>
      <c r="D54" s="24">
        <v>1076321.43</v>
      </c>
      <c r="E54" s="24">
        <v>614678.56999999995</v>
      </c>
      <c r="F54" s="24">
        <v>1691000</v>
      </c>
      <c r="G54" s="24">
        <f t="shared" si="1"/>
        <v>1309000</v>
      </c>
      <c r="I54" s="24"/>
    </row>
    <row r="55" spans="1:9" x14ac:dyDescent="0.35">
      <c r="A55">
        <v>10001391</v>
      </c>
      <c r="B55" t="s">
        <v>918</v>
      </c>
      <c r="C55" s="24">
        <v>1000000</v>
      </c>
      <c r="D55" s="24">
        <v>283779.71999999997</v>
      </c>
      <c r="F55" s="24">
        <v>283779.71999999997</v>
      </c>
      <c r="G55" s="24">
        <f t="shared" si="1"/>
        <v>716220.28</v>
      </c>
    </row>
    <row r="56" spans="1:9" x14ac:dyDescent="0.35">
      <c r="A56">
        <v>10001392</v>
      </c>
      <c r="B56" t="s">
        <v>919</v>
      </c>
      <c r="G56" s="24">
        <f t="shared" si="1"/>
        <v>0</v>
      </c>
    </row>
    <row r="57" spans="1:9" x14ac:dyDescent="0.35">
      <c r="A57">
        <v>10001393</v>
      </c>
      <c r="B57" t="s">
        <v>920</v>
      </c>
      <c r="C57" s="24">
        <v>1500000</v>
      </c>
      <c r="D57" s="24">
        <v>1373767.39</v>
      </c>
      <c r="E57" s="24">
        <v>71428.570000000007</v>
      </c>
      <c r="F57" s="24">
        <v>1445195.96</v>
      </c>
      <c r="G57" s="24">
        <f t="shared" si="1"/>
        <v>54804.040000000037</v>
      </c>
      <c r="I57" s="24"/>
    </row>
    <row r="58" spans="1:9" x14ac:dyDescent="0.35">
      <c r="A58">
        <v>10001394</v>
      </c>
      <c r="B58" t="s">
        <v>921</v>
      </c>
      <c r="C58" s="24">
        <v>4000000</v>
      </c>
      <c r="D58" s="24">
        <v>1098009.3400000001</v>
      </c>
      <c r="E58" s="24">
        <v>2270763.5</v>
      </c>
      <c r="F58" s="24">
        <v>3368772.84</v>
      </c>
      <c r="G58" s="24">
        <f t="shared" si="1"/>
        <v>631227.16000000015</v>
      </c>
      <c r="I58" s="24"/>
    </row>
    <row r="59" spans="1:9" x14ac:dyDescent="0.35">
      <c r="A59">
        <v>10001395</v>
      </c>
      <c r="B59" t="s">
        <v>922</v>
      </c>
      <c r="C59" s="24">
        <v>6212500</v>
      </c>
      <c r="D59" s="24">
        <v>4193750</v>
      </c>
      <c r="E59" s="24">
        <v>858035.72</v>
      </c>
      <c r="F59" s="24">
        <v>5051785.72</v>
      </c>
      <c r="G59" s="24">
        <f t="shared" si="1"/>
        <v>1160714.2800000003</v>
      </c>
      <c r="I59" s="24"/>
    </row>
    <row r="60" spans="1:9" x14ac:dyDescent="0.35">
      <c r="A60">
        <v>10001396</v>
      </c>
      <c r="B60" t="s">
        <v>89</v>
      </c>
      <c r="C60" s="24">
        <v>409178.55</v>
      </c>
      <c r="E60" s="24">
        <v>401785.71</v>
      </c>
      <c r="F60" s="24">
        <v>401785.71</v>
      </c>
      <c r="G60" s="24">
        <f t="shared" si="1"/>
        <v>7392.8399999999674</v>
      </c>
    </row>
    <row r="61" spans="1:9" x14ac:dyDescent="0.35">
      <c r="A61">
        <v>10001397</v>
      </c>
      <c r="B61" t="s">
        <v>94</v>
      </c>
      <c r="C61" s="24">
        <v>350000</v>
      </c>
      <c r="D61" s="24">
        <v>133928.57</v>
      </c>
      <c r="F61" s="24">
        <v>133928.57</v>
      </c>
      <c r="G61" s="24">
        <f t="shared" si="1"/>
        <v>216071.43</v>
      </c>
    </row>
    <row r="62" spans="1:9" x14ac:dyDescent="0.35">
      <c r="A62">
        <v>10001398</v>
      </c>
      <c r="B62" t="s">
        <v>642</v>
      </c>
      <c r="C62" s="24">
        <v>211000</v>
      </c>
      <c r="D62" s="24">
        <v>168000</v>
      </c>
      <c r="F62" s="24">
        <v>168000</v>
      </c>
      <c r="G62" s="24">
        <f t="shared" si="1"/>
        <v>43000</v>
      </c>
    </row>
    <row r="63" spans="1:9" x14ac:dyDescent="0.35">
      <c r="A63">
        <v>10001399</v>
      </c>
      <c r="B63" t="s">
        <v>923</v>
      </c>
      <c r="C63" s="24">
        <v>3000000</v>
      </c>
      <c r="E63" s="24">
        <v>2455357.14</v>
      </c>
      <c r="F63" s="24">
        <v>2455357.14</v>
      </c>
      <c r="G63" s="24">
        <f t="shared" si="1"/>
        <v>544642.85999999987</v>
      </c>
    </row>
    <row r="64" spans="1:9" x14ac:dyDescent="0.35">
      <c r="A64">
        <v>10001400</v>
      </c>
      <c r="B64" t="s">
        <v>924</v>
      </c>
      <c r="C64" s="24">
        <v>350000</v>
      </c>
      <c r="D64" s="24">
        <v>294642.86</v>
      </c>
      <c r="F64" s="24">
        <v>294642.86</v>
      </c>
      <c r="G64" s="24">
        <f t="shared" si="1"/>
        <v>55357.140000000014</v>
      </c>
    </row>
    <row r="65" spans="1:9" x14ac:dyDescent="0.35">
      <c r="A65">
        <v>10001401</v>
      </c>
      <c r="B65" t="s">
        <v>647</v>
      </c>
      <c r="C65" s="24">
        <v>1500000</v>
      </c>
      <c r="D65" s="24">
        <v>406250</v>
      </c>
      <c r="E65" s="24">
        <v>593750</v>
      </c>
      <c r="F65" s="24">
        <v>1000000</v>
      </c>
      <c r="G65" s="24">
        <f t="shared" si="1"/>
        <v>500000</v>
      </c>
    </row>
    <row r="66" spans="1:9" x14ac:dyDescent="0.35">
      <c r="A66">
        <v>10001402</v>
      </c>
      <c r="B66" t="s">
        <v>925</v>
      </c>
      <c r="C66" s="24">
        <v>750000</v>
      </c>
      <c r="G66" s="24">
        <f t="shared" si="1"/>
        <v>750000</v>
      </c>
    </row>
    <row r="67" spans="1:9" x14ac:dyDescent="0.35">
      <c r="A67">
        <v>10001403</v>
      </c>
      <c r="B67" t="s">
        <v>926</v>
      </c>
      <c r="C67" s="24">
        <v>663234.54</v>
      </c>
      <c r="G67" s="24">
        <f t="shared" si="1"/>
        <v>663234.54</v>
      </c>
    </row>
    <row r="68" spans="1:9" x14ac:dyDescent="0.35">
      <c r="A68">
        <v>10001404</v>
      </c>
      <c r="B68" t="s">
        <v>660</v>
      </c>
      <c r="C68" s="24">
        <v>4191964.29</v>
      </c>
      <c r="D68" s="24">
        <v>3638872.77</v>
      </c>
      <c r="E68" s="24">
        <v>404319.2</v>
      </c>
      <c r="F68" s="24">
        <v>4043191.97</v>
      </c>
      <c r="G68" s="24">
        <f t="shared" ref="G68:G131" si="2">C68-F68</f>
        <v>148772.31999999983</v>
      </c>
      <c r="I68" s="24"/>
    </row>
    <row r="69" spans="1:9" x14ac:dyDescent="0.35">
      <c r="A69">
        <v>10001405</v>
      </c>
      <c r="B69" t="s">
        <v>664</v>
      </c>
      <c r="G69" s="24">
        <f t="shared" si="2"/>
        <v>0</v>
      </c>
    </row>
    <row r="70" spans="1:9" x14ac:dyDescent="0.35">
      <c r="A70">
        <v>10001406</v>
      </c>
      <c r="B70" t="s">
        <v>234</v>
      </c>
      <c r="C70" s="24">
        <v>2000000</v>
      </c>
      <c r="E70" s="24">
        <v>1294642.8600000001</v>
      </c>
      <c r="F70" s="24">
        <v>1294642.8600000001</v>
      </c>
      <c r="G70" s="24">
        <f t="shared" si="2"/>
        <v>705357.1399999999</v>
      </c>
    </row>
    <row r="71" spans="1:9" x14ac:dyDescent="0.35">
      <c r="A71">
        <v>10001407</v>
      </c>
      <c r="B71" t="s">
        <v>240</v>
      </c>
      <c r="C71" s="24">
        <v>250000</v>
      </c>
      <c r="D71" s="24">
        <v>225892.86</v>
      </c>
      <c r="F71" s="24">
        <v>225892.86</v>
      </c>
      <c r="G71" s="24">
        <f t="shared" si="2"/>
        <v>24107.140000000014</v>
      </c>
    </row>
    <row r="72" spans="1:9" x14ac:dyDescent="0.35">
      <c r="A72">
        <v>10001409</v>
      </c>
      <c r="B72" t="s">
        <v>927</v>
      </c>
      <c r="C72" s="24">
        <v>1000000</v>
      </c>
      <c r="G72" s="24">
        <f t="shared" si="2"/>
        <v>1000000</v>
      </c>
    </row>
    <row r="73" spans="1:9" x14ac:dyDescent="0.35">
      <c r="A73">
        <v>10001410</v>
      </c>
      <c r="B73" t="s">
        <v>928</v>
      </c>
      <c r="G73" s="24">
        <f t="shared" si="2"/>
        <v>0</v>
      </c>
    </row>
    <row r="74" spans="1:9" x14ac:dyDescent="0.35">
      <c r="A74">
        <v>10001411</v>
      </c>
      <c r="B74" t="s">
        <v>929</v>
      </c>
      <c r="C74" s="24">
        <v>1000000</v>
      </c>
      <c r="E74" s="24">
        <v>1000000</v>
      </c>
      <c r="F74" s="24">
        <v>1000000</v>
      </c>
      <c r="G74" s="24">
        <f t="shared" si="2"/>
        <v>0</v>
      </c>
    </row>
    <row r="75" spans="1:9" x14ac:dyDescent="0.35">
      <c r="A75">
        <v>10001412</v>
      </c>
      <c r="B75" t="s">
        <v>930</v>
      </c>
      <c r="G75" s="24">
        <f t="shared" si="2"/>
        <v>0</v>
      </c>
    </row>
    <row r="76" spans="1:9" x14ac:dyDescent="0.35">
      <c r="A76">
        <v>10001413</v>
      </c>
      <c r="B76" t="s">
        <v>931</v>
      </c>
      <c r="C76" s="24">
        <v>3179000</v>
      </c>
      <c r="E76" s="24">
        <v>2576530.61</v>
      </c>
      <c r="F76" s="24">
        <v>2576530.61</v>
      </c>
      <c r="G76" s="24">
        <f t="shared" si="2"/>
        <v>602469.39000000013</v>
      </c>
    </row>
    <row r="77" spans="1:9" x14ac:dyDescent="0.35">
      <c r="A77">
        <v>10001414</v>
      </c>
      <c r="B77" t="s">
        <v>932</v>
      </c>
      <c r="C77" s="24">
        <v>2355000</v>
      </c>
      <c r="E77" s="24">
        <v>1929261.49</v>
      </c>
      <c r="F77" s="24">
        <v>1929261.49</v>
      </c>
      <c r="G77" s="24">
        <f t="shared" si="2"/>
        <v>425738.51</v>
      </c>
    </row>
    <row r="78" spans="1:9" x14ac:dyDescent="0.35">
      <c r="A78">
        <v>10001415</v>
      </c>
      <c r="B78" t="s">
        <v>933</v>
      </c>
      <c r="C78" s="24">
        <v>2000000</v>
      </c>
      <c r="G78" s="24">
        <f t="shared" si="2"/>
        <v>2000000</v>
      </c>
    </row>
    <row r="79" spans="1:9" x14ac:dyDescent="0.35">
      <c r="A79">
        <v>10001416</v>
      </c>
      <c r="B79" t="s">
        <v>934</v>
      </c>
      <c r="C79" s="24">
        <v>800000</v>
      </c>
      <c r="D79" s="24">
        <v>43750</v>
      </c>
      <c r="F79" s="24">
        <v>43750</v>
      </c>
      <c r="G79" s="24">
        <f t="shared" si="2"/>
        <v>756250</v>
      </c>
    </row>
    <row r="80" spans="1:9" x14ac:dyDescent="0.35">
      <c r="A80">
        <v>10001417</v>
      </c>
      <c r="B80" t="s">
        <v>935</v>
      </c>
      <c r="C80" s="24">
        <v>800000</v>
      </c>
      <c r="D80" s="24">
        <v>126000</v>
      </c>
      <c r="F80" s="24">
        <v>126000</v>
      </c>
      <c r="G80" s="24">
        <f t="shared" si="2"/>
        <v>674000</v>
      </c>
    </row>
    <row r="81" spans="1:7" x14ac:dyDescent="0.35">
      <c r="A81">
        <v>10001418</v>
      </c>
      <c r="B81" t="s">
        <v>936</v>
      </c>
      <c r="C81" s="24">
        <v>3000000</v>
      </c>
      <c r="E81" s="24">
        <v>2589285.71</v>
      </c>
      <c r="F81" s="24">
        <v>2589285.71</v>
      </c>
      <c r="G81" s="24">
        <f t="shared" si="2"/>
        <v>410714.29000000004</v>
      </c>
    </row>
    <row r="82" spans="1:7" x14ac:dyDescent="0.35">
      <c r="A82">
        <v>10001419</v>
      </c>
      <c r="B82" t="s">
        <v>937</v>
      </c>
      <c r="C82" s="24">
        <v>5999500</v>
      </c>
      <c r="D82" s="24">
        <v>1318750</v>
      </c>
      <c r="E82" s="24">
        <v>2725892.85</v>
      </c>
      <c r="F82" s="24">
        <v>4044642.85</v>
      </c>
      <c r="G82" s="24">
        <f t="shared" si="2"/>
        <v>1954857.15</v>
      </c>
    </row>
    <row r="83" spans="1:7" x14ac:dyDescent="0.35">
      <c r="A83">
        <v>10001420</v>
      </c>
      <c r="B83" t="s">
        <v>938</v>
      </c>
      <c r="C83" s="24">
        <v>600000</v>
      </c>
      <c r="D83" s="24">
        <v>282142.86</v>
      </c>
      <c r="E83" s="24">
        <v>240741.96</v>
      </c>
      <c r="F83" s="24">
        <v>522884.82</v>
      </c>
      <c r="G83" s="24">
        <f t="shared" si="2"/>
        <v>77115.179999999993</v>
      </c>
    </row>
    <row r="84" spans="1:7" x14ac:dyDescent="0.35">
      <c r="A84">
        <v>10001421</v>
      </c>
      <c r="B84" t="s">
        <v>939</v>
      </c>
      <c r="C84" s="24">
        <v>600000</v>
      </c>
      <c r="E84" s="24">
        <v>224000</v>
      </c>
      <c r="F84" s="24">
        <v>224000</v>
      </c>
      <c r="G84" s="24">
        <f t="shared" si="2"/>
        <v>376000</v>
      </c>
    </row>
    <row r="85" spans="1:7" x14ac:dyDescent="0.35">
      <c r="A85">
        <v>10001422</v>
      </c>
      <c r="B85" t="s">
        <v>940</v>
      </c>
      <c r="C85" s="24">
        <v>700000</v>
      </c>
      <c r="D85" s="24">
        <v>459821.43</v>
      </c>
      <c r="F85" s="24">
        <v>459821.43</v>
      </c>
      <c r="G85" s="24">
        <f t="shared" si="2"/>
        <v>240178.57</v>
      </c>
    </row>
    <row r="86" spans="1:7" x14ac:dyDescent="0.35">
      <c r="A86">
        <v>10001423</v>
      </c>
      <c r="B86" t="s">
        <v>941</v>
      </c>
      <c r="C86" s="24">
        <v>295600</v>
      </c>
      <c r="D86" s="24">
        <v>96875</v>
      </c>
      <c r="F86" s="24">
        <v>96875</v>
      </c>
      <c r="G86" s="24">
        <f t="shared" si="2"/>
        <v>198725</v>
      </c>
    </row>
    <row r="87" spans="1:7" x14ac:dyDescent="0.35">
      <c r="A87">
        <v>10001424</v>
      </c>
      <c r="B87" t="s">
        <v>942</v>
      </c>
      <c r="G87" s="24">
        <f t="shared" si="2"/>
        <v>0</v>
      </c>
    </row>
    <row r="88" spans="1:7" x14ac:dyDescent="0.35">
      <c r="A88">
        <v>10001425</v>
      </c>
      <c r="B88" t="s">
        <v>943</v>
      </c>
      <c r="C88" s="24">
        <v>147800</v>
      </c>
      <c r="D88" s="24">
        <v>37053.57</v>
      </c>
      <c r="F88" s="24">
        <v>37053.57</v>
      </c>
      <c r="G88" s="24">
        <f t="shared" si="2"/>
        <v>110746.43</v>
      </c>
    </row>
    <row r="89" spans="1:7" x14ac:dyDescent="0.35">
      <c r="A89">
        <v>10001426</v>
      </c>
      <c r="B89" t="s">
        <v>944</v>
      </c>
      <c r="C89" s="24">
        <v>435000</v>
      </c>
      <c r="D89" s="24">
        <v>348214.29</v>
      </c>
      <c r="F89" s="24">
        <v>348214.29</v>
      </c>
      <c r="G89" s="24">
        <f t="shared" si="2"/>
        <v>86785.710000000021</v>
      </c>
    </row>
    <row r="90" spans="1:7" x14ac:dyDescent="0.35">
      <c r="A90">
        <v>10001427</v>
      </c>
      <c r="B90" t="s">
        <v>945</v>
      </c>
      <c r="G90" s="24">
        <f t="shared" si="2"/>
        <v>0</v>
      </c>
    </row>
    <row r="91" spans="1:7" x14ac:dyDescent="0.35">
      <c r="A91">
        <v>10001428</v>
      </c>
      <c r="B91" t="s">
        <v>946</v>
      </c>
      <c r="C91" s="24">
        <v>678200</v>
      </c>
      <c r="D91" s="24">
        <v>437500</v>
      </c>
      <c r="F91" s="24">
        <v>437500</v>
      </c>
      <c r="G91" s="24">
        <f t="shared" si="2"/>
        <v>240700</v>
      </c>
    </row>
    <row r="92" spans="1:7" x14ac:dyDescent="0.35">
      <c r="A92">
        <v>10001429</v>
      </c>
      <c r="B92" t="s">
        <v>947</v>
      </c>
      <c r="C92" s="24">
        <v>6000000</v>
      </c>
      <c r="G92" s="24">
        <f t="shared" si="2"/>
        <v>6000000</v>
      </c>
    </row>
    <row r="93" spans="1:7" x14ac:dyDescent="0.35">
      <c r="A93">
        <v>10001430</v>
      </c>
      <c r="B93" t="s">
        <v>948</v>
      </c>
      <c r="C93" s="24">
        <v>2100000</v>
      </c>
      <c r="G93" s="24">
        <f t="shared" si="2"/>
        <v>2100000</v>
      </c>
    </row>
    <row r="94" spans="1:7" x14ac:dyDescent="0.35">
      <c r="A94">
        <v>10001431</v>
      </c>
      <c r="B94" t="s">
        <v>949</v>
      </c>
      <c r="C94" s="24">
        <v>1900000</v>
      </c>
      <c r="G94" s="24">
        <f t="shared" si="2"/>
        <v>1900000</v>
      </c>
    </row>
    <row r="95" spans="1:7" x14ac:dyDescent="0.35">
      <c r="A95">
        <v>10001432</v>
      </c>
      <c r="B95" t="s">
        <v>950</v>
      </c>
      <c r="C95" s="24">
        <v>787500</v>
      </c>
      <c r="E95" s="24">
        <v>625000</v>
      </c>
      <c r="F95" s="24">
        <v>625000</v>
      </c>
      <c r="G95" s="24">
        <f t="shared" si="2"/>
        <v>162500</v>
      </c>
    </row>
    <row r="96" spans="1:7" x14ac:dyDescent="0.35">
      <c r="A96">
        <v>10001433</v>
      </c>
      <c r="B96" t="s">
        <v>951</v>
      </c>
      <c r="C96" s="24">
        <v>3500000</v>
      </c>
      <c r="E96" s="24">
        <v>3500000</v>
      </c>
      <c r="F96" s="24">
        <v>3500000</v>
      </c>
      <c r="G96" s="24">
        <f t="shared" si="2"/>
        <v>0</v>
      </c>
    </row>
    <row r="97" spans="1:9" x14ac:dyDescent="0.35">
      <c r="A97">
        <v>10001434</v>
      </c>
      <c r="B97" t="s">
        <v>2593</v>
      </c>
      <c r="C97" s="24">
        <v>6000000</v>
      </c>
      <c r="E97" s="24">
        <v>2077976.12</v>
      </c>
      <c r="F97" s="24">
        <v>2077976.12</v>
      </c>
      <c r="G97" s="24">
        <f t="shared" si="2"/>
        <v>3922023.88</v>
      </c>
    </row>
    <row r="98" spans="1:9" x14ac:dyDescent="0.35">
      <c r="A98">
        <v>10001435</v>
      </c>
      <c r="B98" t="s">
        <v>952</v>
      </c>
      <c r="C98" s="24">
        <v>3000000</v>
      </c>
      <c r="D98" s="24">
        <v>1281250.01</v>
      </c>
      <c r="E98" s="24">
        <v>802901.79</v>
      </c>
      <c r="F98" s="24">
        <v>2084151.8</v>
      </c>
      <c r="G98" s="24">
        <f t="shared" si="2"/>
        <v>915848.2</v>
      </c>
      <c r="I98" s="24"/>
    </row>
    <row r="99" spans="1:9" x14ac:dyDescent="0.35">
      <c r="A99">
        <v>10001440</v>
      </c>
      <c r="B99" t="s">
        <v>953</v>
      </c>
      <c r="C99" s="24">
        <v>1800000</v>
      </c>
      <c r="D99" s="24">
        <v>1517857.14</v>
      </c>
      <c r="F99" s="24">
        <v>1517857.14</v>
      </c>
      <c r="G99" s="24">
        <f t="shared" si="2"/>
        <v>282142.8600000001</v>
      </c>
    </row>
    <row r="100" spans="1:9" x14ac:dyDescent="0.35">
      <c r="A100">
        <v>10001441</v>
      </c>
      <c r="B100" t="s">
        <v>954</v>
      </c>
      <c r="C100" s="24">
        <v>1500000</v>
      </c>
      <c r="D100" s="24">
        <v>1401785.71</v>
      </c>
      <c r="F100" s="24">
        <v>1401785.71</v>
      </c>
      <c r="G100" s="24">
        <f t="shared" si="2"/>
        <v>98214.290000000037</v>
      </c>
    </row>
    <row r="101" spans="1:9" x14ac:dyDescent="0.35">
      <c r="A101">
        <v>10001442</v>
      </c>
      <c r="B101" t="s">
        <v>955</v>
      </c>
      <c r="G101" s="24">
        <f t="shared" si="2"/>
        <v>0</v>
      </c>
    </row>
    <row r="102" spans="1:9" x14ac:dyDescent="0.35">
      <c r="A102">
        <v>10001443</v>
      </c>
      <c r="B102" t="s">
        <v>783</v>
      </c>
      <c r="C102" s="24">
        <v>1209811.26</v>
      </c>
      <c r="D102" s="24">
        <v>982142.86</v>
      </c>
      <c r="F102" s="24">
        <v>982142.86</v>
      </c>
      <c r="G102" s="24">
        <f t="shared" si="2"/>
        <v>227668.40000000002</v>
      </c>
    </row>
    <row r="103" spans="1:9" x14ac:dyDescent="0.35">
      <c r="A103">
        <v>10001444</v>
      </c>
      <c r="B103" t="s">
        <v>956</v>
      </c>
      <c r="C103" s="24">
        <v>547415.46</v>
      </c>
      <c r="D103" s="24">
        <v>410714.29</v>
      </c>
      <c r="F103" s="24">
        <v>410714.29</v>
      </c>
      <c r="G103" s="24">
        <f t="shared" si="2"/>
        <v>136701.16999999998</v>
      </c>
    </row>
    <row r="104" spans="1:9" x14ac:dyDescent="0.35">
      <c r="A104">
        <v>10001445</v>
      </c>
      <c r="B104" t="s">
        <v>603</v>
      </c>
      <c r="C104" s="24">
        <v>2500000</v>
      </c>
      <c r="E104" s="24">
        <v>2500000</v>
      </c>
      <c r="F104" s="24">
        <v>2500000</v>
      </c>
      <c r="G104" s="24">
        <f t="shared" si="2"/>
        <v>0</v>
      </c>
    </row>
    <row r="105" spans="1:9" x14ac:dyDescent="0.35">
      <c r="A105">
        <v>10001446</v>
      </c>
      <c r="B105" t="s">
        <v>957</v>
      </c>
      <c r="C105" s="24">
        <v>8000000</v>
      </c>
      <c r="E105" s="24">
        <v>2500000</v>
      </c>
      <c r="F105" s="24">
        <v>2500000</v>
      </c>
      <c r="G105" s="24">
        <f t="shared" si="2"/>
        <v>5500000</v>
      </c>
    </row>
    <row r="106" spans="1:9" x14ac:dyDescent="0.35">
      <c r="A106">
        <v>10001447</v>
      </c>
      <c r="B106" t="s">
        <v>958</v>
      </c>
      <c r="C106" s="24">
        <v>2432750</v>
      </c>
      <c r="D106" s="24">
        <v>2232142.86</v>
      </c>
      <c r="F106" s="24">
        <v>2232142.86</v>
      </c>
      <c r="G106" s="24">
        <f t="shared" si="2"/>
        <v>200607.14000000013</v>
      </c>
    </row>
    <row r="107" spans="1:9" x14ac:dyDescent="0.35">
      <c r="A107">
        <v>10001448</v>
      </c>
      <c r="B107" t="s">
        <v>639</v>
      </c>
      <c r="C107" s="24">
        <v>3000000</v>
      </c>
      <c r="D107" s="24">
        <v>283039.28999999998</v>
      </c>
      <c r="E107" s="24">
        <v>1116438.99</v>
      </c>
      <c r="F107" s="24">
        <v>1399478.28</v>
      </c>
      <c r="G107" s="24">
        <f t="shared" si="2"/>
        <v>1600521.72</v>
      </c>
      <c r="I107" s="24"/>
    </row>
    <row r="108" spans="1:9" x14ac:dyDescent="0.35">
      <c r="A108">
        <v>10001449</v>
      </c>
      <c r="B108" t="s">
        <v>891</v>
      </c>
      <c r="C108" s="24">
        <v>3000000</v>
      </c>
      <c r="E108" s="24">
        <v>989954.46</v>
      </c>
      <c r="F108" s="24">
        <v>989954.46</v>
      </c>
      <c r="G108" s="24">
        <f t="shared" si="2"/>
        <v>2010045.54</v>
      </c>
    </row>
    <row r="109" spans="1:9" x14ac:dyDescent="0.35">
      <c r="A109">
        <v>10001450</v>
      </c>
      <c r="B109" t="s">
        <v>1834</v>
      </c>
      <c r="C109" s="24">
        <v>7000000</v>
      </c>
      <c r="D109" s="24">
        <v>144642.85999999999</v>
      </c>
      <c r="E109" s="24">
        <v>3587500</v>
      </c>
      <c r="F109" s="24">
        <v>3732142.86</v>
      </c>
      <c r="G109" s="24">
        <f t="shared" si="2"/>
        <v>3267857.14</v>
      </c>
    </row>
    <row r="110" spans="1:9" x14ac:dyDescent="0.35">
      <c r="A110">
        <v>10001451</v>
      </c>
      <c r="B110" t="s">
        <v>1841</v>
      </c>
      <c r="C110" s="24">
        <v>8928571.4299999997</v>
      </c>
      <c r="D110" s="24">
        <v>1422857.14</v>
      </c>
      <c r="E110" s="24">
        <v>3780714.28</v>
      </c>
      <c r="F110" s="24">
        <v>5203571.42</v>
      </c>
      <c r="G110" s="24">
        <f t="shared" si="2"/>
        <v>3725000.01</v>
      </c>
    </row>
    <row r="111" spans="1:9" x14ac:dyDescent="0.35">
      <c r="A111">
        <v>10001452</v>
      </c>
      <c r="B111" t="s">
        <v>1874</v>
      </c>
      <c r="C111" s="24">
        <v>8100000</v>
      </c>
      <c r="D111" s="24">
        <v>218750</v>
      </c>
      <c r="E111" s="24">
        <v>5257936.5</v>
      </c>
      <c r="F111" s="24">
        <v>5476686.5</v>
      </c>
      <c r="G111" s="24">
        <f t="shared" si="2"/>
        <v>2623313.5</v>
      </c>
    </row>
    <row r="112" spans="1:9" x14ac:dyDescent="0.35">
      <c r="A112">
        <v>10001453</v>
      </c>
      <c r="B112" t="s">
        <v>1875</v>
      </c>
      <c r="C112" s="24">
        <v>5000000</v>
      </c>
      <c r="D112" s="24">
        <v>2589285.71</v>
      </c>
      <c r="E112" s="24">
        <v>973214.28</v>
      </c>
      <c r="F112" s="24">
        <v>3562499.99</v>
      </c>
      <c r="G112" s="24">
        <f t="shared" si="2"/>
        <v>1437500.0099999998</v>
      </c>
    </row>
    <row r="113" spans="1:7" x14ac:dyDescent="0.35">
      <c r="A113">
        <v>10001454</v>
      </c>
      <c r="B113" t="s">
        <v>1851</v>
      </c>
      <c r="C113" s="24">
        <v>4966768.8899999997</v>
      </c>
      <c r="D113" s="24">
        <v>1301339.29</v>
      </c>
      <c r="E113" s="24">
        <v>3421403.79</v>
      </c>
      <c r="F113" s="24">
        <v>4722743.08</v>
      </c>
      <c r="G113" s="24">
        <f t="shared" si="2"/>
        <v>244025.80999999959</v>
      </c>
    </row>
    <row r="114" spans="1:7" x14ac:dyDescent="0.35">
      <c r="A114">
        <v>10001455</v>
      </c>
      <c r="B114" t="s">
        <v>1876</v>
      </c>
      <c r="C114" s="24">
        <v>7100000</v>
      </c>
      <c r="E114" s="24">
        <v>5580357.1399999997</v>
      </c>
      <c r="F114" s="24">
        <v>5580357.1399999997</v>
      </c>
      <c r="G114" s="24">
        <f t="shared" si="2"/>
        <v>1519642.8600000003</v>
      </c>
    </row>
    <row r="115" spans="1:7" x14ac:dyDescent="0.35">
      <c r="A115">
        <v>10001456</v>
      </c>
      <c r="B115" t="s">
        <v>1867</v>
      </c>
      <c r="C115" s="24">
        <v>1000000</v>
      </c>
      <c r="E115" s="24">
        <v>865850.24</v>
      </c>
      <c r="F115" s="24">
        <v>865850.24</v>
      </c>
      <c r="G115" s="24">
        <f t="shared" si="2"/>
        <v>134149.76000000001</v>
      </c>
    </row>
    <row r="116" spans="1:7" x14ac:dyDescent="0.35">
      <c r="A116">
        <v>10001457</v>
      </c>
      <c r="B116" t="s">
        <v>2077</v>
      </c>
      <c r="C116" s="24">
        <v>5000000</v>
      </c>
      <c r="D116" s="24">
        <v>1841249.99</v>
      </c>
      <c r="E116" s="24">
        <v>2587557.4900000002</v>
      </c>
      <c r="F116" s="24">
        <v>4428807.4800000004</v>
      </c>
      <c r="G116" s="24">
        <f t="shared" si="2"/>
        <v>571192.51999999955</v>
      </c>
    </row>
    <row r="117" spans="1:7" x14ac:dyDescent="0.35">
      <c r="A117">
        <v>10001458</v>
      </c>
      <c r="B117" t="s">
        <v>1851</v>
      </c>
      <c r="C117" s="24">
        <v>156953231.11000001</v>
      </c>
      <c r="D117" s="24">
        <v>1563795.96</v>
      </c>
      <c r="E117" s="24">
        <v>76799114.75</v>
      </c>
      <c r="F117" s="24">
        <v>78362910.709999993</v>
      </c>
      <c r="G117" s="24">
        <f t="shared" si="2"/>
        <v>78590320.400000021</v>
      </c>
    </row>
    <row r="118" spans="1:7" x14ac:dyDescent="0.35">
      <c r="A118">
        <v>10001459</v>
      </c>
      <c r="B118" t="s">
        <v>2078</v>
      </c>
      <c r="C118" s="24">
        <v>5500000</v>
      </c>
      <c r="D118" s="24">
        <v>2028897.72</v>
      </c>
      <c r="E118" s="24">
        <v>3335757.83</v>
      </c>
      <c r="F118" s="24">
        <v>5364655.55</v>
      </c>
      <c r="G118" s="24">
        <f t="shared" si="2"/>
        <v>135344.45000000019</v>
      </c>
    </row>
    <row r="119" spans="1:7" x14ac:dyDescent="0.35">
      <c r="A119">
        <v>10001460</v>
      </c>
      <c r="B119" t="s">
        <v>2146</v>
      </c>
      <c r="C119" s="24">
        <v>22853483.170000002</v>
      </c>
      <c r="E119" s="24">
        <v>20535714.289999999</v>
      </c>
      <c r="F119" s="24">
        <v>20535714.289999999</v>
      </c>
      <c r="G119" s="24">
        <f t="shared" si="2"/>
        <v>2317768.8800000027</v>
      </c>
    </row>
    <row r="120" spans="1:7" x14ac:dyDescent="0.35">
      <c r="A120">
        <v>10001461</v>
      </c>
      <c r="B120" t="s">
        <v>2147</v>
      </c>
      <c r="C120" s="24">
        <v>2000000</v>
      </c>
      <c r="G120" s="24">
        <f t="shared" si="2"/>
        <v>2000000</v>
      </c>
    </row>
    <row r="121" spans="1:7" x14ac:dyDescent="0.35">
      <c r="A121">
        <v>10001462</v>
      </c>
      <c r="B121" t="s">
        <v>2594</v>
      </c>
      <c r="C121" s="24">
        <v>645000</v>
      </c>
      <c r="E121" s="24">
        <v>580357.14</v>
      </c>
      <c r="F121" s="24">
        <v>580357.14</v>
      </c>
      <c r="G121" s="24">
        <f t="shared" si="2"/>
        <v>64642.859999999986</v>
      </c>
    </row>
    <row r="122" spans="1:7" x14ac:dyDescent="0.35">
      <c r="A122">
        <v>10001463</v>
      </c>
      <c r="B122" t="s">
        <v>2594</v>
      </c>
      <c r="C122" s="24">
        <v>645000</v>
      </c>
      <c r="E122" s="24">
        <v>580357.14</v>
      </c>
      <c r="F122" s="24">
        <v>580357.14</v>
      </c>
      <c r="G122" s="24">
        <f t="shared" si="2"/>
        <v>64642.859999999986</v>
      </c>
    </row>
    <row r="123" spans="1:7" x14ac:dyDescent="0.35">
      <c r="A123">
        <v>10001464</v>
      </c>
      <c r="B123" t="s">
        <v>2595</v>
      </c>
      <c r="C123" s="24">
        <v>125000000</v>
      </c>
      <c r="G123" s="24">
        <f t="shared" si="2"/>
        <v>125000000</v>
      </c>
    </row>
    <row r="124" spans="1:7" x14ac:dyDescent="0.35">
      <c r="A124">
        <v>10001465</v>
      </c>
      <c r="B124" t="s">
        <v>2596</v>
      </c>
      <c r="C124" s="24">
        <v>1200000</v>
      </c>
      <c r="G124" s="24">
        <f t="shared" si="2"/>
        <v>1200000</v>
      </c>
    </row>
    <row r="125" spans="1:7" x14ac:dyDescent="0.35">
      <c r="A125">
        <v>10001466</v>
      </c>
      <c r="B125" t="s">
        <v>2597</v>
      </c>
      <c r="C125" s="24">
        <v>249600</v>
      </c>
      <c r="E125" s="24">
        <v>218750</v>
      </c>
      <c r="F125" s="24">
        <v>218750</v>
      </c>
      <c r="G125" s="24">
        <f t="shared" si="2"/>
        <v>30850</v>
      </c>
    </row>
    <row r="126" spans="1:7" x14ac:dyDescent="0.35">
      <c r="A126">
        <v>10001467</v>
      </c>
      <c r="B126" t="s">
        <v>2598</v>
      </c>
      <c r="C126" s="24">
        <v>68440</v>
      </c>
      <c r="E126" s="24">
        <v>55255.360000000001</v>
      </c>
      <c r="F126" s="24">
        <v>55255.360000000001</v>
      </c>
      <c r="G126" s="24">
        <f t="shared" si="2"/>
        <v>13184.64</v>
      </c>
    </row>
    <row r="127" spans="1:7" x14ac:dyDescent="0.35">
      <c r="A127">
        <v>10001468</v>
      </c>
      <c r="B127" t="s">
        <v>2580</v>
      </c>
      <c r="C127" s="24">
        <v>4600255</v>
      </c>
      <c r="E127" s="24">
        <v>3972754.46</v>
      </c>
      <c r="F127" s="24">
        <v>3972754.46</v>
      </c>
      <c r="G127" s="24">
        <f t="shared" si="2"/>
        <v>627500.54</v>
      </c>
    </row>
    <row r="128" spans="1:7" x14ac:dyDescent="0.35">
      <c r="A128">
        <v>10001469</v>
      </c>
      <c r="B128" t="s">
        <v>2599</v>
      </c>
      <c r="C128" s="24">
        <v>428000</v>
      </c>
      <c r="G128" s="24">
        <f t="shared" si="2"/>
        <v>428000</v>
      </c>
    </row>
    <row r="129" spans="1:9" x14ac:dyDescent="0.35">
      <c r="A129">
        <v>10001470</v>
      </c>
      <c r="B129" t="s">
        <v>3222</v>
      </c>
      <c r="C129" s="24">
        <v>821500</v>
      </c>
      <c r="E129" s="24">
        <v>821428.57</v>
      </c>
      <c r="F129" s="24">
        <v>821428.57</v>
      </c>
      <c r="G129" s="24">
        <f t="shared" si="2"/>
        <v>71.430000000051223</v>
      </c>
    </row>
    <row r="130" spans="1:9" x14ac:dyDescent="0.35">
      <c r="A130">
        <v>40000863</v>
      </c>
      <c r="B130" t="s">
        <v>959</v>
      </c>
      <c r="C130" s="24">
        <v>2112000</v>
      </c>
      <c r="E130" s="24">
        <v>2112000</v>
      </c>
      <c r="F130" s="24">
        <v>2112000</v>
      </c>
      <c r="G130" s="24">
        <f t="shared" si="2"/>
        <v>0</v>
      </c>
    </row>
    <row r="131" spans="1:9" x14ac:dyDescent="0.35">
      <c r="A131">
        <v>40001062</v>
      </c>
      <c r="B131" t="s">
        <v>960</v>
      </c>
      <c r="C131" s="24">
        <v>250000</v>
      </c>
      <c r="D131" s="24">
        <v>250000</v>
      </c>
      <c r="F131" s="24">
        <v>250000</v>
      </c>
      <c r="G131" s="24">
        <f t="shared" si="2"/>
        <v>0</v>
      </c>
    </row>
    <row r="132" spans="1:9" x14ac:dyDescent="0.35">
      <c r="A132">
        <v>40001147</v>
      </c>
      <c r="B132" t="s">
        <v>961</v>
      </c>
      <c r="C132" s="24">
        <v>513411.97</v>
      </c>
      <c r="E132" s="24">
        <v>22446.66</v>
      </c>
      <c r="F132" s="24">
        <v>22446.66</v>
      </c>
      <c r="G132" s="24">
        <f t="shared" ref="G132:G167" si="3">C132-F132</f>
        <v>490965.31</v>
      </c>
    </row>
    <row r="133" spans="1:9" x14ac:dyDescent="0.35">
      <c r="A133">
        <v>40001171</v>
      </c>
      <c r="B133" t="s">
        <v>962</v>
      </c>
      <c r="C133" s="24">
        <v>43158.94</v>
      </c>
      <c r="E133" s="24">
        <v>43158.94</v>
      </c>
      <c r="F133" s="24">
        <v>43158.94</v>
      </c>
      <c r="G133" s="24">
        <f t="shared" si="3"/>
        <v>0</v>
      </c>
      <c r="I133" s="24"/>
    </row>
    <row r="134" spans="1:9" x14ac:dyDescent="0.35">
      <c r="A134">
        <v>40001172</v>
      </c>
      <c r="B134" t="s">
        <v>963</v>
      </c>
      <c r="C134" s="24">
        <v>148562.51</v>
      </c>
      <c r="E134" s="24">
        <v>148562.51</v>
      </c>
      <c r="F134" s="24">
        <v>148562.51</v>
      </c>
      <c r="G134" s="24">
        <f t="shared" si="3"/>
        <v>0</v>
      </c>
    </row>
    <row r="135" spans="1:9" x14ac:dyDescent="0.35">
      <c r="A135">
        <v>40001184</v>
      </c>
      <c r="B135" t="s">
        <v>964</v>
      </c>
      <c r="C135" s="24">
        <v>878168.81</v>
      </c>
      <c r="E135" s="24">
        <v>878168.82</v>
      </c>
      <c r="F135" s="24">
        <v>878168.82</v>
      </c>
      <c r="G135" s="24">
        <f t="shared" si="3"/>
        <v>-9.9999998928979039E-3</v>
      </c>
    </row>
    <row r="136" spans="1:9" x14ac:dyDescent="0.35">
      <c r="A136">
        <v>40001207</v>
      </c>
      <c r="B136" t="s">
        <v>965</v>
      </c>
      <c r="C136" s="24">
        <v>321638.53999999998</v>
      </c>
      <c r="E136" s="24">
        <v>321638.53999999998</v>
      </c>
      <c r="F136" s="24">
        <v>321638.53999999998</v>
      </c>
      <c r="G136" s="24">
        <f t="shared" si="3"/>
        <v>0</v>
      </c>
    </row>
    <row r="137" spans="1:9" x14ac:dyDescent="0.35">
      <c r="A137">
        <v>40001209</v>
      </c>
      <c r="B137" t="s">
        <v>966</v>
      </c>
      <c r="C137" s="24">
        <v>459375</v>
      </c>
      <c r="D137" s="24">
        <v>100000</v>
      </c>
      <c r="F137" s="24">
        <v>100000</v>
      </c>
      <c r="G137" s="24">
        <f t="shared" si="3"/>
        <v>359375</v>
      </c>
    </row>
    <row r="138" spans="1:9" x14ac:dyDescent="0.35">
      <c r="A138">
        <v>40001210</v>
      </c>
      <c r="B138" t="s">
        <v>1793</v>
      </c>
      <c r="C138" s="24">
        <v>253125</v>
      </c>
      <c r="G138" s="24">
        <f t="shared" si="3"/>
        <v>253125</v>
      </c>
    </row>
    <row r="139" spans="1:9" x14ac:dyDescent="0.35">
      <c r="A139">
        <v>40001214</v>
      </c>
      <c r="B139" t="s">
        <v>631</v>
      </c>
      <c r="C139" s="24">
        <v>46785.72</v>
      </c>
      <c r="E139" s="24">
        <v>46785.72</v>
      </c>
      <c r="F139" s="24">
        <v>46785.72</v>
      </c>
      <c r="G139" s="24">
        <f t="shared" si="3"/>
        <v>0</v>
      </c>
    </row>
    <row r="140" spans="1:9" x14ac:dyDescent="0.35">
      <c r="A140">
        <v>40001232</v>
      </c>
      <c r="B140" t="s">
        <v>966</v>
      </c>
      <c r="C140" s="24">
        <v>937500</v>
      </c>
      <c r="E140" s="24">
        <v>937500</v>
      </c>
      <c r="F140" s="24">
        <v>937500</v>
      </c>
      <c r="G140" s="24">
        <f t="shared" si="3"/>
        <v>0</v>
      </c>
    </row>
    <row r="141" spans="1:9" x14ac:dyDescent="0.35">
      <c r="A141">
        <v>40001234</v>
      </c>
      <c r="B141" t="s">
        <v>967</v>
      </c>
      <c r="C141" s="24">
        <v>181440</v>
      </c>
      <c r="D141" s="24">
        <v>181440</v>
      </c>
      <c r="F141" s="24">
        <v>181440</v>
      </c>
      <c r="G141" s="24">
        <f t="shared" si="3"/>
        <v>0</v>
      </c>
    </row>
    <row r="142" spans="1:9" x14ac:dyDescent="0.35">
      <c r="A142">
        <v>40001235</v>
      </c>
      <c r="B142" t="s">
        <v>968</v>
      </c>
      <c r="C142" s="24">
        <v>8000000</v>
      </c>
      <c r="D142" s="24">
        <v>6749830.3499999996</v>
      </c>
      <c r="E142">
        <v>892.86</v>
      </c>
      <c r="F142" s="24">
        <v>6750723.21</v>
      </c>
      <c r="G142" s="24">
        <f t="shared" si="3"/>
        <v>1249276.79</v>
      </c>
    </row>
    <row r="143" spans="1:9" x14ac:dyDescent="0.35">
      <c r="A143">
        <v>40001243</v>
      </c>
      <c r="B143" t="s">
        <v>969</v>
      </c>
      <c r="C143" s="24">
        <v>209000</v>
      </c>
      <c r="D143" s="24">
        <v>209000</v>
      </c>
      <c r="F143" s="24">
        <v>209000</v>
      </c>
      <c r="G143" s="24">
        <f t="shared" si="3"/>
        <v>0</v>
      </c>
    </row>
    <row r="144" spans="1:9" x14ac:dyDescent="0.35">
      <c r="A144">
        <v>40001261</v>
      </c>
      <c r="B144" t="s">
        <v>4</v>
      </c>
      <c r="C144" s="24">
        <v>1828571.43</v>
      </c>
      <c r="D144" s="24">
        <v>1828571.43</v>
      </c>
      <c r="F144" s="24">
        <v>1828571.43</v>
      </c>
      <c r="G144" s="24">
        <f t="shared" si="3"/>
        <v>0</v>
      </c>
    </row>
    <row r="145" spans="1:9" x14ac:dyDescent="0.35">
      <c r="A145">
        <v>40001262</v>
      </c>
      <c r="B145" t="s">
        <v>970</v>
      </c>
      <c r="C145" s="24">
        <v>138392.85999999999</v>
      </c>
      <c r="D145" s="24">
        <v>138392.85999999999</v>
      </c>
      <c r="F145" s="24">
        <v>138392.85999999999</v>
      </c>
      <c r="G145" s="24">
        <f t="shared" si="3"/>
        <v>0</v>
      </c>
    </row>
    <row r="146" spans="1:9" x14ac:dyDescent="0.35">
      <c r="A146">
        <v>40001263</v>
      </c>
      <c r="B146" t="s">
        <v>742</v>
      </c>
      <c r="C146" s="24">
        <v>13705357.140000001</v>
      </c>
      <c r="D146" s="24">
        <v>13705357.140000001</v>
      </c>
      <c r="F146" s="24">
        <v>13705357.140000001</v>
      </c>
      <c r="G146" s="24">
        <f t="shared" si="3"/>
        <v>0</v>
      </c>
    </row>
    <row r="147" spans="1:9" x14ac:dyDescent="0.35">
      <c r="A147">
        <v>40001264</v>
      </c>
      <c r="B147" t="s">
        <v>748</v>
      </c>
      <c r="C147" s="24">
        <v>148658.82</v>
      </c>
      <c r="D147" s="24">
        <v>128571.43</v>
      </c>
      <c r="F147" s="24">
        <v>128571.43</v>
      </c>
      <c r="G147" s="24">
        <f t="shared" si="3"/>
        <v>20087.390000000014</v>
      </c>
    </row>
    <row r="148" spans="1:9" x14ac:dyDescent="0.35">
      <c r="A148">
        <v>40001265</v>
      </c>
      <c r="B148" t="s">
        <v>971</v>
      </c>
      <c r="C148" s="24">
        <v>686785.71</v>
      </c>
      <c r="D148" s="24">
        <v>686785.71</v>
      </c>
      <c r="F148" s="24">
        <v>686785.71</v>
      </c>
      <c r="G148" s="24">
        <f t="shared" si="3"/>
        <v>0</v>
      </c>
    </row>
    <row r="149" spans="1:9" x14ac:dyDescent="0.35">
      <c r="A149">
        <v>40001266</v>
      </c>
      <c r="B149" t="s">
        <v>818</v>
      </c>
      <c r="C149" s="24">
        <v>3000000</v>
      </c>
      <c r="D149" s="24">
        <v>12256.7</v>
      </c>
      <c r="E149" s="24">
        <v>1335714.28</v>
      </c>
      <c r="F149" s="24">
        <v>1347970.98</v>
      </c>
      <c r="G149" s="24">
        <f t="shared" si="3"/>
        <v>1652029.02</v>
      </c>
    </row>
    <row r="150" spans="1:9" x14ac:dyDescent="0.35">
      <c r="A150">
        <v>40001280</v>
      </c>
      <c r="B150" t="s">
        <v>972</v>
      </c>
      <c r="C150" s="24">
        <v>1403000</v>
      </c>
      <c r="E150" s="24">
        <v>937500</v>
      </c>
      <c r="F150" s="24">
        <v>937500</v>
      </c>
      <c r="G150" s="24">
        <f t="shared" si="3"/>
        <v>465500</v>
      </c>
    </row>
    <row r="151" spans="1:9" x14ac:dyDescent="0.35">
      <c r="A151">
        <v>40001281</v>
      </c>
      <c r="B151" t="s">
        <v>973</v>
      </c>
      <c r="C151" s="24">
        <v>1260000</v>
      </c>
      <c r="E151" s="24">
        <v>959821.43</v>
      </c>
      <c r="F151" s="24">
        <v>959821.43</v>
      </c>
      <c r="G151" s="24">
        <f t="shared" si="3"/>
        <v>300178.56999999995</v>
      </c>
    </row>
    <row r="152" spans="1:9" x14ac:dyDescent="0.35">
      <c r="A152">
        <v>40001282</v>
      </c>
      <c r="B152" t="s">
        <v>974</v>
      </c>
      <c r="C152" s="24">
        <v>106400</v>
      </c>
      <c r="D152" s="24">
        <v>80357.14</v>
      </c>
      <c r="F152" s="24">
        <v>80357.14</v>
      </c>
      <c r="G152" s="24">
        <f t="shared" si="3"/>
        <v>26042.86</v>
      </c>
      <c r="I152" s="24"/>
    </row>
    <row r="153" spans="1:9" x14ac:dyDescent="0.35">
      <c r="A153">
        <v>40001283</v>
      </c>
      <c r="B153" t="s">
        <v>809</v>
      </c>
      <c r="C153" s="24">
        <v>201785.72</v>
      </c>
      <c r="D153" s="24">
        <v>167857.14</v>
      </c>
      <c r="F153" s="24">
        <v>167857.14</v>
      </c>
      <c r="G153" s="24">
        <f t="shared" si="3"/>
        <v>33928.579999999987</v>
      </c>
    </row>
    <row r="154" spans="1:9" x14ac:dyDescent="0.35">
      <c r="A154">
        <v>40001284</v>
      </c>
      <c r="B154" t="s">
        <v>975</v>
      </c>
      <c r="C154" s="24">
        <v>1069643</v>
      </c>
      <c r="D154" s="24">
        <v>1069642.8600000001</v>
      </c>
      <c r="F154" s="24">
        <v>1069642.8600000001</v>
      </c>
      <c r="G154" s="24">
        <f t="shared" si="3"/>
        <v>0.13999999989755452</v>
      </c>
    </row>
    <row r="155" spans="1:9" x14ac:dyDescent="0.35">
      <c r="A155">
        <v>40001285</v>
      </c>
      <c r="B155" t="s">
        <v>901</v>
      </c>
      <c r="C155" s="24">
        <v>775000</v>
      </c>
      <c r="D155" s="24">
        <v>775000</v>
      </c>
      <c r="F155" s="24">
        <v>775000</v>
      </c>
      <c r="G155" s="24">
        <f t="shared" si="3"/>
        <v>0</v>
      </c>
    </row>
    <row r="156" spans="1:9" x14ac:dyDescent="0.35">
      <c r="A156">
        <v>40001286</v>
      </c>
      <c r="B156" t="s">
        <v>1830</v>
      </c>
      <c r="C156" s="24">
        <v>2203571.4500000002</v>
      </c>
      <c r="E156" s="24">
        <v>2203571.4300000002</v>
      </c>
      <c r="F156" s="24">
        <v>2203571.4300000002</v>
      </c>
      <c r="G156" s="24">
        <f t="shared" si="3"/>
        <v>2.0000000018626451E-2</v>
      </c>
    </row>
    <row r="157" spans="1:9" x14ac:dyDescent="0.35">
      <c r="A157">
        <v>40001287</v>
      </c>
      <c r="B157" t="s">
        <v>1877</v>
      </c>
      <c r="C157" s="24">
        <v>12491.08</v>
      </c>
      <c r="D157" s="24">
        <v>12491.08</v>
      </c>
      <c r="F157" s="24">
        <v>12491.08</v>
      </c>
      <c r="G157" s="24">
        <f t="shared" si="3"/>
        <v>0</v>
      </c>
    </row>
    <row r="158" spans="1:9" x14ac:dyDescent="0.35">
      <c r="A158">
        <v>40001288</v>
      </c>
      <c r="B158" t="s">
        <v>2148</v>
      </c>
      <c r="C158" s="24">
        <v>1400000</v>
      </c>
      <c r="D158" s="24">
        <v>1400000</v>
      </c>
      <c r="F158" s="24">
        <v>1400000</v>
      </c>
      <c r="G158" s="24">
        <f t="shared" si="3"/>
        <v>0</v>
      </c>
    </row>
    <row r="159" spans="1:9" x14ac:dyDescent="0.35">
      <c r="A159">
        <v>40001289</v>
      </c>
      <c r="B159" t="s">
        <v>2600</v>
      </c>
      <c r="C159" s="24">
        <v>2669642.86</v>
      </c>
      <c r="D159" s="24">
        <v>2669642.86</v>
      </c>
      <c r="F159" s="24">
        <v>2669642.86</v>
      </c>
      <c r="G159" s="24">
        <f t="shared" si="3"/>
        <v>0</v>
      </c>
    </row>
    <row r="160" spans="1:9" x14ac:dyDescent="0.35">
      <c r="A160">
        <v>40001290</v>
      </c>
      <c r="B160" t="s">
        <v>2149</v>
      </c>
      <c r="C160" s="24">
        <v>775000</v>
      </c>
      <c r="D160" s="24">
        <v>775000</v>
      </c>
      <c r="F160" s="24">
        <v>775000</v>
      </c>
      <c r="G160" s="24">
        <f t="shared" si="3"/>
        <v>0</v>
      </c>
    </row>
    <row r="161" spans="1:7" x14ac:dyDescent="0.35">
      <c r="A161">
        <v>40001291</v>
      </c>
      <c r="B161" t="s">
        <v>2150</v>
      </c>
      <c r="C161" s="24">
        <v>57340</v>
      </c>
      <c r="D161" s="24">
        <v>47178.57</v>
      </c>
      <c r="F161" s="24">
        <v>47178.57</v>
      </c>
      <c r="G161" s="24">
        <f t="shared" si="3"/>
        <v>10161.43</v>
      </c>
    </row>
    <row r="162" spans="1:7" x14ac:dyDescent="0.35">
      <c r="A162">
        <v>40001292</v>
      </c>
      <c r="B162" t="s">
        <v>2151</v>
      </c>
      <c r="C162" s="24">
        <v>628335.71</v>
      </c>
      <c r="D162" s="24">
        <v>628335.71</v>
      </c>
      <c r="F162" s="24">
        <v>628335.71</v>
      </c>
      <c r="G162" s="24">
        <f t="shared" si="3"/>
        <v>0</v>
      </c>
    </row>
    <row r="163" spans="1:7" x14ac:dyDescent="0.35">
      <c r="A163">
        <v>40001293</v>
      </c>
      <c r="B163" t="s">
        <v>2541</v>
      </c>
      <c r="C163" s="24">
        <v>75000</v>
      </c>
      <c r="D163" s="24">
        <v>62500</v>
      </c>
      <c r="F163" s="24">
        <v>62500</v>
      </c>
      <c r="G163" s="24">
        <f t="shared" si="3"/>
        <v>12500</v>
      </c>
    </row>
    <row r="164" spans="1:7" x14ac:dyDescent="0.35">
      <c r="A164">
        <v>40001294</v>
      </c>
      <c r="B164" t="s">
        <v>2601</v>
      </c>
      <c r="C164" s="24">
        <v>10080</v>
      </c>
      <c r="G164" s="24">
        <f t="shared" si="3"/>
        <v>10080</v>
      </c>
    </row>
    <row r="165" spans="1:7" x14ac:dyDescent="0.35">
      <c r="A165">
        <v>40001295</v>
      </c>
      <c r="B165" t="s">
        <v>2568</v>
      </c>
      <c r="C165" s="24">
        <v>1300000</v>
      </c>
      <c r="G165" s="24">
        <f t="shared" si="3"/>
        <v>1300000</v>
      </c>
    </row>
    <row r="166" spans="1:7" x14ac:dyDescent="0.35">
      <c r="A166">
        <v>40001296</v>
      </c>
      <c r="B166" t="s">
        <v>2843</v>
      </c>
      <c r="C166" s="24">
        <v>169642.86</v>
      </c>
      <c r="D166" s="24">
        <v>169642.86</v>
      </c>
      <c r="F166" s="24">
        <v>169642.86</v>
      </c>
      <c r="G166" s="24">
        <f t="shared" si="3"/>
        <v>0</v>
      </c>
    </row>
    <row r="167" spans="1:7" x14ac:dyDescent="0.35">
      <c r="A167">
        <v>40001297</v>
      </c>
      <c r="B167" t="s">
        <v>2861</v>
      </c>
      <c r="C167" s="24">
        <v>254464.29</v>
      </c>
      <c r="D167" s="24">
        <v>254464.29</v>
      </c>
      <c r="F167" s="24">
        <v>254464.29</v>
      </c>
      <c r="G167" s="24">
        <f t="shared" si="3"/>
        <v>0</v>
      </c>
    </row>
    <row r="168" spans="1:7" x14ac:dyDescent="0.35">
      <c r="A168">
        <v>40001298</v>
      </c>
      <c r="B168" t="s">
        <v>3092</v>
      </c>
      <c r="C168" s="24">
        <v>19096.46</v>
      </c>
      <c r="E168" s="24">
        <v>18242.5</v>
      </c>
      <c r="F168" s="24">
        <v>18242.5</v>
      </c>
      <c r="G168" s="24">
        <f t="shared" ref="G168:G178" si="4">C168-F168</f>
        <v>853.95999999999913</v>
      </c>
    </row>
    <row r="169" spans="1:7" x14ac:dyDescent="0.35">
      <c r="A169">
        <v>40001299</v>
      </c>
      <c r="B169" t="s">
        <v>3099</v>
      </c>
      <c r="C169" s="24">
        <v>1312500</v>
      </c>
      <c r="D169" s="24">
        <v>1272321.43</v>
      </c>
      <c r="F169" s="24">
        <v>1272321.43</v>
      </c>
      <c r="G169" s="24">
        <f t="shared" si="4"/>
        <v>40178.570000000065</v>
      </c>
    </row>
    <row r="170" spans="1:7" x14ac:dyDescent="0.35">
      <c r="A170">
        <v>40001300</v>
      </c>
      <c r="B170" t="s">
        <v>3223</v>
      </c>
      <c r="C170" s="24">
        <v>2000000</v>
      </c>
      <c r="G170" s="24">
        <f t="shared" si="4"/>
        <v>2000000</v>
      </c>
    </row>
    <row r="171" spans="1:7" x14ac:dyDescent="0.35">
      <c r="A171">
        <v>40001301</v>
      </c>
      <c r="B171" t="s">
        <v>3162</v>
      </c>
      <c r="C171" s="24">
        <v>138392.85999999999</v>
      </c>
      <c r="E171" s="24">
        <v>116517.86</v>
      </c>
      <c r="F171" s="24">
        <v>116517.86</v>
      </c>
      <c r="G171" s="24">
        <f t="shared" si="4"/>
        <v>21874.999999999985</v>
      </c>
    </row>
    <row r="172" spans="1:7" x14ac:dyDescent="0.35">
      <c r="A172">
        <v>40001302</v>
      </c>
      <c r="B172" t="s">
        <v>3166</v>
      </c>
      <c r="C172" s="24">
        <v>95000</v>
      </c>
      <c r="E172" s="24">
        <v>93928.58</v>
      </c>
      <c r="F172" s="24">
        <v>93928.58</v>
      </c>
      <c r="G172" s="24">
        <f t="shared" si="4"/>
        <v>1071.4199999999983</v>
      </c>
    </row>
    <row r="173" spans="1:7" x14ac:dyDescent="0.35">
      <c r="A173">
        <v>40001303</v>
      </c>
      <c r="B173" t="s">
        <v>3172</v>
      </c>
      <c r="C173" s="24">
        <v>41385</v>
      </c>
      <c r="D173" s="24">
        <v>36950.89</v>
      </c>
      <c r="F173" s="24">
        <v>36950.89</v>
      </c>
      <c r="G173" s="24">
        <f t="shared" si="4"/>
        <v>4434.1100000000006</v>
      </c>
    </row>
    <row r="174" spans="1:7" x14ac:dyDescent="0.35">
      <c r="A174">
        <v>40001304</v>
      </c>
      <c r="B174" t="s">
        <v>3180</v>
      </c>
      <c r="C174" s="24">
        <v>508929</v>
      </c>
      <c r="E174" s="24">
        <v>508928.58</v>
      </c>
      <c r="F174" s="24">
        <v>508928.58</v>
      </c>
      <c r="G174" s="24">
        <f t="shared" si="4"/>
        <v>0.41999999998370185</v>
      </c>
    </row>
    <row r="175" spans="1:7" x14ac:dyDescent="0.35">
      <c r="A175">
        <v>40001305</v>
      </c>
      <c r="B175" t="s">
        <v>3184</v>
      </c>
      <c r="C175" s="24">
        <v>97000</v>
      </c>
      <c r="E175" s="24">
        <v>96607.14</v>
      </c>
      <c r="F175" s="24">
        <v>96607.14</v>
      </c>
      <c r="G175" s="24">
        <f t="shared" si="4"/>
        <v>392.86000000000058</v>
      </c>
    </row>
    <row r="176" spans="1:7" x14ac:dyDescent="0.35">
      <c r="A176">
        <v>40001306</v>
      </c>
      <c r="B176" t="s">
        <v>3190</v>
      </c>
      <c r="C176" s="24">
        <v>145000</v>
      </c>
      <c r="E176" s="24">
        <v>144910.71</v>
      </c>
      <c r="F176" s="24">
        <v>144910.71</v>
      </c>
      <c r="G176" s="24">
        <f t="shared" si="4"/>
        <v>89.290000000008149</v>
      </c>
    </row>
    <row r="177" spans="1:7" x14ac:dyDescent="0.35">
      <c r="A177">
        <v>40001307</v>
      </c>
      <c r="B177" t="s">
        <v>3203</v>
      </c>
      <c r="C177" s="24">
        <v>424108</v>
      </c>
      <c r="G177" s="24">
        <f t="shared" si="4"/>
        <v>424108</v>
      </c>
    </row>
    <row r="178" spans="1:7" x14ac:dyDescent="0.35">
      <c r="A178">
        <v>40001308</v>
      </c>
      <c r="B178" t="s">
        <v>3214</v>
      </c>
      <c r="C178" s="24">
        <v>904465</v>
      </c>
      <c r="G178" s="24">
        <f t="shared" si="4"/>
        <v>904465</v>
      </c>
    </row>
    <row r="180" spans="1:7" x14ac:dyDescent="0.35">
      <c r="C180" s="24">
        <v>708313257.01999998</v>
      </c>
      <c r="D180" s="24">
        <v>154888194.44999999</v>
      </c>
      <c r="E180" s="24">
        <v>234128221</v>
      </c>
      <c r="F180" s="24">
        <v>389016415.44999999</v>
      </c>
      <c r="G180" s="24">
        <v>319296841.56999999</v>
      </c>
    </row>
    <row r="181" spans="1:7" x14ac:dyDescent="0.35">
      <c r="C181" s="24">
        <f>SUM(C4:C179)</f>
        <v>707668257.02000034</v>
      </c>
      <c r="D181" s="24">
        <f t="shared" ref="D181:F181" si="5">SUM(D4:D179)</f>
        <v>154888194.45000002</v>
      </c>
      <c r="E181" s="24">
        <f t="shared" si="5"/>
        <v>234128221</v>
      </c>
      <c r="F181" s="24">
        <f t="shared" si="5"/>
        <v>389016415.45000005</v>
      </c>
      <c r="G181" s="24">
        <f>SUM(G4:G179)</f>
        <v>318651841.57000011</v>
      </c>
    </row>
    <row r="184" spans="1:7" x14ac:dyDescent="0.35">
      <c r="A184">
        <v>10001075</v>
      </c>
      <c r="B184" t="s">
        <v>911</v>
      </c>
    </row>
    <row r="185" spans="1:7" x14ac:dyDescent="0.35">
      <c r="A185">
        <v>10001405</v>
      </c>
      <c r="B185" t="s">
        <v>664</v>
      </c>
    </row>
    <row r="186" spans="1:7" x14ac:dyDescent="0.35">
      <c r="A186">
        <v>10001410</v>
      </c>
      <c r="B186" t="s">
        <v>928</v>
      </c>
    </row>
    <row r="187" spans="1:7" x14ac:dyDescent="0.35">
      <c r="A187">
        <v>10001412</v>
      </c>
      <c r="B187" t="s">
        <v>930</v>
      </c>
    </row>
    <row r="188" spans="1:7" x14ac:dyDescent="0.35">
      <c r="A188">
        <v>10001424</v>
      </c>
      <c r="B188" t="s">
        <v>942</v>
      </c>
    </row>
    <row r="189" spans="1:7" x14ac:dyDescent="0.35">
      <c r="A189">
        <v>10001427</v>
      </c>
      <c r="B189" t="s">
        <v>945</v>
      </c>
    </row>
  </sheetData>
  <autoFilter ref="A3:I178" xr:uid="{382EF62E-4955-46A3-992F-3968B489812C}"/>
  <conditionalFormatting sqref="A1 A3:A1048576">
    <cfRule type="duplicateValues" dxfId="14" priority="2"/>
  </conditionalFormatting>
  <conditionalFormatting sqref="A1 A163:A1048576 A3">
    <cfRule type="duplicateValues" dxfId="13" priority="4"/>
  </conditionalFormatting>
  <conditionalFormatting sqref="A1:A1048576">
    <cfRule type="duplicateValues" dxfId="12" priority="1"/>
  </conditionalFormatting>
  <conditionalFormatting sqref="A4:A162">
    <cfRule type="duplicateValues" dxfId="11" priority="9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1BA9A-22DC-4EC7-A954-C2B13DAC8E3E}">
  <sheetPr>
    <tabColor theme="0" tint="-0.14999847407452621"/>
  </sheetPr>
  <dimension ref="A1:R468"/>
  <sheetViews>
    <sheetView zoomScale="70" zoomScaleNormal="70" workbookViewId="0">
      <pane xSplit="2" ySplit="2" topLeftCell="E454" activePane="bottomRight" state="frozen"/>
      <selection pane="topRight" activeCell="C1" sqref="C1"/>
      <selection pane="bottomLeft" activeCell="A3" sqref="A3"/>
      <selection pane="bottomRight" activeCell="N2" sqref="N2"/>
    </sheetView>
  </sheetViews>
  <sheetFormatPr defaultRowHeight="14.5" x14ac:dyDescent="0.35"/>
  <cols>
    <col min="1" max="1" width="8.81640625" bestFit="1" customWidth="1"/>
    <col min="2" max="2" width="30.1796875" customWidth="1"/>
    <col min="3" max="3" width="16.6328125" bestFit="1" customWidth="1"/>
    <col min="4" max="4" width="17.08984375" customWidth="1"/>
    <col min="5" max="5" width="16.90625" customWidth="1"/>
    <col min="6" max="6" width="15.36328125" bestFit="1" customWidth="1"/>
    <col min="7" max="7" width="35.26953125" customWidth="1"/>
    <col min="8" max="8" width="16.1796875" customWidth="1"/>
    <col min="9" max="9" width="11.7265625" bestFit="1" customWidth="1"/>
    <col min="11" max="11" width="8.81640625" bestFit="1" customWidth="1"/>
    <col min="12" max="12" width="35.7265625" customWidth="1"/>
    <col min="13" max="13" width="6" bestFit="1" customWidth="1"/>
  </cols>
  <sheetData>
    <row r="1" spans="1:18" x14ac:dyDescent="0.35">
      <c r="F1" s="6">
        <f>SUBTOTAL(9,F3:F1048576)</f>
        <v>154888194.45000005</v>
      </c>
    </row>
    <row r="2" spans="1:18" ht="43.5" x14ac:dyDescent="0.35">
      <c r="A2" s="56" t="s">
        <v>976</v>
      </c>
      <c r="B2" s="56" t="s">
        <v>977</v>
      </c>
      <c r="C2" s="56" t="s">
        <v>978</v>
      </c>
      <c r="D2" s="56" t="s">
        <v>979</v>
      </c>
      <c r="E2" s="56" t="s">
        <v>980</v>
      </c>
      <c r="F2" s="56" t="s">
        <v>981</v>
      </c>
      <c r="G2" s="56" t="s">
        <v>982</v>
      </c>
      <c r="H2" s="56" t="s">
        <v>983</v>
      </c>
      <c r="I2" s="56" t="s">
        <v>984</v>
      </c>
      <c r="J2" s="57" t="s">
        <v>985</v>
      </c>
      <c r="K2" s="57" t="s">
        <v>986</v>
      </c>
      <c r="L2" s="56" t="s">
        <v>987</v>
      </c>
      <c r="M2" s="56" t="s">
        <v>988</v>
      </c>
      <c r="N2" s="77" t="s">
        <v>1791</v>
      </c>
    </row>
    <row r="3" spans="1:18" x14ac:dyDescent="0.35">
      <c r="A3" s="5" t="s">
        <v>2152</v>
      </c>
      <c r="B3" s="5" t="s">
        <v>2153</v>
      </c>
      <c r="C3" s="5" t="s">
        <v>990</v>
      </c>
      <c r="D3" s="5" t="s">
        <v>1327</v>
      </c>
      <c r="E3" s="5" t="s">
        <v>2154</v>
      </c>
      <c r="F3" s="58">
        <v>982142.86</v>
      </c>
      <c r="G3" s="5" t="s">
        <v>1328</v>
      </c>
      <c r="H3" s="5" t="s">
        <v>993</v>
      </c>
      <c r="I3" s="60">
        <v>1</v>
      </c>
      <c r="J3" s="5" t="s">
        <v>994</v>
      </c>
      <c r="K3" s="5" t="s">
        <v>995</v>
      </c>
      <c r="L3" s="5" t="s">
        <v>996</v>
      </c>
      <c r="M3" s="5">
        <v>6</v>
      </c>
      <c r="N3" s="5" t="str">
        <f>_xlfn.XLOOKUP(M3,$Q$3:$Q$14,$R$3:$R$14)</f>
        <v>Jun</v>
      </c>
      <c r="Q3">
        <v>1</v>
      </c>
      <c r="R3" t="s">
        <v>830</v>
      </c>
    </row>
    <row r="4" spans="1:18" x14ac:dyDescent="0.35">
      <c r="A4" s="5" t="s">
        <v>2155</v>
      </c>
      <c r="B4" s="5" t="s">
        <v>1878</v>
      </c>
      <c r="C4" s="5" t="s">
        <v>990</v>
      </c>
      <c r="D4" s="5" t="s">
        <v>144</v>
      </c>
      <c r="E4" s="5" t="s">
        <v>1879</v>
      </c>
      <c r="F4" s="58">
        <v>2400000</v>
      </c>
      <c r="G4" s="5" t="s">
        <v>1335</v>
      </c>
      <c r="H4" s="5" t="s">
        <v>993</v>
      </c>
      <c r="I4" s="60">
        <v>1</v>
      </c>
      <c r="J4" s="5" t="s">
        <v>994</v>
      </c>
      <c r="K4" s="5" t="s">
        <v>995</v>
      </c>
      <c r="L4" s="5" t="s">
        <v>996</v>
      </c>
      <c r="M4" s="5">
        <v>4</v>
      </c>
      <c r="N4" s="5" t="str">
        <f t="shared" ref="N4:N67" si="0">_xlfn.XLOOKUP(M4,$Q$3:$Q$14,$R$3:$R$14)</f>
        <v>Apr</v>
      </c>
      <c r="Q4">
        <v>2</v>
      </c>
      <c r="R4" t="s">
        <v>831</v>
      </c>
    </row>
    <row r="5" spans="1:18" x14ac:dyDescent="0.35">
      <c r="A5" s="5" t="s">
        <v>2156</v>
      </c>
      <c r="B5" s="5" t="s">
        <v>1880</v>
      </c>
      <c r="C5" s="5" t="s">
        <v>990</v>
      </c>
      <c r="D5" s="5" t="s">
        <v>1346</v>
      </c>
      <c r="E5" s="5" t="s">
        <v>1881</v>
      </c>
      <c r="F5" s="58">
        <v>417857.14</v>
      </c>
      <c r="G5" s="5" t="s">
        <v>1347</v>
      </c>
      <c r="H5" s="5" t="s">
        <v>993</v>
      </c>
      <c r="I5" s="59">
        <v>0.312</v>
      </c>
      <c r="J5" s="5" t="s">
        <v>994</v>
      </c>
      <c r="K5" s="5" t="s">
        <v>995</v>
      </c>
      <c r="L5" s="5" t="s">
        <v>996</v>
      </c>
      <c r="M5" s="5">
        <v>4</v>
      </c>
      <c r="N5" s="5" t="str">
        <f t="shared" si="0"/>
        <v>Apr</v>
      </c>
      <c r="Q5">
        <v>3</v>
      </c>
      <c r="R5" t="s">
        <v>832</v>
      </c>
    </row>
    <row r="6" spans="1:18" x14ac:dyDescent="0.35">
      <c r="A6" s="5" t="s">
        <v>2157</v>
      </c>
      <c r="B6" s="5" t="s">
        <v>1882</v>
      </c>
      <c r="C6" s="5" t="s">
        <v>990</v>
      </c>
      <c r="D6" s="5" t="s">
        <v>153</v>
      </c>
      <c r="E6" s="5" t="s">
        <v>1883</v>
      </c>
      <c r="F6" s="58">
        <v>44642.86</v>
      </c>
      <c r="G6" s="5" t="s">
        <v>1360</v>
      </c>
      <c r="H6" s="5" t="s">
        <v>993</v>
      </c>
      <c r="I6" s="60">
        <v>1</v>
      </c>
      <c r="J6" s="5" t="s">
        <v>994</v>
      </c>
      <c r="K6" s="5" t="s">
        <v>995</v>
      </c>
      <c r="L6" s="5" t="s">
        <v>996</v>
      </c>
      <c r="M6" s="5">
        <v>4</v>
      </c>
      <c r="N6" s="5" t="str">
        <f t="shared" si="0"/>
        <v>Apr</v>
      </c>
      <c r="Q6">
        <v>4</v>
      </c>
      <c r="R6" t="s">
        <v>833</v>
      </c>
    </row>
    <row r="7" spans="1:18" x14ac:dyDescent="0.35">
      <c r="A7" s="5" t="s">
        <v>2157</v>
      </c>
      <c r="B7" s="5" t="s">
        <v>1882</v>
      </c>
      <c r="C7" s="5" t="s">
        <v>990</v>
      </c>
      <c r="D7" s="5" t="s">
        <v>153</v>
      </c>
      <c r="E7" s="5" t="s">
        <v>1883</v>
      </c>
      <c r="F7" s="58">
        <v>145535.71</v>
      </c>
      <c r="G7" s="5" t="s">
        <v>1359</v>
      </c>
      <c r="H7" s="5" t="s">
        <v>993</v>
      </c>
      <c r="I7" s="60">
        <v>1</v>
      </c>
      <c r="J7" s="5" t="s">
        <v>994</v>
      </c>
      <c r="K7" s="5" t="s">
        <v>995</v>
      </c>
      <c r="L7" s="5" t="s">
        <v>996</v>
      </c>
      <c r="M7" s="5">
        <v>4</v>
      </c>
      <c r="N7" s="5" t="str">
        <f t="shared" si="0"/>
        <v>Apr</v>
      </c>
      <c r="Q7">
        <v>5</v>
      </c>
      <c r="R7" t="s">
        <v>834</v>
      </c>
    </row>
    <row r="8" spans="1:18" x14ac:dyDescent="0.35">
      <c r="A8" s="5" t="s">
        <v>2157</v>
      </c>
      <c r="B8" s="5" t="s">
        <v>1882</v>
      </c>
      <c r="C8" s="5" t="s">
        <v>990</v>
      </c>
      <c r="D8" s="5" t="s">
        <v>153</v>
      </c>
      <c r="E8" s="5" t="s">
        <v>1883</v>
      </c>
      <c r="F8" s="58">
        <v>178571.43</v>
      </c>
      <c r="G8" s="5" t="s">
        <v>1358</v>
      </c>
      <c r="H8" s="5" t="s">
        <v>993</v>
      </c>
      <c r="I8" s="60">
        <v>1</v>
      </c>
      <c r="J8" s="5" t="s">
        <v>994</v>
      </c>
      <c r="K8" s="5" t="s">
        <v>995</v>
      </c>
      <c r="L8" s="5" t="s">
        <v>996</v>
      </c>
      <c r="M8" s="5">
        <v>4</v>
      </c>
      <c r="N8" s="5" t="str">
        <f t="shared" si="0"/>
        <v>Apr</v>
      </c>
      <c r="Q8">
        <v>6</v>
      </c>
      <c r="R8" t="s">
        <v>835</v>
      </c>
    </row>
    <row r="9" spans="1:18" x14ac:dyDescent="0.35">
      <c r="A9" s="5" t="s">
        <v>2157</v>
      </c>
      <c r="B9" s="5" t="s">
        <v>1882</v>
      </c>
      <c r="C9" s="5" t="s">
        <v>990</v>
      </c>
      <c r="D9" s="5" t="s">
        <v>153</v>
      </c>
      <c r="E9" s="5" t="s">
        <v>1883</v>
      </c>
      <c r="F9" s="58">
        <v>191964.29</v>
      </c>
      <c r="G9" s="5" t="s">
        <v>1356</v>
      </c>
      <c r="H9" s="5" t="s">
        <v>993</v>
      </c>
      <c r="I9" s="60">
        <v>1</v>
      </c>
      <c r="J9" s="5" t="s">
        <v>994</v>
      </c>
      <c r="K9" s="5" t="s">
        <v>995</v>
      </c>
      <c r="L9" s="5" t="s">
        <v>996</v>
      </c>
      <c r="M9" s="5">
        <v>4</v>
      </c>
      <c r="N9" s="5" t="str">
        <f t="shared" si="0"/>
        <v>Apr</v>
      </c>
      <c r="Q9">
        <v>7</v>
      </c>
      <c r="R9" t="s">
        <v>836</v>
      </c>
    </row>
    <row r="10" spans="1:18" x14ac:dyDescent="0.35">
      <c r="A10" s="5" t="s">
        <v>2158</v>
      </c>
      <c r="B10" s="5" t="s">
        <v>1884</v>
      </c>
      <c r="C10" s="5" t="s">
        <v>990</v>
      </c>
      <c r="D10" s="5" t="s">
        <v>157</v>
      </c>
      <c r="E10" s="5" t="s">
        <v>1885</v>
      </c>
      <c r="F10" s="58">
        <v>80357.14</v>
      </c>
      <c r="G10" s="5" t="s">
        <v>1363</v>
      </c>
      <c r="H10" s="5" t="s">
        <v>993</v>
      </c>
      <c r="I10" s="60">
        <v>1</v>
      </c>
      <c r="J10" s="5" t="s">
        <v>994</v>
      </c>
      <c r="K10" s="5" t="s">
        <v>995</v>
      </c>
      <c r="L10" s="5" t="s">
        <v>996</v>
      </c>
      <c r="M10" s="5">
        <v>4</v>
      </c>
      <c r="N10" s="5" t="str">
        <f t="shared" si="0"/>
        <v>Apr</v>
      </c>
      <c r="Q10">
        <v>8</v>
      </c>
      <c r="R10" t="s">
        <v>837</v>
      </c>
    </row>
    <row r="11" spans="1:18" x14ac:dyDescent="0.35">
      <c r="A11" s="5" t="s">
        <v>2158</v>
      </c>
      <c r="B11" s="5" t="s">
        <v>1884</v>
      </c>
      <c r="C11" s="5" t="s">
        <v>990</v>
      </c>
      <c r="D11" s="5" t="s">
        <v>157</v>
      </c>
      <c r="E11" s="5" t="s">
        <v>1885</v>
      </c>
      <c r="F11" s="58">
        <v>357142.86</v>
      </c>
      <c r="G11" s="5" t="s">
        <v>1361</v>
      </c>
      <c r="H11" s="5" t="s">
        <v>993</v>
      </c>
      <c r="I11" s="60">
        <v>1</v>
      </c>
      <c r="J11" s="5" t="s">
        <v>994</v>
      </c>
      <c r="K11" s="5" t="s">
        <v>995</v>
      </c>
      <c r="L11" s="5" t="s">
        <v>996</v>
      </c>
      <c r="M11" s="5">
        <v>4</v>
      </c>
      <c r="N11" s="5" t="str">
        <f t="shared" si="0"/>
        <v>Apr</v>
      </c>
      <c r="Q11">
        <v>9</v>
      </c>
      <c r="R11" t="s">
        <v>838</v>
      </c>
    </row>
    <row r="12" spans="1:18" x14ac:dyDescent="0.35">
      <c r="A12" s="5" t="s">
        <v>2159</v>
      </c>
      <c r="B12" s="5" t="s">
        <v>989</v>
      </c>
      <c r="C12" s="5" t="s">
        <v>990</v>
      </c>
      <c r="D12" s="5" t="s">
        <v>161</v>
      </c>
      <c r="E12" s="5" t="s">
        <v>991</v>
      </c>
      <c r="F12" s="58">
        <v>1473910.74</v>
      </c>
      <c r="G12" s="5" t="s">
        <v>992</v>
      </c>
      <c r="H12" s="5" t="s">
        <v>993</v>
      </c>
      <c r="I12" s="59">
        <v>0.4</v>
      </c>
      <c r="J12" s="5" t="s">
        <v>994</v>
      </c>
      <c r="K12" s="5" t="s">
        <v>995</v>
      </c>
      <c r="L12" s="5" t="s">
        <v>996</v>
      </c>
      <c r="M12" s="5">
        <v>2</v>
      </c>
      <c r="N12" s="5" t="str">
        <f t="shared" si="0"/>
        <v>Feb</v>
      </c>
      <c r="Q12">
        <v>10</v>
      </c>
      <c r="R12" t="s">
        <v>839</v>
      </c>
    </row>
    <row r="13" spans="1:18" x14ac:dyDescent="0.35">
      <c r="A13" s="5" t="s">
        <v>2159</v>
      </c>
      <c r="B13" s="5" t="s">
        <v>989</v>
      </c>
      <c r="C13" s="5" t="s">
        <v>990</v>
      </c>
      <c r="D13" s="5" t="s">
        <v>164</v>
      </c>
      <c r="E13" s="5" t="s">
        <v>997</v>
      </c>
      <c r="F13" s="58">
        <v>499123.19</v>
      </c>
      <c r="G13" s="5" t="s">
        <v>998</v>
      </c>
      <c r="H13" s="5" t="s">
        <v>993</v>
      </c>
      <c r="I13" s="60">
        <v>1</v>
      </c>
      <c r="J13" s="5" t="s">
        <v>994</v>
      </c>
      <c r="K13" s="5" t="s">
        <v>995</v>
      </c>
      <c r="L13" s="5" t="s">
        <v>996</v>
      </c>
      <c r="M13" s="5">
        <v>3</v>
      </c>
      <c r="N13" s="5" t="str">
        <f t="shared" si="0"/>
        <v>Mar</v>
      </c>
      <c r="Q13">
        <v>11</v>
      </c>
      <c r="R13" t="s">
        <v>840</v>
      </c>
    </row>
    <row r="14" spans="1:18" x14ac:dyDescent="0.35">
      <c r="A14" s="5" t="s">
        <v>2160</v>
      </c>
      <c r="B14" s="5" t="s">
        <v>632</v>
      </c>
      <c r="C14" s="5" t="s">
        <v>990</v>
      </c>
      <c r="D14" s="5" t="s">
        <v>993</v>
      </c>
      <c r="E14" s="5" t="s">
        <v>2862</v>
      </c>
      <c r="F14" s="58">
        <v>133836.89000000001</v>
      </c>
      <c r="G14" s="5" t="s">
        <v>993</v>
      </c>
      <c r="H14" s="5" t="s">
        <v>993</v>
      </c>
      <c r="I14" s="59">
        <v>0</v>
      </c>
      <c r="J14" s="5" t="s">
        <v>994</v>
      </c>
      <c r="K14" s="5" t="s">
        <v>2863</v>
      </c>
      <c r="L14" s="5" t="s">
        <v>2864</v>
      </c>
      <c r="M14" s="5">
        <v>7</v>
      </c>
      <c r="N14" s="5" t="str">
        <f t="shared" si="0"/>
        <v>Jul</v>
      </c>
      <c r="Q14">
        <v>12</v>
      </c>
      <c r="R14" t="s">
        <v>841</v>
      </c>
    </row>
    <row r="15" spans="1:18" x14ac:dyDescent="0.35">
      <c r="A15" s="5" t="s">
        <v>2160</v>
      </c>
      <c r="B15" s="5" t="s">
        <v>632</v>
      </c>
      <c r="C15" s="5" t="s">
        <v>990</v>
      </c>
      <c r="D15" s="5" t="s">
        <v>993</v>
      </c>
      <c r="E15" s="5" t="s">
        <v>2862</v>
      </c>
      <c r="F15" s="58">
        <v>54098.31</v>
      </c>
      <c r="G15" s="5" t="s">
        <v>993</v>
      </c>
      <c r="H15" s="5" t="s">
        <v>993</v>
      </c>
      <c r="I15" s="59">
        <v>0</v>
      </c>
      <c r="J15" s="5" t="s">
        <v>994</v>
      </c>
      <c r="K15" s="5" t="s">
        <v>2863</v>
      </c>
      <c r="L15" s="5" t="s">
        <v>2864</v>
      </c>
      <c r="M15" s="5">
        <v>7</v>
      </c>
      <c r="N15" s="5" t="str">
        <f t="shared" si="0"/>
        <v>Jul</v>
      </c>
    </row>
    <row r="16" spans="1:18" x14ac:dyDescent="0.35">
      <c r="A16" s="5" t="s">
        <v>2160</v>
      </c>
      <c r="B16" s="5" t="s">
        <v>632</v>
      </c>
      <c r="C16" s="5" t="s">
        <v>990</v>
      </c>
      <c r="D16" s="5" t="s">
        <v>993</v>
      </c>
      <c r="E16" s="5" t="s">
        <v>2862</v>
      </c>
      <c r="F16" s="58">
        <v>62859.59</v>
      </c>
      <c r="G16" s="5" t="s">
        <v>993</v>
      </c>
      <c r="H16" s="5" t="s">
        <v>993</v>
      </c>
      <c r="I16" s="59">
        <v>0</v>
      </c>
      <c r="J16" s="5" t="s">
        <v>994</v>
      </c>
      <c r="K16" s="5" t="s">
        <v>2863</v>
      </c>
      <c r="L16" s="5" t="s">
        <v>2864</v>
      </c>
      <c r="M16" s="5">
        <v>7</v>
      </c>
      <c r="N16" s="5" t="str">
        <f t="shared" si="0"/>
        <v>Jul</v>
      </c>
    </row>
    <row r="17" spans="1:14" x14ac:dyDescent="0.35">
      <c r="A17" s="5" t="s">
        <v>2160</v>
      </c>
      <c r="B17" s="5" t="s">
        <v>632</v>
      </c>
      <c r="C17" s="5" t="s">
        <v>990</v>
      </c>
      <c r="D17" s="5" t="s">
        <v>993</v>
      </c>
      <c r="E17" s="5" t="s">
        <v>2862</v>
      </c>
      <c r="F17" s="58">
        <v>111291.66</v>
      </c>
      <c r="G17" s="5" t="s">
        <v>993</v>
      </c>
      <c r="H17" s="5" t="s">
        <v>993</v>
      </c>
      <c r="I17" s="59">
        <v>0</v>
      </c>
      <c r="J17" s="5" t="s">
        <v>994</v>
      </c>
      <c r="K17" s="5" t="s">
        <v>2863</v>
      </c>
      <c r="L17" s="5" t="s">
        <v>2864</v>
      </c>
      <c r="M17" s="5">
        <v>7</v>
      </c>
      <c r="N17" s="5" t="str">
        <f t="shared" si="0"/>
        <v>Jul</v>
      </c>
    </row>
    <row r="18" spans="1:14" x14ac:dyDescent="0.35">
      <c r="A18" s="5" t="s">
        <v>2160</v>
      </c>
      <c r="B18" s="5" t="s">
        <v>632</v>
      </c>
      <c r="C18" s="5" t="s">
        <v>990</v>
      </c>
      <c r="D18" s="5" t="s">
        <v>993</v>
      </c>
      <c r="E18" s="5" t="s">
        <v>2862</v>
      </c>
      <c r="F18" s="58">
        <v>73621.39</v>
      </c>
      <c r="G18" s="5" t="s">
        <v>993</v>
      </c>
      <c r="H18" s="5" t="s">
        <v>993</v>
      </c>
      <c r="I18" s="59">
        <v>0</v>
      </c>
      <c r="J18" s="5" t="s">
        <v>994</v>
      </c>
      <c r="K18" s="5" t="s">
        <v>2863</v>
      </c>
      <c r="L18" s="5" t="s">
        <v>2864</v>
      </c>
      <c r="M18" s="5">
        <v>7</v>
      </c>
      <c r="N18" s="5" t="str">
        <f t="shared" si="0"/>
        <v>Jul</v>
      </c>
    </row>
    <row r="19" spans="1:14" x14ac:dyDescent="0.35">
      <c r="A19" s="5" t="s">
        <v>2160</v>
      </c>
      <c r="B19" s="5" t="s">
        <v>632</v>
      </c>
      <c r="C19" s="5" t="s">
        <v>990</v>
      </c>
      <c r="D19" s="5" t="s">
        <v>993</v>
      </c>
      <c r="E19" s="5" t="s">
        <v>2862</v>
      </c>
      <c r="F19" s="58">
        <v>98179.7</v>
      </c>
      <c r="G19" s="5" t="s">
        <v>993</v>
      </c>
      <c r="H19" s="5" t="s">
        <v>993</v>
      </c>
      <c r="I19" s="59">
        <v>0</v>
      </c>
      <c r="J19" s="5" t="s">
        <v>994</v>
      </c>
      <c r="K19" s="5" t="s">
        <v>2863</v>
      </c>
      <c r="L19" s="5" t="s">
        <v>2864</v>
      </c>
      <c r="M19" s="5">
        <v>7</v>
      </c>
      <c r="N19" s="5" t="str">
        <f t="shared" si="0"/>
        <v>Jul</v>
      </c>
    </row>
    <row r="20" spans="1:14" x14ac:dyDescent="0.35">
      <c r="A20" s="5" t="s">
        <v>2160</v>
      </c>
      <c r="B20" s="5" t="s">
        <v>632</v>
      </c>
      <c r="C20" s="5" t="s">
        <v>990</v>
      </c>
      <c r="D20" s="5" t="s">
        <v>993</v>
      </c>
      <c r="E20" s="5" t="s">
        <v>2862</v>
      </c>
      <c r="F20" s="58">
        <v>51090.77</v>
      </c>
      <c r="G20" s="5" t="s">
        <v>993</v>
      </c>
      <c r="H20" s="5" t="s">
        <v>993</v>
      </c>
      <c r="I20" s="59">
        <v>0</v>
      </c>
      <c r="J20" s="5" t="s">
        <v>994</v>
      </c>
      <c r="K20" s="5" t="s">
        <v>2863</v>
      </c>
      <c r="L20" s="5" t="s">
        <v>2864</v>
      </c>
      <c r="M20" s="5">
        <v>7</v>
      </c>
      <c r="N20" s="5" t="str">
        <f t="shared" si="0"/>
        <v>Jul</v>
      </c>
    </row>
    <row r="21" spans="1:14" x14ac:dyDescent="0.35">
      <c r="A21" s="5" t="s">
        <v>2160</v>
      </c>
      <c r="B21" s="5" t="s">
        <v>632</v>
      </c>
      <c r="C21" s="5" t="s">
        <v>990</v>
      </c>
      <c r="D21" s="5" t="s">
        <v>999</v>
      </c>
      <c r="E21" s="5" t="s">
        <v>1888</v>
      </c>
      <c r="F21" s="58">
        <v>1134821.43</v>
      </c>
      <c r="G21" s="5" t="s">
        <v>1001</v>
      </c>
      <c r="H21" s="5" t="s">
        <v>993</v>
      </c>
      <c r="I21" s="59">
        <v>0.31</v>
      </c>
      <c r="J21" s="5" t="s">
        <v>994</v>
      </c>
      <c r="K21" s="5" t="s">
        <v>995</v>
      </c>
      <c r="L21" s="5" t="s">
        <v>996</v>
      </c>
      <c r="M21" s="5">
        <v>4</v>
      </c>
      <c r="N21" s="5" t="str">
        <f t="shared" si="0"/>
        <v>Apr</v>
      </c>
    </row>
    <row r="22" spans="1:14" x14ac:dyDescent="0.35">
      <c r="A22" s="5" t="s">
        <v>2160</v>
      </c>
      <c r="B22" s="5" t="s">
        <v>632</v>
      </c>
      <c r="C22" s="5" t="s">
        <v>990</v>
      </c>
      <c r="D22" s="5" t="s">
        <v>999</v>
      </c>
      <c r="E22" s="5" t="s">
        <v>1000</v>
      </c>
      <c r="F22" s="58">
        <v>2233035.7200000002</v>
      </c>
      <c r="G22" s="5" t="s">
        <v>1001</v>
      </c>
      <c r="H22" s="5" t="s">
        <v>993</v>
      </c>
      <c r="I22" s="59">
        <v>0.61</v>
      </c>
      <c r="J22" s="5" t="s">
        <v>994</v>
      </c>
      <c r="K22" s="5" t="s">
        <v>995</v>
      </c>
      <c r="L22" s="5" t="s">
        <v>996</v>
      </c>
      <c r="M22" s="5">
        <v>3</v>
      </c>
      <c r="N22" s="5" t="str">
        <f t="shared" si="0"/>
        <v>Mar</v>
      </c>
    </row>
    <row r="23" spans="1:14" x14ac:dyDescent="0.35">
      <c r="A23" s="5" t="s">
        <v>2160</v>
      </c>
      <c r="B23" s="5" t="s">
        <v>632</v>
      </c>
      <c r="C23" s="5" t="s">
        <v>990</v>
      </c>
      <c r="D23" s="5" t="s">
        <v>2865</v>
      </c>
      <c r="E23" s="5" t="s">
        <v>2866</v>
      </c>
      <c r="F23" s="58">
        <v>7875</v>
      </c>
      <c r="G23" s="5" t="s">
        <v>2674</v>
      </c>
      <c r="H23" s="5" t="s">
        <v>993</v>
      </c>
      <c r="I23" s="60">
        <v>9</v>
      </c>
      <c r="J23" s="5" t="s">
        <v>994</v>
      </c>
      <c r="K23" s="5" t="s">
        <v>995</v>
      </c>
      <c r="L23" s="5" t="s">
        <v>996</v>
      </c>
      <c r="M23" s="5">
        <v>8</v>
      </c>
      <c r="N23" s="5" t="str">
        <f t="shared" si="0"/>
        <v>Aug</v>
      </c>
    </row>
    <row r="24" spans="1:14" x14ac:dyDescent="0.35">
      <c r="A24" s="5" t="s">
        <v>2160</v>
      </c>
      <c r="B24" s="5" t="s">
        <v>632</v>
      </c>
      <c r="C24" s="5" t="s">
        <v>990</v>
      </c>
      <c r="D24" s="5" t="s">
        <v>999</v>
      </c>
      <c r="E24" s="5" t="s">
        <v>1886</v>
      </c>
      <c r="F24" s="58">
        <v>-2233035.7200000002</v>
      </c>
      <c r="G24" s="5" t="s">
        <v>1001</v>
      </c>
      <c r="H24" s="5" t="s">
        <v>993</v>
      </c>
      <c r="I24" s="59">
        <v>-0.61</v>
      </c>
      <c r="J24" s="5" t="s">
        <v>994</v>
      </c>
      <c r="K24" s="5" t="s">
        <v>995</v>
      </c>
      <c r="L24" s="5" t="s">
        <v>996</v>
      </c>
      <c r="M24" s="5">
        <v>4</v>
      </c>
      <c r="N24" s="5" t="str">
        <f t="shared" si="0"/>
        <v>Apr</v>
      </c>
    </row>
    <row r="25" spans="1:14" x14ac:dyDescent="0.35">
      <c r="A25" s="5" t="s">
        <v>2160</v>
      </c>
      <c r="B25" s="5" t="s">
        <v>632</v>
      </c>
      <c r="C25" s="5" t="s">
        <v>990</v>
      </c>
      <c r="D25" s="5" t="s">
        <v>999</v>
      </c>
      <c r="E25" s="5" t="s">
        <v>1887</v>
      </c>
      <c r="F25" s="58">
        <v>2525892.86</v>
      </c>
      <c r="G25" s="5" t="s">
        <v>1001</v>
      </c>
      <c r="H25" s="5" t="s">
        <v>993</v>
      </c>
      <c r="I25" s="59">
        <v>0.69</v>
      </c>
      <c r="J25" s="5" t="s">
        <v>994</v>
      </c>
      <c r="K25" s="5" t="s">
        <v>995</v>
      </c>
      <c r="L25" s="5" t="s">
        <v>996</v>
      </c>
      <c r="M25" s="5">
        <v>4</v>
      </c>
      <c r="N25" s="5" t="str">
        <f t="shared" si="0"/>
        <v>Apr</v>
      </c>
    </row>
    <row r="26" spans="1:14" x14ac:dyDescent="0.35">
      <c r="A26" s="5" t="s">
        <v>2161</v>
      </c>
      <c r="B26" s="5" t="s">
        <v>1002</v>
      </c>
      <c r="C26" s="5" t="s">
        <v>990</v>
      </c>
      <c r="D26" s="5" t="s">
        <v>1012</v>
      </c>
      <c r="E26" s="5" t="s">
        <v>1013</v>
      </c>
      <c r="F26" s="58">
        <v>464285.71</v>
      </c>
      <c r="G26" s="5" t="s">
        <v>1014</v>
      </c>
      <c r="H26" s="5" t="s">
        <v>993</v>
      </c>
      <c r="I26" s="60">
        <v>1</v>
      </c>
      <c r="J26" s="5" t="s">
        <v>994</v>
      </c>
      <c r="K26" s="5" t="s">
        <v>995</v>
      </c>
      <c r="L26" s="5" t="s">
        <v>996</v>
      </c>
      <c r="M26" s="5">
        <v>3</v>
      </c>
      <c r="N26" s="5" t="str">
        <f t="shared" si="0"/>
        <v>Mar</v>
      </c>
    </row>
    <row r="27" spans="1:14" x14ac:dyDescent="0.35">
      <c r="A27" s="5" t="s">
        <v>2161</v>
      </c>
      <c r="B27" s="5" t="s">
        <v>1002</v>
      </c>
      <c r="C27" s="5" t="s">
        <v>990</v>
      </c>
      <c r="D27" s="5" t="s">
        <v>993</v>
      </c>
      <c r="E27" s="5" t="s">
        <v>1008</v>
      </c>
      <c r="F27" s="58">
        <v>-197321.43</v>
      </c>
      <c r="G27" s="5" t="s">
        <v>993</v>
      </c>
      <c r="H27" s="5" t="s">
        <v>993</v>
      </c>
      <c r="I27" s="59">
        <v>0</v>
      </c>
      <c r="J27" s="5" t="s">
        <v>994</v>
      </c>
      <c r="K27" s="5" t="s">
        <v>1009</v>
      </c>
      <c r="L27" s="5" t="s">
        <v>1010</v>
      </c>
      <c r="M27" s="5">
        <v>2</v>
      </c>
      <c r="N27" s="5" t="str">
        <f t="shared" si="0"/>
        <v>Feb</v>
      </c>
    </row>
    <row r="28" spans="1:14" x14ac:dyDescent="0.35">
      <c r="A28" s="5" t="s">
        <v>2161</v>
      </c>
      <c r="B28" s="5" t="s">
        <v>1002</v>
      </c>
      <c r="C28" s="5" t="s">
        <v>990</v>
      </c>
      <c r="D28" s="5" t="s">
        <v>1003</v>
      </c>
      <c r="E28" s="5" t="s">
        <v>1004</v>
      </c>
      <c r="F28" s="58">
        <v>169696.43</v>
      </c>
      <c r="G28" s="5" t="s">
        <v>1005</v>
      </c>
      <c r="H28" s="5" t="s">
        <v>993</v>
      </c>
      <c r="I28" s="59">
        <v>0.86</v>
      </c>
      <c r="J28" s="5" t="s">
        <v>994</v>
      </c>
      <c r="K28" s="5" t="s">
        <v>995</v>
      </c>
      <c r="L28" s="5" t="s">
        <v>996</v>
      </c>
      <c r="M28" s="5">
        <v>1</v>
      </c>
      <c r="N28" s="5" t="str">
        <f t="shared" si="0"/>
        <v>Jan</v>
      </c>
    </row>
    <row r="29" spans="1:14" x14ac:dyDescent="0.35">
      <c r="A29" s="5" t="s">
        <v>2161</v>
      </c>
      <c r="B29" s="5" t="s">
        <v>1002</v>
      </c>
      <c r="C29" s="5" t="s">
        <v>990</v>
      </c>
      <c r="D29" s="5" t="s">
        <v>1003</v>
      </c>
      <c r="E29" s="5" t="s">
        <v>1006</v>
      </c>
      <c r="F29" s="58">
        <v>-169696.43</v>
      </c>
      <c r="G29" s="5" t="s">
        <v>1005</v>
      </c>
      <c r="H29" s="5" t="s">
        <v>993</v>
      </c>
      <c r="I29" s="59">
        <v>-0.86</v>
      </c>
      <c r="J29" s="5" t="s">
        <v>994</v>
      </c>
      <c r="K29" s="5" t="s">
        <v>995</v>
      </c>
      <c r="L29" s="5" t="s">
        <v>996</v>
      </c>
      <c r="M29" s="5">
        <v>2</v>
      </c>
      <c r="N29" s="5" t="str">
        <f t="shared" si="0"/>
        <v>Feb</v>
      </c>
    </row>
    <row r="30" spans="1:14" x14ac:dyDescent="0.35">
      <c r="A30" s="5" t="s">
        <v>2161</v>
      </c>
      <c r="B30" s="5" t="s">
        <v>1002</v>
      </c>
      <c r="C30" s="5" t="s">
        <v>990</v>
      </c>
      <c r="D30" s="5" t="s">
        <v>1003</v>
      </c>
      <c r="E30" s="5" t="s">
        <v>1007</v>
      </c>
      <c r="F30" s="58">
        <v>-26785.72</v>
      </c>
      <c r="G30" s="5" t="s">
        <v>1005</v>
      </c>
      <c r="H30" s="5" t="s">
        <v>1003</v>
      </c>
      <c r="I30" s="60">
        <v>0</v>
      </c>
      <c r="J30" s="5" t="s">
        <v>994</v>
      </c>
      <c r="K30" s="5" t="s">
        <v>995</v>
      </c>
      <c r="L30" s="5" t="s">
        <v>996</v>
      </c>
      <c r="M30" s="5">
        <v>2</v>
      </c>
      <c r="N30" s="5" t="str">
        <f t="shared" si="0"/>
        <v>Feb</v>
      </c>
    </row>
    <row r="31" spans="1:14" x14ac:dyDescent="0.35">
      <c r="A31" s="5" t="s">
        <v>2161</v>
      </c>
      <c r="B31" s="5" t="s">
        <v>1002</v>
      </c>
      <c r="C31" s="5" t="s">
        <v>990</v>
      </c>
      <c r="D31" s="5" t="s">
        <v>1003</v>
      </c>
      <c r="E31" s="5" t="s">
        <v>1011</v>
      </c>
      <c r="F31" s="58">
        <v>197321.43</v>
      </c>
      <c r="G31" s="5" t="s">
        <v>1005</v>
      </c>
      <c r="H31" s="5" t="s">
        <v>993</v>
      </c>
      <c r="I31" s="60">
        <v>1</v>
      </c>
      <c r="J31" s="5" t="s">
        <v>994</v>
      </c>
      <c r="K31" s="5" t="s">
        <v>995</v>
      </c>
      <c r="L31" s="5" t="s">
        <v>996</v>
      </c>
      <c r="M31" s="5">
        <v>2</v>
      </c>
      <c r="N31" s="5" t="str">
        <f t="shared" si="0"/>
        <v>Feb</v>
      </c>
    </row>
    <row r="32" spans="1:14" x14ac:dyDescent="0.35">
      <c r="A32" s="5" t="s">
        <v>2602</v>
      </c>
      <c r="B32" s="5" t="s">
        <v>120</v>
      </c>
      <c r="C32" s="5" t="s">
        <v>990</v>
      </c>
      <c r="D32" s="5" t="s">
        <v>993</v>
      </c>
      <c r="E32" s="5" t="s">
        <v>2603</v>
      </c>
      <c r="F32" s="58">
        <v>-0.01</v>
      </c>
      <c r="G32" s="5" t="s">
        <v>993</v>
      </c>
      <c r="H32" s="5" t="s">
        <v>2604</v>
      </c>
      <c r="I32" s="59">
        <v>0</v>
      </c>
      <c r="J32" s="5" t="s">
        <v>1019</v>
      </c>
      <c r="K32" s="5" t="s">
        <v>1462</v>
      </c>
      <c r="L32" s="5" t="s">
        <v>2605</v>
      </c>
      <c r="M32" s="5">
        <v>6</v>
      </c>
      <c r="N32" s="5" t="str">
        <f t="shared" si="0"/>
        <v>Jun</v>
      </c>
    </row>
    <row r="33" spans="1:14" x14ac:dyDescent="0.35">
      <c r="A33" s="5" t="s">
        <v>2162</v>
      </c>
      <c r="B33" s="5" t="s">
        <v>1015</v>
      </c>
      <c r="C33" s="5" t="s">
        <v>990</v>
      </c>
      <c r="D33" s="5" t="s">
        <v>164</v>
      </c>
      <c r="E33" s="5" t="s">
        <v>1016</v>
      </c>
      <c r="F33" s="58">
        <v>3161591.1</v>
      </c>
      <c r="G33" s="5" t="s">
        <v>1017</v>
      </c>
      <c r="H33" s="5" t="s">
        <v>993</v>
      </c>
      <c r="I33" s="60">
        <v>1</v>
      </c>
      <c r="J33" s="5" t="s">
        <v>994</v>
      </c>
      <c r="K33" s="5" t="s">
        <v>995</v>
      </c>
      <c r="L33" s="5" t="s">
        <v>996</v>
      </c>
      <c r="M33" s="5">
        <v>3</v>
      </c>
      <c r="N33" s="5" t="str">
        <f t="shared" si="0"/>
        <v>Mar</v>
      </c>
    </row>
    <row r="34" spans="1:14" x14ac:dyDescent="0.35">
      <c r="A34" s="5" t="s">
        <v>2163</v>
      </c>
      <c r="B34" s="5" t="s">
        <v>167</v>
      </c>
      <c r="C34" s="5" t="s">
        <v>990</v>
      </c>
      <c r="D34" s="5" t="s">
        <v>1439</v>
      </c>
      <c r="E34" s="5" t="s">
        <v>1903</v>
      </c>
      <c r="F34" s="58">
        <v>42410.71</v>
      </c>
      <c r="G34" s="5" t="s">
        <v>1407</v>
      </c>
      <c r="H34" s="5" t="s">
        <v>1902</v>
      </c>
      <c r="I34" s="60">
        <v>1</v>
      </c>
      <c r="J34" s="5" t="s">
        <v>994</v>
      </c>
      <c r="K34" s="5" t="s">
        <v>995</v>
      </c>
      <c r="L34" s="5" t="s">
        <v>996</v>
      </c>
      <c r="M34" s="5">
        <v>4</v>
      </c>
      <c r="N34" s="5" t="str">
        <f t="shared" si="0"/>
        <v>Apr</v>
      </c>
    </row>
    <row r="35" spans="1:14" x14ac:dyDescent="0.35">
      <c r="A35" s="5" t="s">
        <v>2163</v>
      </c>
      <c r="B35" s="5" t="s">
        <v>167</v>
      </c>
      <c r="C35" s="5" t="s">
        <v>990</v>
      </c>
      <c r="D35" s="5" t="s">
        <v>1439</v>
      </c>
      <c r="E35" s="5" t="s">
        <v>1901</v>
      </c>
      <c r="F35" s="58">
        <v>55803.57</v>
      </c>
      <c r="G35" s="5" t="s">
        <v>1407</v>
      </c>
      <c r="H35" s="5" t="s">
        <v>1902</v>
      </c>
      <c r="I35" s="60">
        <v>1</v>
      </c>
      <c r="J35" s="5" t="s">
        <v>994</v>
      </c>
      <c r="K35" s="5" t="s">
        <v>995</v>
      </c>
      <c r="L35" s="5" t="s">
        <v>996</v>
      </c>
      <c r="M35" s="5">
        <v>4</v>
      </c>
      <c r="N35" s="5" t="str">
        <f t="shared" si="0"/>
        <v>Apr</v>
      </c>
    </row>
    <row r="36" spans="1:14" x14ac:dyDescent="0.35">
      <c r="A36" s="5" t="s">
        <v>2163</v>
      </c>
      <c r="B36" s="5" t="s">
        <v>167</v>
      </c>
      <c r="C36" s="5" t="s">
        <v>990</v>
      </c>
      <c r="D36" s="5" t="s">
        <v>1033</v>
      </c>
      <c r="E36" s="5" t="s">
        <v>1122</v>
      </c>
      <c r="F36" s="58">
        <v>0.01</v>
      </c>
      <c r="G36" s="5" t="s">
        <v>1115</v>
      </c>
      <c r="H36" s="5" t="s">
        <v>1033</v>
      </c>
      <c r="I36" s="60">
        <v>0</v>
      </c>
      <c r="J36" s="5" t="s">
        <v>1019</v>
      </c>
      <c r="K36" s="5" t="s">
        <v>1103</v>
      </c>
      <c r="L36" s="5" t="s">
        <v>1104</v>
      </c>
      <c r="M36" s="5">
        <v>3</v>
      </c>
      <c r="N36" s="5" t="str">
        <f t="shared" si="0"/>
        <v>Mar</v>
      </c>
    </row>
    <row r="37" spans="1:14" x14ac:dyDescent="0.35">
      <c r="A37" s="5" t="s">
        <v>2163</v>
      </c>
      <c r="B37" s="5" t="s">
        <v>167</v>
      </c>
      <c r="C37" s="5" t="s">
        <v>990</v>
      </c>
      <c r="D37" s="5" t="s">
        <v>1033</v>
      </c>
      <c r="E37" s="5" t="s">
        <v>1121</v>
      </c>
      <c r="F37" s="58">
        <v>-0.01</v>
      </c>
      <c r="G37" s="5" t="s">
        <v>1115</v>
      </c>
      <c r="H37" s="5" t="s">
        <v>1033</v>
      </c>
      <c r="I37" s="60">
        <v>0</v>
      </c>
      <c r="J37" s="5" t="s">
        <v>1019</v>
      </c>
      <c r="K37" s="5" t="s">
        <v>1103</v>
      </c>
      <c r="L37" s="5" t="s">
        <v>1104</v>
      </c>
      <c r="M37" s="5">
        <v>3</v>
      </c>
      <c r="N37" s="5" t="str">
        <f t="shared" si="0"/>
        <v>Mar</v>
      </c>
    </row>
    <row r="38" spans="1:14" x14ac:dyDescent="0.35">
      <c r="A38" s="5" t="s">
        <v>2163</v>
      </c>
      <c r="B38" s="5" t="s">
        <v>167</v>
      </c>
      <c r="C38" s="5" t="s">
        <v>990</v>
      </c>
      <c r="D38" s="5" t="s">
        <v>2675</v>
      </c>
      <c r="E38" s="5" t="s">
        <v>2867</v>
      </c>
      <c r="F38" s="58">
        <v>53571.43</v>
      </c>
      <c r="G38" s="5" t="s">
        <v>2495</v>
      </c>
      <c r="H38" s="5" t="s">
        <v>1028</v>
      </c>
      <c r="I38" s="60">
        <v>1</v>
      </c>
      <c r="J38" s="5" t="s">
        <v>994</v>
      </c>
      <c r="K38" s="5" t="s">
        <v>995</v>
      </c>
      <c r="L38" s="5" t="s">
        <v>996</v>
      </c>
      <c r="M38" s="5">
        <v>7</v>
      </c>
      <c r="N38" s="5" t="str">
        <f t="shared" si="0"/>
        <v>Jul</v>
      </c>
    </row>
    <row r="39" spans="1:14" x14ac:dyDescent="0.35">
      <c r="A39" s="5" t="s">
        <v>2163</v>
      </c>
      <c r="B39" s="5" t="s">
        <v>167</v>
      </c>
      <c r="C39" s="5" t="s">
        <v>990</v>
      </c>
      <c r="D39" s="5" t="s">
        <v>1439</v>
      </c>
      <c r="E39" s="5" t="s">
        <v>2079</v>
      </c>
      <c r="F39" s="58">
        <v>0.01</v>
      </c>
      <c r="G39" s="5" t="s">
        <v>1407</v>
      </c>
      <c r="H39" s="5" t="s">
        <v>1439</v>
      </c>
      <c r="I39" s="60">
        <v>0</v>
      </c>
      <c r="J39" s="5" t="s">
        <v>1019</v>
      </c>
      <c r="K39" s="5" t="s">
        <v>1440</v>
      </c>
      <c r="L39" s="5" t="s">
        <v>2080</v>
      </c>
      <c r="M39" s="5">
        <v>4</v>
      </c>
      <c r="N39" s="5" t="str">
        <f t="shared" si="0"/>
        <v>Apr</v>
      </c>
    </row>
    <row r="40" spans="1:14" x14ac:dyDescent="0.35">
      <c r="A40" s="5" t="s">
        <v>2163</v>
      </c>
      <c r="B40" s="5" t="s">
        <v>167</v>
      </c>
      <c r="C40" s="5" t="s">
        <v>990</v>
      </c>
      <c r="D40" s="5" t="s">
        <v>1033</v>
      </c>
      <c r="E40" s="5" t="s">
        <v>1120</v>
      </c>
      <c r="F40" s="58">
        <v>0.01</v>
      </c>
      <c r="G40" s="5" t="s">
        <v>1115</v>
      </c>
      <c r="H40" s="5" t="s">
        <v>1033</v>
      </c>
      <c r="I40" s="60">
        <v>0</v>
      </c>
      <c r="J40" s="5" t="s">
        <v>1019</v>
      </c>
      <c r="K40" s="5" t="s">
        <v>1103</v>
      </c>
      <c r="L40" s="5" t="s">
        <v>1104</v>
      </c>
      <c r="M40" s="5">
        <v>3</v>
      </c>
      <c r="N40" s="5" t="str">
        <f t="shared" si="0"/>
        <v>Mar</v>
      </c>
    </row>
    <row r="41" spans="1:14" x14ac:dyDescent="0.35">
      <c r="A41" s="5" t="s">
        <v>2163</v>
      </c>
      <c r="B41" s="5" t="s">
        <v>167</v>
      </c>
      <c r="C41" s="5" t="s">
        <v>990</v>
      </c>
      <c r="D41" s="5" t="s">
        <v>1033</v>
      </c>
      <c r="E41" s="5" t="s">
        <v>1119</v>
      </c>
      <c r="F41" s="58">
        <v>-0.01</v>
      </c>
      <c r="G41" s="5" t="s">
        <v>1115</v>
      </c>
      <c r="H41" s="5" t="s">
        <v>1033</v>
      </c>
      <c r="I41" s="60">
        <v>0</v>
      </c>
      <c r="J41" s="5" t="s">
        <v>1019</v>
      </c>
      <c r="K41" s="5" t="s">
        <v>1103</v>
      </c>
      <c r="L41" s="5" t="s">
        <v>1104</v>
      </c>
      <c r="M41" s="5">
        <v>3</v>
      </c>
      <c r="N41" s="5" t="str">
        <f t="shared" si="0"/>
        <v>Mar</v>
      </c>
    </row>
    <row r="42" spans="1:14" x14ac:dyDescent="0.35">
      <c r="A42" s="5" t="s">
        <v>2163</v>
      </c>
      <c r="B42" s="5" t="s">
        <v>167</v>
      </c>
      <c r="C42" s="5" t="s">
        <v>990</v>
      </c>
      <c r="D42" s="5" t="s">
        <v>1025</v>
      </c>
      <c r="E42" s="5" t="s">
        <v>1100</v>
      </c>
      <c r="F42" s="58">
        <v>297953.57</v>
      </c>
      <c r="G42" s="5" t="s">
        <v>1101</v>
      </c>
      <c r="H42" s="5" t="s">
        <v>1028</v>
      </c>
      <c r="I42" s="60">
        <v>1</v>
      </c>
      <c r="J42" s="5" t="s">
        <v>994</v>
      </c>
      <c r="K42" s="5" t="s">
        <v>995</v>
      </c>
      <c r="L42" s="5" t="s">
        <v>996</v>
      </c>
      <c r="M42" s="5">
        <v>2</v>
      </c>
      <c r="N42" s="5" t="str">
        <f t="shared" si="0"/>
        <v>Feb</v>
      </c>
    </row>
    <row r="43" spans="1:14" x14ac:dyDescent="0.35">
      <c r="A43" s="5" t="s">
        <v>2163</v>
      </c>
      <c r="B43" s="5" t="s">
        <v>167</v>
      </c>
      <c r="C43" s="5" t="s">
        <v>990</v>
      </c>
      <c r="D43" s="5" t="s">
        <v>1033</v>
      </c>
      <c r="E43" s="5" t="s">
        <v>3108</v>
      </c>
      <c r="F43" s="58">
        <v>12964.72</v>
      </c>
      <c r="G43" s="5" t="s">
        <v>1111</v>
      </c>
      <c r="H43" s="5" t="s">
        <v>3105</v>
      </c>
      <c r="I43" s="60">
        <v>2</v>
      </c>
      <c r="J43" s="5" t="s">
        <v>994</v>
      </c>
      <c r="K43" s="5" t="s">
        <v>995</v>
      </c>
      <c r="L43" s="5" t="s">
        <v>996</v>
      </c>
      <c r="M43" s="5">
        <v>8</v>
      </c>
      <c r="N43" s="5" t="str">
        <f t="shared" si="0"/>
        <v>Aug</v>
      </c>
    </row>
    <row r="44" spans="1:14" x14ac:dyDescent="0.35">
      <c r="A44" s="5" t="s">
        <v>2163</v>
      </c>
      <c r="B44" s="5" t="s">
        <v>167</v>
      </c>
      <c r="C44" s="5" t="s">
        <v>990</v>
      </c>
      <c r="D44" s="5" t="s">
        <v>1033</v>
      </c>
      <c r="E44" s="5" t="s">
        <v>3109</v>
      </c>
      <c r="F44" s="58">
        <v>21774.080000000002</v>
      </c>
      <c r="G44" s="5" t="s">
        <v>1106</v>
      </c>
      <c r="H44" s="5" t="s">
        <v>3105</v>
      </c>
      <c r="I44" s="60">
        <v>2</v>
      </c>
      <c r="J44" s="5" t="s">
        <v>994</v>
      </c>
      <c r="K44" s="5" t="s">
        <v>995</v>
      </c>
      <c r="L44" s="5" t="s">
        <v>996</v>
      </c>
      <c r="M44" s="5">
        <v>8</v>
      </c>
      <c r="N44" s="5" t="str">
        <f t="shared" si="0"/>
        <v>Aug</v>
      </c>
    </row>
    <row r="45" spans="1:14" x14ac:dyDescent="0.35">
      <c r="A45" s="5" t="s">
        <v>2163</v>
      </c>
      <c r="B45" s="5" t="s">
        <v>167</v>
      </c>
      <c r="C45" s="5" t="s">
        <v>990</v>
      </c>
      <c r="D45" s="5" t="s">
        <v>1446</v>
      </c>
      <c r="E45" s="5" t="s">
        <v>3107</v>
      </c>
      <c r="F45" s="58">
        <v>5491.07</v>
      </c>
      <c r="G45" s="5" t="s">
        <v>1427</v>
      </c>
      <c r="H45" s="5" t="s">
        <v>3105</v>
      </c>
      <c r="I45" s="60">
        <v>2</v>
      </c>
      <c r="J45" s="5" t="s">
        <v>994</v>
      </c>
      <c r="K45" s="5" t="s">
        <v>995</v>
      </c>
      <c r="L45" s="5" t="s">
        <v>996</v>
      </c>
      <c r="M45" s="5">
        <v>8</v>
      </c>
      <c r="N45" s="5" t="str">
        <f t="shared" si="0"/>
        <v>Aug</v>
      </c>
    </row>
    <row r="46" spans="1:14" x14ac:dyDescent="0.35">
      <c r="A46" s="5" t="s">
        <v>2163</v>
      </c>
      <c r="B46" s="5" t="s">
        <v>167</v>
      </c>
      <c r="C46" s="5" t="s">
        <v>990</v>
      </c>
      <c r="D46" s="5" t="s">
        <v>1446</v>
      </c>
      <c r="E46" s="5" t="s">
        <v>3106</v>
      </c>
      <c r="F46" s="58">
        <v>8491.07</v>
      </c>
      <c r="G46" s="5" t="s">
        <v>1426</v>
      </c>
      <c r="H46" s="5" t="s">
        <v>3105</v>
      </c>
      <c r="I46" s="60">
        <v>3</v>
      </c>
      <c r="J46" s="5" t="s">
        <v>994</v>
      </c>
      <c r="K46" s="5" t="s">
        <v>995</v>
      </c>
      <c r="L46" s="5" t="s">
        <v>996</v>
      </c>
      <c r="M46" s="5">
        <v>8</v>
      </c>
      <c r="N46" s="5" t="str">
        <f t="shared" si="0"/>
        <v>Aug</v>
      </c>
    </row>
    <row r="47" spans="1:14" x14ac:dyDescent="0.35">
      <c r="A47" s="5" t="s">
        <v>2163</v>
      </c>
      <c r="B47" s="5" t="s">
        <v>167</v>
      </c>
      <c r="C47" s="5" t="s">
        <v>990</v>
      </c>
      <c r="D47" s="5" t="s">
        <v>1446</v>
      </c>
      <c r="E47" s="5" t="s">
        <v>3104</v>
      </c>
      <c r="F47" s="58">
        <v>10125</v>
      </c>
      <c r="G47" s="5" t="s">
        <v>1424</v>
      </c>
      <c r="H47" s="5" t="s">
        <v>3105</v>
      </c>
      <c r="I47" s="60">
        <v>126</v>
      </c>
      <c r="J47" s="5" t="s">
        <v>994</v>
      </c>
      <c r="K47" s="5" t="s">
        <v>995</v>
      </c>
      <c r="L47" s="5" t="s">
        <v>996</v>
      </c>
      <c r="M47" s="5">
        <v>8</v>
      </c>
      <c r="N47" s="5" t="str">
        <f t="shared" si="0"/>
        <v>Aug</v>
      </c>
    </row>
    <row r="48" spans="1:14" x14ac:dyDescent="0.35">
      <c r="A48" s="5" t="s">
        <v>2163</v>
      </c>
      <c r="B48" s="5" t="s">
        <v>167</v>
      </c>
      <c r="C48" s="5" t="s">
        <v>990</v>
      </c>
      <c r="D48" s="5" t="s">
        <v>993</v>
      </c>
      <c r="E48" s="5" t="s">
        <v>1899</v>
      </c>
      <c r="F48" s="58">
        <v>1507573.46</v>
      </c>
      <c r="G48" s="5" t="s">
        <v>993</v>
      </c>
      <c r="H48" s="5" t="s">
        <v>170</v>
      </c>
      <c r="I48" s="59">
        <v>0</v>
      </c>
      <c r="J48" s="5" t="s">
        <v>1019</v>
      </c>
      <c r="K48" s="5" t="s">
        <v>1429</v>
      </c>
      <c r="L48" s="5" t="s">
        <v>1898</v>
      </c>
      <c r="M48" s="5">
        <v>4</v>
      </c>
      <c r="N48" s="5" t="str">
        <f t="shared" si="0"/>
        <v>Apr</v>
      </c>
    </row>
    <row r="49" spans="1:14" x14ac:dyDescent="0.35">
      <c r="A49" s="5" t="s">
        <v>2163</v>
      </c>
      <c r="B49" s="5" t="s">
        <v>167</v>
      </c>
      <c r="C49" s="5" t="s">
        <v>990</v>
      </c>
      <c r="D49" s="5" t="s">
        <v>1441</v>
      </c>
      <c r="E49" s="5" t="s">
        <v>1895</v>
      </c>
      <c r="F49" s="58">
        <v>508928.57</v>
      </c>
      <c r="G49" s="5" t="s">
        <v>1410</v>
      </c>
      <c r="H49" s="5" t="s">
        <v>1896</v>
      </c>
      <c r="I49" s="60">
        <v>1</v>
      </c>
      <c r="J49" s="5" t="s">
        <v>994</v>
      </c>
      <c r="K49" s="5" t="s">
        <v>995</v>
      </c>
      <c r="L49" s="5" t="s">
        <v>996</v>
      </c>
      <c r="M49" s="5">
        <v>4</v>
      </c>
      <c r="N49" s="5" t="str">
        <f t="shared" si="0"/>
        <v>Apr</v>
      </c>
    </row>
    <row r="50" spans="1:14" x14ac:dyDescent="0.35">
      <c r="A50" s="5" t="s">
        <v>2163</v>
      </c>
      <c r="B50" s="5" t="s">
        <v>167</v>
      </c>
      <c r="C50" s="5" t="s">
        <v>990</v>
      </c>
      <c r="D50" s="5" t="s">
        <v>1445</v>
      </c>
      <c r="E50" s="5" t="s">
        <v>1893</v>
      </c>
      <c r="F50" s="58">
        <v>1446428.57</v>
      </c>
      <c r="G50" s="5" t="s">
        <v>1412</v>
      </c>
      <c r="H50" s="5" t="s">
        <v>1894</v>
      </c>
      <c r="I50" s="60">
        <v>1</v>
      </c>
      <c r="J50" s="5" t="s">
        <v>994</v>
      </c>
      <c r="K50" s="5" t="s">
        <v>995</v>
      </c>
      <c r="L50" s="5" t="s">
        <v>996</v>
      </c>
      <c r="M50" s="5">
        <v>4</v>
      </c>
      <c r="N50" s="5" t="str">
        <f t="shared" si="0"/>
        <v>Apr</v>
      </c>
    </row>
    <row r="51" spans="1:14" x14ac:dyDescent="0.35">
      <c r="A51" s="5" t="s">
        <v>2163</v>
      </c>
      <c r="B51" s="5" t="s">
        <v>167</v>
      </c>
      <c r="C51" s="5" t="s">
        <v>990</v>
      </c>
      <c r="D51" s="5" t="s">
        <v>1435</v>
      </c>
      <c r="E51" s="5" t="s">
        <v>1891</v>
      </c>
      <c r="F51" s="58">
        <v>347311.3</v>
      </c>
      <c r="G51" s="5" t="s">
        <v>1436</v>
      </c>
      <c r="H51" s="5" t="s">
        <v>1892</v>
      </c>
      <c r="I51" s="60">
        <v>1</v>
      </c>
      <c r="J51" s="5" t="s">
        <v>994</v>
      </c>
      <c r="K51" s="5" t="s">
        <v>995</v>
      </c>
      <c r="L51" s="5" t="s">
        <v>996</v>
      </c>
      <c r="M51" s="5">
        <v>4</v>
      </c>
      <c r="N51" s="5" t="str">
        <f t="shared" si="0"/>
        <v>Apr</v>
      </c>
    </row>
    <row r="52" spans="1:14" x14ac:dyDescent="0.35">
      <c r="A52" s="5" t="s">
        <v>2163</v>
      </c>
      <c r="B52" s="5" t="s">
        <v>167</v>
      </c>
      <c r="C52" s="5" t="s">
        <v>990</v>
      </c>
      <c r="D52" s="5" t="s">
        <v>170</v>
      </c>
      <c r="E52" s="5" t="s">
        <v>1889</v>
      </c>
      <c r="F52" s="58">
        <v>2501811.2799999998</v>
      </c>
      <c r="G52" s="5" t="s">
        <v>1428</v>
      </c>
      <c r="H52" s="5" t="s">
        <v>1890</v>
      </c>
      <c r="I52" s="59">
        <v>0.115</v>
      </c>
      <c r="J52" s="5" t="s">
        <v>994</v>
      </c>
      <c r="K52" s="5" t="s">
        <v>995</v>
      </c>
      <c r="L52" s="5" t="s">
        <v>996</v>
      </c>
      <c r="M52" s="5">
        <v>4</v>
      </c>
      <c r="N52" s="5" t="str">
        <f t="shared" si="0"/>
        <v>Apr</v>
      </c>
    </row>
    <row r="53" spans="1:14" x14ac:dyDescent="0.35">
      <c r="A53" s="5" t="s">
        <v>2163</v>
      </c>
      <c r="B53" s="5" t="s">
        <v>167</v>
      </c>
      <c r="C53" s="5" t="s">
        <v>990</v>
      </c>
      <c r="D53" s="5" t="s">
        <v>993</v>
      </c>
      <c r="E53" s="5" t="s">
        <v>1900</v>
      </c>
      <c r="F53" s="58">
        <v>-1397102.58</v>
      </c>
      <c r="G53" s="5" t="s">
        <v>993</v>
      </c>
      <c r="H53" s="5" t="s">
        <v>170</v>
      </c>
      <c r="I53" s="59">
        <v>0</v>
      </c>
      <c r="J53" s="5" t="s">
        <v>1019</v>
      </c>
      <c r="K53" s="5" t="s">
        <v>1429</v>
      </c>
      <c r="L53" s="5" t="s">
        <v>1898</v>
      </c>
      <c r="M53" s="5">
        <v>4</v>
      </c>
      <c r="N53" s="5" t="str">
        <f t="shared" si="0"/>
        <v>Apr</v>
      </c>
    </row>
    <row r="54" spans="1:14" x14ac:dyDescent="0.35">
      <c r="A54" s="5" t="s">
        <v>2163</v>
      </c>
      <c r="B54" s="5" t="s">
        <v>167</v>
      </c>
      <c r="C54" s="5" t="s">
        <v>990</v>
      </c>
      <c r="D54" s="5" t="s">
        <v>993</v>
      </c>
      <c r="E54" s="5" t="s">
        <v>1897</v>
      </c>
      <c r="F54" s="58">
        <v>-1507573.46</v>
      </c>
      <c r="G54" s="5" t="s">
        <v>993</v>
      </c>
      <c r="H54" s="5" t="s">
        <v>170</v>
      </c>
      <c r="I54" s="59">
        <v>0</v>
      </c>
      <c r="J54" s="5" t="s">
        <v>1019</v>
      </c>
      <c r="K54" s="5" t="s">
        <v>1429</v>
      </c>
      <c r="L54" s="5" t="s">
        <v>1898</v>
      </c>
      <c r="M54" s="5">
        <v>4</v>
      </c>
      <c r="N54" s="5" t="str">
        <f t="shared" si="0"/>
        <v>Apr</v>
      </c>
    </row>
    <row r="55" spans="1:14" x14ac:dyDescent="0.35">
      <c r="A55" s="5" t="s">
        <v>2163</v>
      </c>
      <c r="B55" s="5" t="s">
        <v>167</v>
      </c>
      <c r="C55" s="5" t="s">
        <v>990</v>
      </c>
      <c r="D55" s="5" t="s">
        <v>1033</v>
      </c>
      <c r="E55" s="5" t="s">
        <v>1118</v>
      </c>
      <c r="F55" s="58">
        <v>0.01</v>
      </c>
      <c r="G55" s="5" t="s">
        <v>1115</v>
      </c>
      <c r="H55" s="5" t="s">
        <v>1033</v>
      </c>
      <c r="I55" s="60">
        <v>0</v>
      </c>
      <c r="J55" s="5" t="s">
        <v>1019</v>
      </c>
      <c r="K55" s="5" t="s">
        <v>1103</v>
      </c>
      <c r="L55" s="5" t="s">
        <v>1104</v>
      </c>
      <c r="M55" s="5">
        <v>3</v>
      </c>
      <c r="N55" s="5" t="str">
        <f t="shared" si="0"/>
        <v>Mar</v>
      </c>
    </row>
    <row r="56" spans="1:14" x14ac:dyDescent="0.35">
      <c r="A56" s="5" t="s">
        <v>2163</v>
      </c>
      <c r="B56" s="5" t="s">
        <v>167</v>
      </c>
      <c r="C56" s="5" t="s">
        <v>990</v>
      </c>
      <c r="D56" s="5" t="s">
        <v>1033</v>
      </c>
      <c r="E56" s="5" t="s">
        <v>1116</v>
      </c>
      <c r="F56" s="58">
        <v>0.01</v>
      </c>
      <c r="G56" s="5" t="s">
        <v>1115</v>
      </c>
      <c r="H56" s="5" t="s">
        <v>1033</v>
      </c>
      <c r="I56" s="60">
        <v>0</v>
      </c>
      <c r="J56" s="5" t="s">
        <v>1019</v>
      </c>
      <c r="K56" s="5" t="s">
        <v>1103</v>
      </c>
      <c r="L56" s="5" t="s">
        <v>1104</v>
      </c>
      <c r="M56" s="5">
        <v>3</v>
      </c>
      <c r="N56" s="5" t="str">
        <f t="shared" si="0"/>
        <v>Mar</v>
      </c>
    </row>
    <row r="57" spans="1:14" x14ac:dyDescent="0.35">
      <c r="A57" s="5" t="s">
        <v>2163</v>
      </c>
      <c r="B57" s="5" t="s">
        <v>167</v>
      </c>
      <c r="C57" s="5" t="s">
        <v>990</v>
      </c>
      <c r="D57" s="5" t="s">
        <v>1033</v>
      </c>
      <c r="E57" s="5" t="s">
        <v>1114</v>
      </c>
      <c r="F57" s="58">
        <v>7215</v>
      </c>
      <c r="G57" s="5" t="s">
        <v>1115</v>
      </c>
      <c r="H57" s="5" t="s">
        <v>1107</v>
      </c>
      <c r="I57" s="60">
        <v>1</v>
      </c>
      <c r="J57" s="5" t="s">
        <v>994</v>
      </c>
      <c r="K57" s="5" t="s">
        <v>995</v>
      </c>
      <c r="L57" s="5" t="s">
        <v>996</v>
      </c>
      <c r="M57" s="5">
        <v>3</v>
      </c>
      <c r="N57" s="5" t="str">
        <f t="shared" si="0"/>
        <v>Mar</v>
      </c>
    </row>
    <row r="58" spans="1:14" x14ac:dyDescent="0.35">
      <c r="A58" s="5" t="s">
        <v>2163</v>
      </c>
      <c r="B58" s="5" t="s">
        <v>167</v>
      </c>
      <c r="C58" s="5" t="s">
        <v>990</v>
      </c>
      <c r="D58" s="5" t="s">
        <v>1033</v>
      </c>
      <c r="E58" s="5" t="s">
        <v>1112</v>
      </c>
      <c r="F58" s="58">
        <v>449984.08</v>
      </c>
      <c r="G58" s="5" t="s">
        <v>1113</v>
      </c>
      <c r="H58" s="5" t="s">
        <v>1107</v>
      </c>
      <c r="I58" s="60">
        <v>91</v>
      </c>
      <c r="J58" s="5" t="s">
        <v>994</v>
      </c>
      <c r="K58" s="5" t="s">
        <v>995</v>
      </c>
      <c r="L58" s="5" t="s">
        <v>996</v>
      </c>
      <c r="M58" s="5">
        <v>3</v>
      </c>
      <c r="N58" s="5" t="str">
        <f t="shared" si="0"/>
        <v>Mar</v>
      </c>
    </row>
    <row r="59" spans="1:14" x14ac:dyDescent="0.35">
      <c r="A59" s="5" t="s">
        <v>2163</v>
      </c>
      <c r="B59" s="5" t="s">
        <v>167</v>
      </c>
      <c r="C59" s="5" t="s">
        <v>990</v>
      </c>
      <c r="D59" s="5" t="s">
        <v>1033</v>
      </c>
      <c r="E59" s="5" t="s">
        <v>1110</v>
      </c>
      <c r="F59" s="58">
        <v>369494.52</v>
      </c>
      <c r="G59" s="5" t="s">
        <v>1111</v>
      </c>
      <c r="H59" s="5" t="s">
        <v>1107</v>
      </c>
      <c r="I59" s="60">
        <v>57</v>
      </c>
      <c r="J59" s="5" t="s">
        <v>994</v>
      </c>
      <c r="K59" s="5" t="s">
        <v>995</v>
      </c>
      <c r="L59" s="5" t="s">
        <v>996</v>
      </c>
      <c r="M59" s="5">
        <v>3</v>
      </c>
      <c r="N59" s="5" t="str">
        <f t="shared" si="0"/>
        <v>Mar</v>
      </c>
    </row>
    <row r="60" spans="1:14" x14ac:dyDescent="0.35">
      <c r="A60" s="5" t="s">
        <v>2163</v>
      </c>
      <c r="B60" s="5" t="s">
        <v>167</v>
      </c>
      <c r="C60" s="5" t="s">
        <v>990</v>
      </c>
      <c r="D60" s="5" t="s">
        <v>1033</v>
      </c>
      <c r="E60" s="5" t="s">
        <v>1109</v>
      </c>
      <c r="F60" s="58">
        <v>424594.56</v>
      </c>
      <c r="G60" s="5" t="s">
        <v>1106</v>
      </c>
      <c r="H60" s="5" t="s">
        <v>1107</v>
      </c>
      <c r="I60" s="60">
        <v>39</v>
      </c>
      <c r="J60" s="5" t="s">
        <v>994</v>
      </c>
      <c r="K60" s="5" t="s">
        <v>995</v>
      </c>
      <c r="L60" s="5" t="s">
        <v>996</v>
      </c>
      <c r="M60" s="5">
        <v>3</v>
      </c>
      <c r="N60" s="5" t="str">
        <f t="shared" si="0"/>
        <v>Mar</v>
      </c>
    </row>
    <row r="61" spans="1:14" x14ac:dyDescent="0.35">
      <c r="A61" s="5" t="s">
        <v>2163</v>
      </c>
      <c r="B61" s="5" t="s">
        <v>167</v>
      </c>
      <c r="C61" s="5" t="s">
        <v>990</v>
      </c>
      <c r="D61" s="5" t="s">
        <v>1033</v>
      </c>
      <c r="E61" s="5" t="s">
        <v>1105</v>
      </c>
      <c r="F61" s="58">
        <v>446368.64</v>
      </c>
      <c r="G61" s="5" t="s">
        <v>1106</v>
      </c>
      <c r="H61" s="5" t="s">
        <v>1107</v>
      </c>
      <c r="I61" s="60">
        <v>41</v>
      </c>
      <c r="J61" s="5" t="s">
        <v>994</v>
      </c>
      <c r="K61" s="5" t="s">
        <v>995</v>
      </c>
      <c r="L61" s="5" t="s">
        <v>996</v>
      </c>
      <c r="M61" s="5">
        <v>3</v>
      </c>
      <c r="N61" s="5" t="str">
        <f t="shared" si="0"/>
        <v>Mar</v>
      </c>
    </row>
    <row r="62" spans="1:14" x14ac:dyDescent="0.35">
      <c r="A62" s="5" t="s">
        <v>2163</v>
      </c>
      <c r="B62" s="5" t="s">
        <v>167</v>
      </c>
      <c r="C62" s="5" t="s">
        <v>990</v>
      </c>
      <c r="D62" s="5" t="s">
        <v>1033</v>
      </c>
      <c r="E62" s="5" t="s">
        <v>1117</v>
      </c>
      <c r="F62" s="58">
        <v>-0.01</v>
      </c>
      <c r="G62" s="5" t="s">
        <v>1115</v>
      </c>
      <c r="H62" s="5" t="s">
        <v>1033</v>
      </c>
      <c r="I62" s="60">
        <v>0</v>
      </c>
      <c r="J62" s="5" t="s">
        <v>1019</v>
      </c>
      <c r="K62" s="5" t="s">
        <v>1103</v>
      </c>
      <c r="L62" s="5" t="s">
        <v>1104</v>
      </c>
      <c r="M62" s="5">
        <v>3</v>
      </c>
      <c r="N62" s="5" t="str">
        <f t="shared" si="0"/>
        <v>Mar</v>
      </c>
    </row>
    <row r="63" spans="1:14" x14ac:dyDescent="0.35">
      <c r="A63" s="5" t="s">
        <v>2163</v>
      </c>
      <c r="B63" s="5" t="s">
        <v>167</v>
      </c>
      <c r="C63" s="5" t="s">
        <v>990</v>
      </c>
      <c r="D63" s="5" t="s">
        <v>1033</v>
      </c>
      <c r="E63" s="5" t="s">
        <v>1108</v>
      </c>
      <c r="F63" s="58">
        <v>-446368.64</v>
      </c>
      <c r="G63" s="5" t="s">
        <v>1106</v>
      </c>
      <c r="H63" s="5" t="s">
        <v>1107</v>
      </c>
      <c r="I63" s="60">
        <v>-41</v>
      </c>
      <c r="J63" s="5" t="s">
        <v>994</v>
      </c>
      <c r="K63" s="5" t="s">
        <v>995</v>
      </c>
      <c r="L63" s="5" t="s">
        <v>996</v>
      </c>
      <c r="M63" s="5">
        <v>3</v>
      </c>
      <c r="N63" s="5" t="str">
        <f t="shared" si="0"/>
        <v>Mar</v>
      </c>
    </row>
    <row r="64" spans="1:14" x14ac:dyDescent="0.35">
      <c r="A64" s="5" t="s">
        <v>2163</v>
      </c>
      <c r="B64" s="5" t="s">
        <v>167</v>
      </c>
      <c r="C64" s="5" t="s">
        <v>990</v>
      </c>
      <c r="D64" s="5" t="s">
        <v>993</v>
      </c>
      <c r="E64" s="5" t="s">
        <v>1022</v>
      </c>
      <c r="F64" s="58">
        <v>111598.21</v>
      </c>
      <c r="G64" s="5" t="s">
        <v>993</v>
      </c>
      <c r="H64" s="5" t="s">
        <v>993</v>
      </c>
      <c r="I64" s="59">
        <v>0</v>
      </c>
      <c r="J64" s="5" t="s">
        <v>1019</v>
      </c>
      <c r="K64" s="5" t="s">
        <v>1023</v>
      </c>
      <c r="L64" s="5" t="s">
        <v>1024</v>
      </c>
      <c r="M64" s="5">
        <v>1</v>
      </c>
      <c r="N64" s="5" t="str">
        <f t="shared" si="0"/>
        <v>Jan</v>
      </c>
    </row>
    <row r="65" spans="1:14" x14ac:dyDescent="0.35">
      <c r="A65" s="5" t="s">
        <v>2163</v>
      </c>
      <c r="B65" s="5" t="s">
        <v>167</v>
      </c>
      <c r="C65" s="5" t="s">
        <v>990</v>
      </c>
      <c r="D65" s="5" t="s">
        <v>993</v>
      </c>
      <c r="E65" s="5" t="s">
        <v>1018</v>
      </c>
      <c r="F65" s="58">
        <v>24506.25</v>
      </c>
      <c r="G65" s="5" t="s">
        <v>993</v>
      </c>
      <c r="H65" s="5" t="s">
        <v>993</v>
      </c>
      <c r="I65" s="59">
        <v>0</v>
      </c>
      <c r="J65" s="5" t="s">
        <v>1019</v>
      </c>
      <c r="K65" s="5" t="s">
        <v>1020</v>
      </c>
      <c r="L65" s="5" t="s">
        <v>1021</v>
      </c>
      <c r="M65" s="5">
        <v>1</v>
      </c>
      <c r="N65" s="5" t="str">
        <f t="shared" si="0"/>
        <v>Jan</v>
      </c>
    </row>
    <row r="66" spans="1:14" x14ac:dyDescent="0.35">
      <c r="A66" s="5" t="s">
        <v>2163</v>
      </c>
      <c r="B66" s="5" t="s">
        <v>167</v>
      </c>
      <c r="C66" s="5" t="s">
        <v>990</v>
      </c>
      <c r="D66" s="5" t="s">
        <v>1033</v>
      </c>
      <c r="E66" s="5" t="s">
        <v>1057</v>
      </c>
      <c r="F66" s="58">
        <v>153365.67000000001</v>
      </c>
      <c r="G66" s="5" t="s">
        <v>1058</v>
      </c>
      <c r="H66" s="5" t="s">
        <v>1036</v>
      </c>
      <c r="I66" s="60">
        <v>9</v>
      </c>
      <c r="J66" s="5" t="s">
        <v>994</v>
      </c>
      <c r="K66" s="5" t="s">
        <v>995</v>
      </c>
      <c r="L66" s="5" t="s">
        <v>996</v>
      </c>
      <c r="M66" s="5">
        <v>2</v>
      </c>
      <c r="N66" s="5" t="str">
        <f t="shared" si="0"/>
        <v>Feb</v>
      </c>
    </row>
    <row r="67" spans="1:14" x14ac:dyDescent="0.35">
      <c r="A67" s="5" t="s">
        <v>2163</v>
      </c>
      <c r="B67" s="5" t="s">
        <v>167</v>
      </c>
      <c r="C67" s="5" t="s">
        <v>990</v>
      </c>
      <c r="D67" s="5" t="s">
        <v>1033</v>
      </c>
      <c r="E67" s="5" t="s">
        <v>1059</v>
      </c>
      <c r="F67" s="58">
        <v>30464.49</v>
      </c>
      <c r="G67" s="5" t="s">
        <v>1060</v>
      </c>
      <c r="H67" s="5" t="s">
        <v>1036</v>
      </c>
      <c r="I67" s="60">
        <v>3</v>
      </c>
      <c r="J67" s="5" t="s">
        <v>994</v>
      </c>
      <c r="K67" s="5" t="s">
        <v>995</v>
      </c>
      <c r="L67" s="5" t="s">
        <v>996</v>
      </c>
      <c r="M67" s="5">
        <v>2</v>
      </c>
      <c r="N67" s="5" t="str">
        <f t="shared" si="0"/>
        <v>Feb</v>
      </c>
    </row>
    <row r="68" spans="1:14" x14ac:dyDescent="0.35">
      <c r="A68" s="5" t="s">
        <v>2163</v>
      </c>
      <c r="B68" s="5" t="s">
        <v>167</v>
      </c>
      <c r="C68" s="5" t="s">
        <v>990</v>
      </c>
      <c r="D68" s="5" t="s">
        <v>1033</v>
      </c>
      <c r="E68" s="5" t="s">
        <v>1061</v>
      </c>
      <c r="F68" s="58">
        <v>390437.73</v>
      </c>
      <c r="G68" s="5" t="s">
        <v>1062</v>
      </c>
      <c r="H68" s="5" t="s">
        <v>1036</v>
      </c>
      <c r="I68" s="60">
        <v>87</v>
      </c>
      <c r="J68" s="5" t="s">
        <v>994</v>
      </c>
      <c r="K68" s="5" t="s">
        <v>995</v>
      </c>
      <c r="L68" s="5" t="s">
        <v>996</v>
      </c>
      <c r="M68" s="5">
        <v>2</v>
      </c>
      <c r="N68" s="5" t="str">
        <f t="shared" ref="N68:N131" si="1">_xlfn.XLOOKUP(M68,$Q$3:$Q$14,$R$3:$R$14)</f>
        <v>Feb</v>
      </c>
    </row>
    <row r="69" spans="1:14" x14ac:dyDescent="0.35">
      <c r="A69" s="5" t="s">
        <v>2163</v>
      </c>
      <c r="B69" s="5" t="s">
        <v>167</v>
      </c>
      <c r="C69" s="5" t="s">
        <v>990</v>
      </c>
      <c r="D69" s="5" t="s">
        <v>1033</v>
      </c>
      <c r="E69" s="5" t="s">
        <v>1063</v>
      </c>
      <c r="F69" s="58">
        <v>114213.75999999999</v>
      </c>
      <c r="G69" s="5" t="s">
        <v>1064</v>
      </c>
      <c r="H69" s="5" t="s">
        <v>1036</v>
      </c>
      <c r="I69" s="60">
        <v>2</v>
      </c>
      <c r="J69" s="5" t="s">
        <v>994</v>
      </c>
      <c r="K69" s="5" t="s">
        <v>995</v>
      </c>
      <c r="L69" s="5" t="s">
        <v>996</v>
      </c>
      <c r="M69" s="5">
        <v>2</v>
      </c>
      <c r="N69" s="5" t="str">
        <f t="shared" si="1"/>
        <v>Feb</v>
      </c>
    </row>
    <row r="70" spans="1:14" x14ac:dyDescent="0.35">
      <c r="A70" s="5" t="s">
        <v>2163</v>
      </c>
      <c r="B70" s="5" t="s">
        <v>167</v>
      </c>
      <c r="C70" s="5" t="s">
        <v>990</v>
      </c>
      <c r="D70" s="5" t="s">
        <v>1033</v>
      </c>
      <c r="E70" s="5" t="s">
        <v>1065</v>
      </c>
      <c r="F70" s="58">
        <v>70822.5</v>
      </c>
      <c r="G70" s="5" t="s">
        <v>1066</v>
      </c>
      <c r="H70" s="5" t="s">
        <v>1036</v>
      </c>
      <c r="I70" s="60">
        <v>2</v>
      </c>
      <c r="J70" s="5" t="s">
        <v>994</v>
      </c>
      <c r="K70" s="5" t="s">
        <v>995</v>
      </c>
      <c r="L70" s="5" t="s">
        <v>996</v>
      </c>
      <c r="M70" s="5">
        <v>2</v>
      </c>
      <c r="N70" s="5" t="str">
        <f t="shared" si="1"/>
        <v>Feb</v>
      </c>
    </row>
    <row r="71" spans="1:14" x14ac:dyDescent="0.35">
      <c r="A71" s="5" t="s">
        <v>2163</v>
      </c>
      <c r="B71" s="5" t="s">
        <v>167</v>
      </c>
      <c r="C71" s="5" t="s">
        <v>990</v>
      </c>
      <c r="D71" s="5" t="s">
        <v>1033</v>
      </c>
      <c r="E71" s="5" t="s">
        <v>1067</v>
      </c>
      <c r="F71" s="58">
        <v>38403.760000000002</v>
      </c>
      <c r="G71" s="5" t="s">
        <v>1068</v>
      </c>
      <c r="H71" s="5" t="s">
        <v>1036</v>
      </c>
      <c r="I71" s="60">
        <v>2</v>
      </c>
      <c r="J71" s="5" t="s">
        <v>994</v>
      </c>
      <c r="K71" s="5" t="s">
        <v>995</v>
      </c>
      <c r="L71" s="5" t="s">
        <v>996</v>
      </c>
      <c r="M71" s="5">
        <v>2</v>
      </c>
      <c r="N71" s="5" t="str">
        <f t="shared" si="1"/>
        <v>Feb</v>
      </c>
    </row>
    <row r="72" spans="1:14" x14ac:dyDescent="0.35">
      <c r="A72" s="5" t="s">
        <v>2163</v>
      </c>
      <c r="B72" s="5" t="s">
        <v>167</v>
      </c>
      <c r="C72" s="5" t="s">
        <v>990</v>
      </c>
      <c r="D72" s="5" t="s">
        <v>1033</v>
      </c>
      <c r="E72" s="5" t="s">
        <v>1069</v>
      </c>
      <c r="F72" s="58">
        <v>17700.63</v>
      </c>
      <c r="G72" s="5" t="s">
        <v>1070</v>
      </c>
      <c r="H72" s="5" t="s">
        <v>1036</v>
      </c>
      <c r="I72" s="60">
        <v>1</v>
      </c>
      <c r="J72" s="5" t="s">
        <v>994</v>
      </c>
      <c r="K72" s="5" t="s">
        <v>995</v>
      </c>
      <c r="L72" s="5" t="s">
        <v>996</v>
      </c>
      <c r="M72" s="5">
        <v>2</v>
      </c>
      <c r="N72" s="5" t="str">
        <f t="shared" si="1"/>
        <v>Feb</v>
      </c>
    </row>
    <row r="73" spans="1:14" x14ac:dyDescent="0.35">
      <c r="A73" s="5" t="s">
        <v>2163</v>
      </c>
      <c r="B73" s="5" t="s">
        <v>167</v>
      </c>
      <c r="C73" s="5" t="s">
        <v>990</v>
      </c>
      <c r="D73" s="5" t="s">
        <v>1033</v>
      </c>
      <c r="E73" s="5" t="s">
        <v>1071</v>
      </c>
      <c r="F73" s="58">
        <v>12219.38</v>
      </c>
      <c r="G73" s="5" t="s">
        <v>1068</v>
      </c>
      <c r="H73" s="5" t="s">
        <v>1036</v>
      </c>
      <c r="I73" s="60">
        <v>1</v>
      </c>
      <c r="J73" s="5" t="s">
        <v>994</v>
      </c>
      <c r="K73" s="5" t="s">
        <v>995</v>
      </c>
      <c r="L73" s="5" t="s">
        <v>996</v>
      </c>
      <c r="M73" s="5">
        <v>2</v>
      </c>
      <c r="N73" s="5" t="str">
        <f t="shared" si="1"/>
        <v>Feb</v>
      </c>
    </row>
    <row r="74" spans="1:14" x14ac:dyDescent="0.35">
      <c r="A74" s="5" t="s">
        <v>2163</v>
      </c>
      <c r="B74" s="5" t="s">
        <v>167</v>
      </c>
      <c r="C74" s="5" t="s">
        <v>990</v>
      </c>
      <c r="D74" s="5" t="s">
        <v>1033</v>
      </c>
      <c r="E74" s="5" t="s">
        <v>1072</v>
      </c>
      <c r="F74" s="58">
        <v>18370.63</v>
      </c>
      <c r="G74" s="5" t="s">
        <v>1068</v>
      </c>
      <c r="H74" s="5" t="s">
        <v>1036</v>
      </c>
      <c r="I74" s="60">
        <v>1</v>
      </c>
      <c r="J74" s="5" t="s">
        <v>994</v>
      </c>
      <c r="K74" s="5" t="s">
        <v>995</v>
      </c>
      <c r="L74" s="5" t="s">
        <v>996</v>
      </c>
      <c r="M74" s="5">
        <v>2</v>
      </c>
      <c r="N74" s="5" t="str">
        <f t="shared" si="1"/>
        <v>Feb</v>
      </c>
    </row>
    <row r="75" spans="1:14" x14ac:dyDescent="0.35">
      <c r="A75" s="5" t="s">
        <v>2163</v>
      </c>
      <c r="B75" s="5" t="s">
        <v>167</v>
      </c>
      <c r="C75" s="5" t="s">
        <v>990</v>
      </c>
      <c r="D75" s="5" t="s">
        <v>1033</v>
      </c>
      <c r="E75" s="5" t="s">
        <v>1073</v>
      </c>
      <c r="F75" s="58">
        <v>47547.5</v>
      </c>
      <c r="G75" s="5" t="s">
        <v>1074</v>
      </c>
      <c r="H75" s="5" t="s">
        <v>1036</v>
      </c>
      <c r="I75" s="60">
        <v>2</v>
      </c>
      <c r="J75" s="5" t="s">
        <v>994</v>
      </c>
      <c r="K75" s="5" t="s">
        <v>995</v>
      </c>
      <c r="L75" s="5" t="s">
        <v>996</v>
      </c>
      <c r="M75" s="5">
        <v>2</v>
      </c>
      <c r="N75" s="5" t="str">
        <f t="shared" si="1"/>
        <v>Feb</v>
      </c>
    </row>
    <row r="76" spans="1:14" x14ac:dyDescent="0.35">
      <c r="A76" s="5" t="s">
        <v>2163</v>
      </c>
      <c r="B76" s="5" t="s">
        <v>167</v>
      </c>
      <c r="C76" s="5" t="s">
        <v>990</v>
      </c>
      <c r="D76" s="5" t="s">
        <v>1033</v>
      </c>
      <c r="E76" s="5" t="s">
        <v>1075</v>
      </c>
      <c r="F76" s="58">
        <v>25768.75</v>
      </c>
      <c r="G76" s="5" t="s">
        <v>1070</v>
      </c>
      <c r="H76" s="5" t="s">
        <v>1036</v>
      </c>
      <c r="I76" s="60">
        <v>1</v>
      </c>
      <c r="J76" s="5" t="s">
        <v>994</v>
      </c>
      <c r="K76" s="5" t="s">
        <v>995</v>
      </c>
      <c r="L76" s="5" t="s">
        <v>996</v>
      </c>
      <c r="M76" s="5">
        <v>2</v>
      </c>
      <c r="N76" s="5" t="str">
        <f t="shared" si="1"/>
        <v>Feb</v>
      </c>
    </row>
    <row r="77" spans="1:14" x14ac:dyDescent="0.35">
      <c r="A77" s="5" t="s">
        <v>2163</v>
      </c>
      <c r="B77" s="5" t="s">
        <v>167</v>
      </c>
      <c r="C77" s="5" t="s">
        <v>990</v>
      </c>
      <c r="D77" s="5" t="s">
        <v>1033</v>
      </c>
      <c r="E77" s="5" t="s">
        <v>1076</v>
      </c>
      <c r="F77" s="58">
        <v>31504.38</v>
      </c>
      <c r="G77" s="5" t="s">
        <v>1074</v>
      </c>
      <c r="H77" s="5" t="s">
        <v>1036</v>
      </c>
      <c r="I77" s="60">
        <v>1</v>
      </c>
      <c r="J77" s="5" t="s">
        <v>994</v>
      </c>
      <c r="K77" s="5" t="s">
        <v>995</v>
      </c>
      <c r="L77" s="5" t="s">
        <v>996</v>
      </c>
      <c r="M77" s="5">
        <v>2</v>
      </c>
      <c r="N77" s="5" t="str">
        <f t="shared" si="1"/>
        <v>Feb</v>
      </c>
    </row>
    <row r="78" spans="1:14" x14ac:dyDescent="0.35">
      <c r="A78" s="5" t="s">
        <v>2163</v>
      </c>
      <c r="B78" s="5" t="s">
        <v>167</v>
      </c>
      <c r="C78" s="5" t="s">
        <v>990</v>
      </c>
      <c r="D78" s="5" t="s">
        <v>1033</v>
      </c>
      <c r="E78" s="5" t="s">
        <v>1077</v>
      </c>
      <c r="F78" s="58">
        <v>208643.75</v>
      </c>
      <c r="G78" s="5" t="s">
        <v>1074</v>
      </c>
      <c r="H78" s="5" t="s">
        <v>1036</v>
      </c>
      <c r="I78" s="60">
        <v>5</v>
      </c>
      <c r="J78" s="5" t="s">
        <v>994</v>
      </c>
      <c r="K78" s="5" t="s">
        <v>995</v>
      </c>
      <c r="L78" s="5" t="s">
        <v>996</v>
      </c>
      <c r="M78" s="5">
        <v>2</v>
      </c>
      <c r="N78" s="5" t="str">
        <f t="shared" si="1"/>
        <v>Feb</v>
      </c>
    </row>
    <row r="79" spans="1:14" x14ac:dyDescent="0.35">
      <c r="A79" s="5" t="s">
        <v>2163</v>
      </c>
      <c r="B79" s="5" t="s">
        <v>167</v>
      </c>
      <c r="C79" s="5" t="s">
        <v>990</v>
      </c>
      <c r="D79" s="5" t="s">
        <v>1033</v>
      </c>
      <c r="E79" s="5" t="s">
        <v>1078</v>
      </c>
      <c r="F79" s="58">
        <v>38403.75</v>
      </c>
      <c r="G79" s="5" t="s">
        <v>1079</v>
      </c>
      <c r="H79" s="5" t="s">
        <v>1036</v>
      </c>
      <c r="I79" s="60">
        <v>1</v>
      </c>
      <c r="J79" s="5" t="s">
        <v>994</v>
      </c>
      <c r="K79" s="5" t="s">
        <v>995</v>
      </c>
      <c r="L79" s="5" t="s">
        <v>996</v>
      </c>
      <c r="M79" s="5">
        <v>2</v>
      </c>
      <c r="N79" s="5" t="str">
        <f t="shared" si="1"/>
        <v>Feb</v>
      </c>
    </row>
    <row r="80" spans="1:14" x14ac:dyDescent="0.35">
      <c r="A80" s="5" t="s">
        <v>2163</v>
      </c>
      <c r="B80" s="5" t="s">
        <v>167</v>
      </c>
      <c r="C80" s="5" t="s">
        <v>990</v>
      </c>
      <c r="D80" s="5" t="s">
        <v>1033</v>
      </c>
      <c r="E80" s="5" t="s">
        <v>1080</v>
      </c>
      <c r="F80" s="58">
        <v>54530</v>
      </c>
      <c r="G80" s="5" t="s">
        <v>1079</v>
      </c>
      <c r="H80" s="5" t="s">
        <v>1036</v>
      </c>
      <c r="I80" s="60">
        <v>1</v>
      </c>
      <c r="J80" s="5" t="s">
        <v>994</v>
      </c>
      <c r="K80" s="5" t="s">
        <v>995</v>
      </c>
      <c r="L80" s="5" t="s">
        <v>996</v>
      </c>
      <c r="M80" s="5">
        <v>2</v>
      </c>
      <c r="N80" s="5" t="str">
        <f t="shared" si="1"/>
        <v>Feb</v>
      </c>
    </row>
    <row r="81" spans="1:14" x14ac:dyDescent="0.35">
      <c r="A81" s="5" t="s">
        <v>2163</v>
      </c>
      <c r="B81" s="5" t="s">
        <v>167</v>
      </c>
      <c r="C81" s="5" t="s">
        <v>990</v>
      </c>
      <c r="D81" s="5" t="s">
        <v>1033</v>
      </c>
      <c r="E81" s="5" t="s">
        <v>1081</v>
      </c>
      <c r="F81" s="58">
        <v>19201.79</v>
      </c>
      <c r="G81" s="5" t="s">
        <v>1068</v>
      </c>
      <c r="H81" s="5" t="s">
        <v>1036</v>
      </c>
      <c r="I81" s="60">
        <v>1</v>
      </c>
      <c r="J81" s="5" t="s">
        <v>994</v>
      </c>
      <c r="K81" s="5" t="s">
        <v>995</v>
      </c>
      <c r="L81" s="5" t="s">
        <v>996</v>
      </c>
      <c r="M81" s="5">
        <v>2</v>
      </c>
      <c r="N81" s="5" t="str">
        <f t="shared" si="1"/>
        <v>Feb</v>
      </c>
    </row>
    <row r="82" spans="1:14" x14ac:dyDescent="0.35">
      <c r="A82" s="5" t="s">
        <v>2163</v>
      </c>
      <c r="B82" s="5" t="s">
        <v>167</v>
      </c>
      <c r="C82" s="5" t="s">
        <v>990</v>
      </c>
      <c r="D82" s="5" t="s">
        <v>1033</v>
      </c>
      <c r="E82" s="5" t="s">
        <v>1082</v>
      </c>
      <c r="F82" s="58">
        <v>35743.75</v>
      </c>
      <c r="G82" s="5" t="s">
        <v>1083</v>
      </c>
      <c r="H82" s="5" t="s">
        <v>1036</v>
      </c>
      <c r="I82" s="60">
        <v>1</v>
      </c>
      <c r="J82" s="5" t="s">
        <v>994</v>
      </c>
      <c r="K82" s="5" t="s">
        <v>995</v>
      </c>
      <c r="L82" s="5" t="s">
        <v>996</v>
      </c>
      <c r="M82" s="5">
        <v>2</v>
      </c>
      <c r="N82" s="5" t="str">
        <f t="shared" si="1"/>
        <v>Feb</v>
      </c>
    </row>
    <row r="83" spans="1:14" x14ac:dyDescent="0.35">
      <c r="A83" s="5" t="s">
        <v>2163</v>
      </c>
      <c r="B83" s="5" t="s">
        <v>167</v>
      </c>
      <c r="C83" s="5" t="s">
        <v>990</v>
      </c>
      <c r="D83" s="5" t="s">
        <v>1033</v>
      </c>
      <c r="E83" s="5" t="s">
        <v>1084</v>
      </c>
      <c r="F83" s="58">
        <v>12801.25</v>
      </c>
      <c r="G83" s="5" t="s">
        <v>1083</v>
      </c>
      <c r="H83" s="5" t="s">
        <v>1036</v>
      </c>
      <c r="I83" s="60">
        <v>1</v>
      </c>
      <c r="J83" s="5" t="s">
        <v>994</v>
      </c>
      <c r="K83" s="5" t="s">
        <v>995</v>
      </c>
      <c r="L83" s="5" t="s">
        <v>996</v>
      </c>
      <c r="M83" s="5">
        <v>2</v>
      </c>
      <c r="N83" s="5" t="str">
        <f t="shared" si="1"/>
        <v>Feb</v>
      </c>
    </row>
    <row r="84" spans="1:14" x14ac:dyDescent="0.35">
      <c r="A84" s="5" t="s">
        <v>2163</v>
      </c>
      <c r="B84" s="5" t="s">
        <v>167</v>
      </c>
      <c r="C84" s="5" t="s">
        <v>990</v>
      </c>
      <c r="D84" s="5" t="s">
        <v>1033</v>
      </c>
      <c r="E84" s="5" t="s">
        <v>1085</v>
      </c>
      <c r="F84" s="58">
        <v>29343.13</v>
      </c>
      <c r="G84" s="5" t="s">
        <v>1083</v>
      </c>
      <c r="H84" s="5" t="s">
        <v>1036</v>
      </c>
      <c r="I84" s="60">
        <v>1</v>
      </c>
      <c r="J84" s="5" t="s">
        <v>994</v>
      </c>
      <c r="K84" s="5" t="s">
        <v>995</v>
      </c>
      <c r="L84" s="5" t="s">
        <v>996</v>
      </c>
      <c r="M84" s="5">
        <v>2</v>
      </c>
      <c r="N84" s="5" t="str">
        <f t="shared" si="1"/>
        <v>Feb</v>
      </c>
    </row>
    <row r="85" spans="1:14" x14ac:dyDescent="0.35">
      <c r="A85" s="5" t="s">
        <v>2163</v>
      </c>
      <c r="B85" s="5" t="s">
        <v>167</v>
      </c>
      <c r="C85" s="5" t="s">
        <v>990</v>
      </c>
      <c r="D85" s="5" t="s">
        <v>1033</v>
      </c>
      <c r="E85" s="5" t="s">
        <v>1086</v>
      </c>
      <c r="F85" s="58">
        <v>71820</v>
      </c>
      <c r="G85" s="5" t="s">
        <v>1087</v>
      </c>
      <c r="H85" s="5" t="s">
        <v>1036</v>
      </c>
      <c r="I85" s="60">
        <v>6</v>
      </c>
      <c r="J85" s="5" t="s">
        <v>994</v>
      </c>
      <c r="K85" s="5" t="s">
        <v>995</v>
      </c>
      <c r="L85" s="5" t="s">
        <v>996</v>
      </c>
      <c r="M85" s="5">
        <v>2</v>
      </c>
      <c r="N85" s="5" t="str">
        <f t="shared" si="1"/>
        <v>Feb</v>
      </c>
    </row>
    <row r="86" spans="1:14" x14ac:dyDescent="0.35">
      <c r="A86" s="5" t="s">
        <v>2163</v>
      </c>
      <c r="B86" s="5" t="s">
        <v>167</v>
      </c>
      <c r="C86" s="5" t="s">
        <v>990</v>
      </c>
      <c r="D86" s="5" t="s">
        <v>1033</v>
      </c>
      <c r="E86" s="5" t="s">
        <v>1088</v>
      </c>
      <c r="F86" s="58">
        <v>10462</v>
      </c>
      <c r="G86" s="5" t="s">
        <v>1089</v>
      </c>
      <c r="H86" s="5" t="s">
        <v>1036</v>
      </c>
      <c r="I86" s="60">
        <v>1</v>
      </c>
      <c r="J86" s="5" t="s">
        <v>994</v>
      </c>
      <c r="K86" s="5" t="s">
        <v>995</v>
      </c>
      <c r="L86" s="5" t="s">
        <v>996</v>
      </c>
      <c r="M86" s="5">
        <v>2</v>
      </c>
      <c r="N86" s="5" t="str">
        <f t="shared" si="1"/>
        <v>Feb</v>
      </c>
    </row>
    <row r="87" spans="1:14" x14ac:dyDescent="0.35">
      <c r="A87" s="5" t="s">
        <v>2163</v>
      </c>
      <c r="B87" s="5" t="s">
        <v>167</v>
      </c>
      <c r="C87" s="5" t="s">
        <v>990</v>
      </c>
      <c r="D87" s="5" t="s">
        <v>1033</v>
      </c>
      <c r="E87" s="5" t="s">
        <v>1090</v>
      </c>
      <c r="F87" s="58">
        <v>10462.200000000001</v>
      </c>
      <c r="G87" s="5" t="s">
        <v>1091</v>
      </c>
      <c r="H87" s="5" t="s">
        <v>1036</v>
      </c>
      <c r="I87" s="60">
        <v>1</v>
      </c>
      <c r="J87" s="5" t="s">
        <v>994</v>
      </c>
      <c r="K87" s="5" t="s">
        <v>995</v>
      </c>
      <c r="L87" s="5" t="s">
        <v>996</v>
      </c>
      <c r="M87" s="5">
        <v>2</v>
      </c>
      <c r="N87" s="5" t="str">
        <f t="shared" si="1"/>
        <v>Feb</v>
      </c>
    </row>
    <row r="88" spans="1:14" x14ac:dyDescent="0.35">
      <c r="A88" s="5" t="s">
        <v>2163</v>
      </c>
      <c r="B88" s="5" t="s">
        <v>167</v>
      </c>
      <c r="C88" s="5" t="s">
        <v>990</v>
      </c>
      <c r="D88" s="5" t="s">
        <v>1033</v>
      </c>
      <c r="E88" s="5" t="s">
        <v>1092</v>
      </c>
      <c r="F88" s="58">
        <v>19928.580000000002</v>
      </c>
      <c r="G88" s="5" t="s">
        <v>1093</v>
      </c>
      <c r="H88" s="5" t="s">
        <v>1036</v>
      </c>
      <c r="I88" s="60">
        <v>3</v>
      </c>
      <c r="J88" s="5" t="s">
        <v>994</v>
      </c>
      <c r="K88" s="5" t="s">
        <v>995</v>
      </c>
      <c r="L88" s="5" t="s">
        <v>996</v>
      </c>
      <c r="M88" s="5">
        <v>2</v>
      </c>
      <c r="N88" s="5" t="str">
        <f t="shared" si="1"/>
        <v>Feb</v>
      </c>
    </row>
    <row r="89" spans="1:14" x14ac:dyDescent="0.35">
      <c r="A89" s="5" t="s">
        <v>2163</v>
      </c>
      <c r="B89" s="5" t="s">
        <v>167</v>
      </c>
      <c r="C89" s="5" t="s">
        <v>990</v>
      </c>
      <c r="D89" s="5" t="s">
        <v>1033</v>
      </c>
      <c r="E89" s="5" t="s">
        <v>1094</v>
      </c>
      <c r="F89" s="58">
        <v>66428.600000000006</v>
      </c>
      <c r="G89" s="5" t="s">
        <v>1095</v>
      </c>
      <c r="H89" s="5" t="s">
        <v>1036</v>
      </c>
      <c r="I89" s="60">
        <v>10</v>
      </c>
      <c r="J89" s="5" t="s">
        <v>994</v>
      </c>
      <c r="K89" s="5" t="s">
        <v>995</v>
      </c>
      <c r="L89" s="5" t="s">
        <v>996</v>
      </c>
      <c r="M89" s="5">
        <v>2</v>
      </c>
      <c r="N89" s="5" t="str">
        <f t="shared" si="1"/>
        <v>Feb</v>
      </c>
    </row>
    <row r="90" spans="1:14" x14ac:dyDescent="0.35">
      <c r="A90" s="5" t="s">
        <v>2163</v>
      </c>
      <c r="B90" s="5" t="s">
        <v>167</v>
      </c>
      <c r="C90" s="5" t="s">
        <v>990</v>
      </c>
      <c r="D90" s="5" t="s">
        <v>1033</v>
      </c>
      <c r="E90" s="5" t="s">
        <v>1096</v>
      </c>
      <c r="F90" s="58">
        <v>44008.94</v>
      </c>
      <c r="G90" s="5" t="s">
        <v>1097</v>
      </c>
      <c r="H90" s="5" t="s">
        <v>1036</v>
      </c>
      <c r="I90" s="60">
        <v>2</v>
      </c>
      <c r="J90" s="5" t="s">
        <v>994</v>
      </c>
      <c r="K90" s="5" t="s">
        <v>995</v>
      </c>
      <c r="L90" s="5" t="s">
        <v>996</v>
      </c>
      <c r="M90" s="5">
        <v>2</v>
      </c>
      <c r="N90" s="5" t="str">
        <f t="shared" si="1"/>
        <v>Feb</v>
      </c>
    </row>
    <row r="91" spans="1:14" x14ac:dyDescent="0.35">
      <c r="A91" s="5" t="s">
        <v>2163</v>
      </c>
      <c r="B91" s="5" t="s">
        <v>167</v>
      </c>
      <c r="C91" s="5" t="s">
        <v>990</v>
      </c>
      <c r="D91" s="5" t="s">
        <v>1033</v>
      </c>
      <c r="E91" s="5" t="s">
        <v>1098</v>
      </c>
      <c r="F91" s="58">
        <v>14780.36</v>
      </c>
      <c r="G91" s="5" t="s">
        <v>1099</v>
      </c>
      <c r="H91" s="5" t="s">
        <v>1036</v>
      </c>
      <c r="I91" s="60">
        <v>2</v>
      </c>
      <c r="J91" s="5" t="s">
        <v>994</v>
      </c>
      <c r="K91" s="5" t="s">
        <v>995</v>
      </c>
      <c r="L91" s="5" t="s">
        <v>996</v>
      </c>
      <c r="M91" s="5">
        <v>2</v>
      </c>
      <c r="N91" s="5" t="str">
        <f t="shared" si="1"/>
        <v>Feb</v>
      </c>
    </row>
    <row r="92" spans="1:14" x14ac:dyDescent="0.35">
      <c r="A92" s="5" t="s">
        <v>2163</v>
      </c>
      <c r="B92" s="5" t="s">
        <v>167</v>
      </c>
      <c r="C92" s="5" t="s">
        <v>990</v>
      </c>
      <c r="D92" s="5" t="s">
        <v>1033</v>
      </c>
      <c r="E92" s="5" t="s">
        <v>1102</v>
      </c>
      <c r="F92" s="58">
        <v>0.01</v>
      </c>
      <c r="G92" s="5" t="s">
        <v>1099</v>
      </c>
      <c r="H92" s="5" t="s">
        <v>1033</v>
      </c>
      <c r="I92" s="60">
        <v>0</v>
      </c>
      <c r="J92" s="5" t="s">
        <v>1019</v>
      </c>
      <c r="K92" s="5" t="s">
        <v>1103</v>
      </c>
      <c r="L92" s="5" t="s">
        <v>1104</v>
      </c>
      <c r="M92" s="5">
        <v>2</v>
      </c>
      <c r="N92" s="5" t="str">
        <f t="shared" si="1"/>
        <v>Feb</v>
      </c>
    </row>
    <row r="93" spans="1:14" x14ac:dyDescent="0.35">
      <c r="A93" s="5" t="s">
        <v>2163</v>
      </c>
      <c r="B93" s="5" t="s">
        <v>167</v>
      </c>
      <c r="C93" s="5" t="s">
        <v>990</v>
      </c>
      <c r="D93" s="5" t="s">
        <v>1033</v>
      </c>
      <c r="E93" s="5" t="s">
        <v>1041</v>
      </c>
      <c r="F93" s="58">
        <v>-106537.2</v>
      </c>
      <c r="G93" s="5" t="s">
        <v>1038</v>
      </c>
      <c r="H93" s="5" t="s">
        <v>1036</v>
      </c>
      <c r="I93" s="60">
        <v>-20</v>
      </c>
      <c r="J93" s="5" t="s">
        <v>994</v>
      </c>
      <c r="K93" s="5" t="s">
        <v>995</v>
      </c>
      <c r="L93" s="5" t="s">
        <v>996</v>
      </c>
      <c r="M93" s="5">
        <v>2</v>
      </c>
      <c r="N93" s="5" t="str">
        <f t="shared" si="1"/>
        <v>Feb</v>
      </c>
    </row>
    <row r="94" spans="1:14" x14ac:dyDescent="0.35">
      <c r="A94" s="5" t="s">
        <v>2163</v>
      </c>
      <c r="B94" s="5" t="s">
        <v>167</v>
      </c>
      <c r="C94" s="5" t="s">
        <v>990</v>
      </c>
      <c r="D94" s="5" t="s">
        <v>1033</v>
      </c>
      <c r="E94" s="5" t="s">
        <v>1042</v>
      </c>
      <c r="F94" s="58">
        <v>-224727</v>
      </c>
      <c r="G94" s="5" t="s">
        <v>1040</v>
      </c>
      <c r="H94" s="5" t="s">
        <v>993</v>
      </c>
      <c r="I94" s="60">
        <v>-75</v>
      </c>
      <c r="J94" s="5" t="s">
        <v>994</v>
      </c>
      <c r="K94" s="5" t="s">
        <v>995</v>
      </c>
      <c r="L94" s="5" t="s">
        <v>996</v>
      </c>
      <c r="M94" s="5">
        <v>2</v>
      </c>
      <c r="N94" s="5" t="str">
        <f t="shared" si="1"/>
        <v>Feb</v>
      </c>
    </row>
    <row r="95" spans="1:14" x14ac:dyDescent="0.35">
      <c r="A95" s="5" t="s">
        <v>2163</v>
      </c>
      <c r="B95" s="5" t="s">
        <v>167</v>
      </c>
      <c r="C95" s="5" t="s">
        <v>990</v>
      </c>
      <c r="D95" s="5" t="s">
        <v>1025</v>
      </c>
      <c r="E95" s="5" t="s">
        <v>1026</v>
      </c>
      <c r="F95" s="58">
        <v>210975</v>
      </c>
      <c r="G95" s="5" t="s">
        <v>1027</v>
      </c>
      <c r="H95" s="5" t="s">
        <v>1028</v>
      </c>
      <c r="I95" s="60">
        <v>1</v>
      </c>
      <c r="J95" s="5" t="s">
        <v>994</v>
      </c>
      <c r="K95" s="5" t="s">
        <v>995</v>
      </c>
      <c r="L95" s="5" t="s">
        <v>996</v>
      </c>
      <c r="M95" s="5">
        <v>2</v>
      </c>
      <c r="N95" s="5" t="str">
        <f t="shared" si="1"/>
        <v>Feb</v>
      </c>
    </row>
    <row r="96" spans="1:14" x14ac:dyDescent="0.35">
      <c r="A96" s="5" t="s">
        <v>2163</v>
      </c>
      <c r="B96" s="5" t="s">
        <v>167</v>
      </c>
      <c r="C96" s="5" t="s">
        <v>990</v>
      </c>
      <c r="D96" s="5" t="s">
        <v>1029</v>
      </c>
      <c r="E96" s="5" t="s">
        <v>1030</v>
      </c>
      <c r="F96" s="58">
        <v>172187.5</v>
      </c>
      <c r="G96" s="5" t="s">
        <v>1031</v>
      </c>
      <c r="H96" s="5" t="s">
        <v>1032</v>
      </c>
      <c r="I96" s="59">
        <v>0.20300000000000001</v>
      </c>
      <c r="J96" s="5" t="s">
        <v>994</v>
      </c>
      <c r="K96" s="5" t="s">
        <v>995</v>
      </c>
      <c r="L96" s="5" t="s">
        <v>996</v>
      </c>
      <c r="M96" s="5">
        <v>2</v>
      </c>
      <c r="N96" s="5" t="str">
        <f t="shared" si="1"/>
        <v>Feb</v>
      </c>
    </row>
    <row r="97" spans="1:14" x14ac:dyDescent="0.35">
      <c r="A97" s="5" t="s">
        <v>2163</v>
      </c>
      <c r="B97" s="5" t="s">
        <v>167</v>
      </c>
      <c r="C97" s="5" t="s">
        <v>990</v>
      </c>
      <c r="D97" s="5" t="s">
        <v>1033</v>
      </c>
      <c r="E97" s="5" t="s">
        <v>1034</v>
      </c>
      <c r="F97" s="58">
        <v>15730.88</v>
      </c>
      <c r="G97" s="5" t="s">
        <v>1035</v>
      </c>
      <c r="H97" s="5" t="s">
        <v>1036</v>
      </c>
      <c r="I97" s="60">
        <v>1</v>
      </c>
      <c r="J97" s="5" t="s">
        <v>994</v>
      </c>
      <c r="K97" s="5" t="s">
        <v>995</v>
      </c>
      <c r="L97" s="5" t="s">
        <v>996</v>
      </c>
      <c r="M97" s="5">
        <v>2</v>
      </c>
      <c r="N97" s="5" t="str">
        <f t="shared" si="1"/>
        <v>Feb</v>
      </c>
    </row>
    <row r="98" spans="1:14" x14ac:dyDescent="0.35">
      <c r="A98" s="5" t="s">
        <v>2163</v>
      </c>
      <c r="B98" s="5" t="s">
        <v>167</v>
      </c>
      <c r="C98" s="5" t="s">
        <v>990</v>
      </c>
      <c r="D98" s="5" t="s">
        <v>1033</v>
      </c>
      <c r="E98" s="5" t="s">
        <v>1037</v>
      </c>
      <c r="F98" s="58">
        <v>106537.2</v>
      </c>
      <c r="G98" s="5" t="s">
        <v>1038</v>
      </c>
      <c r="H98" s="5" t="s">
        <v>1036</v>
      </c>
      <c r="I98" s="60">
        <v>20</v>
      </c>
      <c r="J98" s="5" t="s">
        <v>994</v>
      </c>
      <c r="K98" s="5" t="s">
        <v>995</v>
      </c>
      <c r="L98" s="5" t="s">
        <v>996</v>
      </c>
      <c r="M98" s="5">
        <v>2</v>
      </c>
      <c r="N98" s="5" t="str">
        <f t="shared" si="1"/>
        <v>Feb</v>
      </c>
    </row>
    <row r="99" spans="1:14" x14ac:dyDescent="0.35">
      <c r="A99" s="5" t="s">
        <v>2163</v>
      </c>
      <c r="B99" s="5" t="s">
        <v>167</v>
      </c>
      <c r="C99" s="5" t="s">
        <v>990</v>
      </c>
      <c r="D99" s="5" t="s">
        <v>1033</v>
      </c>
      <c r="E99" s="5" t="s">
        <v>1039</v>
      </c>
      <c r="F99" s="58">
        <v>224727</v>
      </c>
      <c r="G99" s="5" t="s">
        <v>1040</v>
      </c>
      <c r="H99" s="5" t="s">
        <v>993</v>
      </c>
      <c r="I99" s="60">
        <v>75</v>
      </c>
      <c r="J99" s="5" t="s">
        <v>994</v>
      </c>
      <c r="K99" s="5" t="s">
        <v>995</v>
      </c>
      <c r="L99" s="5" t="s">
        <v>996</v>
      </c>
      <c r="M99" s="5">
        <v>2</v>
      </c>
      <c r="N99" s="5" t="str">
        <f t="shared" si="1"/>
        <v>Feb</v>
      </c>
    </row>
    <row r="100" spans="1:14" x14ac:dyDescent="0.35">
      <c r="A100" s="5" t="s">
        <v>2163</v>
      </c>
      <c r="B100" s="5" t="s">
        <v>167</v>
      </c>
      <c r="C100" s="5" t="s">
        <v>990</v>
      </c>
      <c r="D100" s="5" t="s">
        <v>1033</v>
      </c>
      <c r="E100" s="5" t="s">
        <v>1043</v>
      </c>
      <c r="F100" s="58">
        <v>106537.2</v>
      </c>
      <c r="G100" s="5" t="s">
        <v>1038</v>
      </c>
      <c r="H100" s="5" t="s">
        <v>1036</v>
      </c>
      <c r="I100" s="60">
        <v>20</v>
      </c>
      <c r="J100" s="5" t="s">
        <v>994</v>
      </c>
      <c r="K100" s="5" t="s">
        <v>995</v>
      </c>
      <c r="L100" s="5" t="s">
        <v>996</v>
      </c>
      <c r="M100" s="5">
        <v>2</v>
      </c>
      <c r="N100" s="5" t="str">
        <f t="shared" si="1"/>
        <v>Feb</v>
      </c>
    </row>
    <row r="101" spans="1:14" x14ac:dyDescent="0.35">
      <c r="A101" s="5" t="s">
        <v>2163</v>
      </c>
      <c r="B101" s="5" t="s">
        <v>167</v>
      </c>
      <c r="C101" s="5" t="s">
        <v>990</v>
      </c>
      <c r="D101" s="5" t="s">
        <v>1033</v>
      </c>
      <c r="E101" s="5" t="s">
        <v>1044</v>
      </c>
      <c r="F101" s="58">
        <v>224727</v>
      </c>
      <c r="G101" s="5" t="s">
        <v>1040</v>
      </c>
      <c r="H101" s="5" t="s">
        <v>1036</v>
      </c>
      <c r="I101" s="60">
        <v>75</v>
      </c>
      <c r="J101" s="5" t="s">
        <v>994</v>
      </c>
      <c r="K101" s="5" t="s">
        <v>995</v>
      </c>
      <c r="L101" s="5" t="s">
        <v>996</v>
      </c>
      <c r="M101" s="5">
        <v>2</v>
      </c>
      <c r="N101" s="5" t="str">
        <f t="shared" si="1"/>
        <v>Feb</v>
      </c>
    </row>
    <row r="102" spans="1:14" x14ac:dyDescent="0.35">
      <c r="A102" s="5" t="s">
        <v>2163</v>
      </c>
      <c r="B102" s="5" t="s">
        <v>167</v>
      </c>
      <c r="C102" s="5" t="s">
        <v>990</v>
      </c>
      <c r="D102" s="5" t="s">
        <v>1033</v>
      </c>
      <c r="E102" s="5" t="s">
        <v>1045</v>
      </c>
      <c r="F102" s="58">
        <v>15730.88</v>
      </c>
      <c r="G102" s="5" t="s">
        <v>1046</v>
      </c>
      <c r="H102" s="5" t="s">
        <v>1036</v>
      </c>
      <c r="I102" s="60">
        <v>1</v>
      </c>
      <c r="J102" s="5" t="s">
        <v>994</v>
      </c>
      <c r="K102" s="5" t="s">
        <v>995</v>
      </c>
      <c r="L102" s="5" t="s">
        <v>996</v>
      </c>
      <c r="M102" s="5">
        <v>2</v>
      </c>
      <c r="N102" s="5" t="str">
        <f t="shared" si="1"/>
        <v>Feb</v>
      </c>
    </row>
    <row r="103" spans="1:14" x14ac:dyDescent="0.35">
      <c r="A103" s="5" t="s">
        <v>2163</v>
      </c>
      <c r="B103" s="5" t="s">
        <v>167</v>
      </c>
      <c r="C103" s="5" t="s">
        <v>990</v>
      </c>
      <c r="D103" s="5" t="s">
        <v>1033</v>
      </c>
      <c r="E103" s="5" t="s">
        <v>1047</v>
      </c>
      <c r="F103" s="58">
        <v>245535</v>
      </c>
      <c r="G103" s="5" t="s">
        <v>1048</v>
      </c>
      <c r="H103" s="5" t="s">
        <v>1036</v>
      </c>
      <c r="I103" s="60">
        <v>50</v>
      </c>
      <c r="J103" s="5" t="s">
        <v>994</v>
      </c>
      <c r="K103" s="5" t="s">
        <v>995</v>
      </c>
      <c r="L103" s="5" t="s">
        <v>996</v>
      </c>
      <c r="M103" s="5">
        <v>2</v>
      </c>
      <c r="N103" s="5" t="str">
        <f t="shared" si="1"/>
        <v>Feb</v>
      </c>
    </row>
    <row r="104" spans="1:14" x14ac:dyDescent="0.35">
      <c r="A104" s="5" t="s">
        <v>2163</v>
      </c>
      <c r="B104" s="5" t="s">
        <v>167</v>
      </c>
      <c r="C104" s="5" t="s">
        <v>990</v>
      </c>
      <c r="D104" s="5" t="s">
        <v>1033</v>
      </c>
      <c r="E104" s="5" t="s">
        <v>1049</v>
      </c>
      <c r="F104" s="58">
        <v>101626.47</v>
      </c>
      <c r="G104" s="5" t="s">
        <v>1050</v>
      </c>
      <c r="H104" s="5" t="s">
        <v>1036</v>
      </c>
      <c r="I104" s="60">
        <v>33</v>
      </c>
      <c r="J104" s="5" t="s">
        <v>994</v>
      </c>
      <c r="K104" s="5" t="s">
        <v>995</v>
      </c>
      <c r="L104" s="5" t="s">
        <v>996</v>
      </c>
      <c r="M104" s="5">
        <v>2</v>
      </c>
      <c r="N104" s="5" t="str">
        <f t="shared" si="1"/>
        <v>Feb</v>
      </c>
    </row>
    <row r="105" spans="1:14" x14ac:dyDescent="0.35">
      <c r="A105" s="5" t="s">
        <v>2163</v>
      </c>
      <c r="B105" s="5" t="s">
        <v>167</v>
      </c>
      <c r="C105" s="5" t="s">
        <v>990</v>
      </c>
      <c r="D105" s="5" t="s">
        <v>1033</v>
      </c>
      <c r="E105" s="5" t="s">
        <v>1051</v>
      </c>
      <c r="F105" s="58">
        <v>101377.08</v>
      </c>
      <c r="G105" s="5" t="s">
        <v>1052</v>
      </c>
      <c r="H105" s="5" t="s">
        <v>1036</v>
      </c>
      <c r="I105" s="60">
        <v>84</v>
      </c>
      <c r="J105" s="5" t="s">
        <v>994</v>
      </c>
      <c r="K105" s="5" t="s">
        <v>995</v>
      </c>
      <c r="L105" s="5" t="s">
        <v>996</v>
      </c>
      <c r="M105" s="5">
        <v>2</v>
      </c>
      <c r="N105" s="5" t="str">
        <f t="shared" si="1"/>
        <v>Feb</v>
      </c>
    </row>
    <row r="106" spans="1:14" x14ac:dyDescent="0.35">
      <c r="A106" s="5" t="s">
        <v>2163</v>
      </c>
      <c r="B106" s="5" t="s">
        <v>167</v>
      </c>
      <c r="C106" s="5" t="s">
        <v>990</v>
      </c>
      <c r="D106" s="5" t="s">
        <v>1033</v>
      </c>
      <c r="E106" s="5" t="s">
        <v>1053</v>
      </c>
      <c r="F106" s="58">
        <v>4268.8999999999996</v>
      </c>
      <c r="G106" s="5" t="s">
        <v>1054</v>
      </c>
      <c r="H106" s="5" t="s">
        <v>1036</v>
      </c>
      <c r="I106" s="60">
        <v>2</v>
      </c>
      <c r="J106" s="5" t="s">
        <v>994</v>
      </c>
      <c r="K106" s="5" t="s">
        <v>995</v>
      </c>
      <c r="L106" s="5" t="s">
        <v>996</v>
      </c>
      <c r="M106" s="5">
        <v>2</v>
      </c>
      <c r="N106" s="5" t="str">
        <f t="shared" si="1"/>
        <v>Feb</v>
      </c>
    </row>
    <row r="107" spans="1:14" x14ac:dyDescent="0.35">
      <c r="A107" s="5" t="s">
        <v>2163</v>
      </c>
      <c r="B107" s="5" t="s">
        <v>167</v>
      </c>
      <c r="C107" s="5" t="s">
        <v>990</v>
      </c>
      <c r="D107" s="5" t="s">
        <v>1033</v>
      </c>
      <c r="E107" s="5" t="s">
        <v>1055</v>
      </c>
      <c r="F107" s="58">
        <v>7490.9</v>
      </c>
      <c r="G107" s="5" t="s">
        <v>1056</v>
      </c>
      <c r="H107" s="5" t="s">
        <v>1036</v>
      </c>
      <c r="I107" s="60">
        <v>5</v>
      </c>
      <c r="J107" s="5" t="s">
        <v>994</v>
      </c>
      <c r="K107" s="5" t="s">
        <v>995</v>
      </c>
      <c r="L107" s="5" t="s">
        <v>996</v>
      </c>
      <c r="M107" s="5">
        <v>2</v>
      </c>
      <c r="N107" s="5" t="str">
        <f t="shared" si="1"/>
        <v>Feb</v>
      </c>
    </row>
    <row r="108" spans="1:14" x14ac:dyDescent="0.35">
      <c r="A108" s="5" t="s">
        <v>2164</v>
      </c>
      <c r="B108" s="5" t="s">
        <v>1123</v>
      </c>
      <c r="C108" s="5" t="s">
        <v>990</v>
      </c>
      <c r="D108" s="5" t="s">
        <v>1127</v>
      </c>
      <c r="E108" s="5" t="s">
        <v>1128</v>
      </c>
      <c r="F108" s="58">
        <v>26321.43</v>
      </c>
      <c r="G108" s="5" t="s">
        <v>1129</v>
      </c>
      <c r="H108" s="5" t="s">
        <v>993</v>
      </c>
      <c r="I108" s="60">
        <v>4</v>
      </c>
      <c r="J108" s="5" t="s">
        <v>994</v>
      </c>
      <c r="K108" s="5" t="s">
        <v>995</v>
      </c>
      <c r="L108" s="5" t="s">
        <v>996</v>
      </c>
      <c r="M108" s="5">
        <v>1</v>
      </c>
      <c r="N108" s="5" t="str">
        <f t="shared" si="1"/>
        <v>Jan</v>
      </c>
    </row>
    <row r="109" spans="1:14" x14ac:dyDescent="0.35">
      <c r="A109" s="5" t="s">
        <v>2164</v>
      </c>
      <c r="B109" s="5" t="s">
        <v>1123</v>
      </c>
      <c r="C109" s="5" t="s">
        <v>990</v>
      </c>
      <c r="D109" s="5" t="s">
        <v>1124</v>
      </c>
      <c r="E109" s="5" t="s">
        <v>1125</v>
      </c>
      <c r="F109" s="58">
        <v>107142.86</v>
      </c>
      <c r="G109" s="5" t="s">
        <v>1126</v>
      </c>
      <c r="H109" s="5" t="s">
        <v>993</v>
      </c>
      <c r="I109" s="60">
        <v>1</v>
      </c>
      <c r="J109" s="5" t="s">
        <v>994</v>
      </c>
      <c r="K109" s="5" t="s">
        <v>995</v>
      </c>
      <c r="L109" s="5" t="s">
        <v>996</v>
      </c>
      <c r="M109" s="5">
        <v>1</v>
      </c>
      <c r="N109" s="5" t="str">
        <f t="shared" si="1"/>
        <v>Jan</v>
      </c>
    </row>
    <row r="110" spans="1:14" x14ac:dyDescent="0.35">
      <c r="A110" s="5" t="s">
        <v>2165</v>
      </c>
      <c r="B110" s="5" t="s">
        <v>2166</v>
      </c>
      <c r="C110" s="5" t="s">
        <v>990</v>
      </c>
      <c r="D110" s="5" t="s">
        <v>1451</v>
      </c>
      <c r="E110" s="5" t="s">
        <v>2606</v>
      </c>
      <c r="F110" s="58">
        <v>-6750000</v>
      </c>
      <c r="G110" s="5" t="s">
        <v>1452</v>
      </c>
      <c r="H110" s="5" t="s">
        <v>993</v>
      </c>
      <c r="I110" s="59">
        <v>-0.45</v>
      </c>
      <c r="J110" s="5" t="s">
        <v>994</v>
      </c>
      <c r="K110" s="5" t="s">
        <v>995</v>
      </c>
      <c r="L110" s="5" t="s">
        <v>996</v>
      </c>
      <c r="M110" s="5">
        <v>7</v>
      </c>
      <c r="N110" s="5" t="str">
        <f t="shared" si="1"/>
        <v>Jul</v>
      </c>
    </row>
    <row r="111" spans="1:14" x14ac:dyDescent="0.35">
      <c r="A111" s="5" t="s">
        <v>2165</v>
      </c>
      <c r="B111" s="5" t="s">
        <v>2166</v>
      </c>
      <c r="C111" s="5" t="s">
        <v>990</v>
      </c>
      <c r="D111" s="5" t="s">
        <v>1451</v>
      </c>
      <c r="E111" s="5" t="s">
        <v>2607</v>
      </c>
      <c r="F111" s="58">
        <v>6300000</v>
      </c>
      <c r="G111" s="5" t="s">
        <v>1452</v>
      </c>
      <c r="H111" s="5" t="s">
        <v>993</v>
      </c>
      <c r="I111" s="59">
        <v>0.42</v>
      </c>
      <c r="J111" s="5" t="s">
        <v>994</v>
      </c>
      <c r="K111" s="5" t="s">
        <v>995</v>
      </c>
      <c r="L111" s="5" t="s">
        <v>996</v>
      </c>
      <c r="M111" s="5">
        <v>7</v>
      </c>
      <c r="N111" s="5" t="str">
        <f t="shared" si="1"/>
        <v>Jul</v>
      </c>
    </row>
    <row r="112" spans="1:14" x14ac:dyDescent="0.35">
      <c r="A112" s="5" t="s">
        <v>2165</v>
      </c>
      <c r="B112" s="5" t="s">
        <v>2166</v>
      </c>
      <c r="C112" s="5" t="s">
        <v>990</v>
      </c>
      <c r="D112" s="5" t="s">
        <v>1451</v>
      </c>
      <c r="E112" s="5" t="s">
        <v>2167</v>
      </c>
      <c r="F112" s="58">
        <v>6750000</v>
      </c>
      <c r="G112" s="5" t="s">
        <v>1452</v>
      </c>
      <c r="H112" s="5" t="s">
        <v>993</v>
      </c>
      <c r="I112" s="59">
        <v>0.45</v>
      </c>
      <c r="J112" s="5" t="s">
        <v>994</v>
      </c>
      <c r="K112" s="5" t="s">
        <v>995</v>
      </c>
      <c r="L112" s="5" t="s">
        <v>996</v>
      </c>
      <c r="M112" s="5">
        <v>5</v>
      </c>
      <c r="N112" s="5" t="str">
        <f t="shared" si="1"/>
        <v>May</v>
      </c>
    </row>
    <row r="113" spans="1:14" x14ac:dyDescent="0.35">
      <c r="A113" s="5" t="s">
        <v>2168</v>
      </c>
      <c r="B113" s="5" t="s">
        <v>1130</v>
      </c>
      <c r="C113" s="5" t="s">
        <v>990</v>
      </c>
      <c r="D113" s="5" t="s">
        <v>175</v>
      </c>
      <c r="E113" s="5" t="s">
        <v>1131</v>
      </c>
      <c r="F113" s="58">
        <v>285714.28999999998</v>
      </c>
      <c r="G113" s="5" t="s">
        <v>1132</v>
      </c>
      <c r="H113" s="5" t="s">
        <v>993</v>
      </c>
      <c r="I113" s="60">
        <v>1</v>
      </c>
      <c r="J113" s="5" t="s">
        <v>994</v>
      </c>
      <c r="K113" s="5" t="s">
        <v>995</v>
      </c>
      <c r="L113" s="5" t="s">
        <v>996</v>
      </c>
      <c r="M113" s="5">
        <v>3</v>
      </c>
      <c r="N113" s="5" t="str">
        <f t="shared" si="1"/>
        <v>Mar</v>
      </c>
    </row>
    <row r="114" spans="1:14" x14ac:dyDescent="0.35">
      <c r="A114" s="5" t="s">
        <v>2169</v>
      </c>
      <c r="B114" s="5" t="s">
        <v>114</v>
      </c>
      <c r="C114" s="5" t="s">
        <v>990</v>
      </c>
      <c r="D114" s="5" t="s">
        <v>1144</v>
      </c>
      <c r="E114" s="5" t="s">
        <v>1158</v>
      </c>
      <c r="F114" s="58">
        <v>411428.57</v>
      </c>
      <c r="G114" s="5" t="s">
        <v>1146</v>
      </c>
      <c r="H114" s="5" t="s">
        <v>1159</v>
      </c>
      <c r="I114" s="60">
        <v>1440</v>
      </c>
      <c r="J114" s="5" t="s">
        <v>994</v>
      </c>
      <c r="K114" s="5" t="s">
        <v>995</v>
      </c>
      <c r="L114" s="5" t="s">
        <v>996</v>
      </c>
      <c r="M114" s="5">
        <v>3</v>
      </c>
      <c r="N114" s="5" t="str">
        <f t="shared" si="1"/>
        <v>Mar</v>
      </c>
    </row>
    <row r="115" spans="1:14" x14ac:dyDescent="0.35">
      <c r="A115" s="5" t="s">
        <v>2169</v>
      </c>
      <c r="B115" s="5" t="s">
        <v>114</v>
      </c>
      <c r="C115" s="5" t="s">
        <v>990</v>
      </c>
      <c r="D115" s="5" t="s">
        <v>1144</v>
      </c>
      <c r="E115" s="5" t="s">
        <v>1157</v>
      </c>
      <c r="F115" s="58">
        <v>274285.71000000002</v>
      </c>
      <c r="G115" s="5" t="s">
        <v>1146</v>
      </c>
      <c r="H115" s="5" t="s">
        <v>1153</v>
      </c>
      <c r="I115" s="60">
        <v>960</v>
      </c>
      <c r="J115" s="5" t="s">
        <v>994</v>
      </c>
      <c r="K115" s="5" t="s">
        <v>995</v>
      </c>
      <c r="L115" s="5" t="s">
        <v>996</v>
      </c>
      <c r="M115" s="5">
        <v>3</v>
      </c>
      <c r="N115" s="5" t="str">
        <f t="shared" si="1"/>
        <v>Mar</v>
      </c>
    </row>
    <row r="116" spans="1:14" x14ac:dyDescent="0.35">
      <c r="A116" s="5" t="s">
        <v>2169</v>
      </c>
      <c r="B116" s="5" t="s">
        <v>114</v>
      </c>
      <c r="C116" s="5" t="s">
        <v>990</v>
      </c>
      <c r="D116" s="5" t="s">
        <v>1144</v>
      </c>
      <c r="E116" s="5" t="s">
        <v>1156</v>
      </c>
      <c r="F116" s="58">
        <v>458285.71</v>
      </c>
      <c r="G116" s="5" t="s">
        <v>1146</v>
      </c>
      <c r="H116" s="5" t="s">
        <v>1151</v>
      </c>
      <c r="I116" s="60">
        <v>1604</v>
      </c>
      <c r="J116" s="5" t="s">
        <v>994</v>
      </c>
      <c r="K116" s="5" t="s">
        <v>995</v>
      </c>
      <c r="L116" s="5" t="s">
        <v>996</v>
      </c>
      <c r="M116" s="5">
        <v>3</v>
      </c>
      <c r="N116" s="5" t="str">
        <f t="shared" si="1"/>
        <v>Mar</v>
      </c>
    </row>
    <row r="117" spans="1:14" x14ac:dyDescent="0.35">
      <c r="A117" s="5" t="s">
        <v>2169</v>
      </c>
      <c r="B117" s="5" t="s">
        <v>114</v>
      </c>
      <c r="C117" s="5" t="s">
        <v>990</v>
      </c>
      <c r="D117" s="5" t="s">
        <v>1144</v>
      </c>
      <c r="E117" s="5" t="s">
        <v>1155</v>
      </c>
      <c r="F117" s="58">
        <v>-182857.14</v>
      </c>
      <c r="G117" s="5" t="s">
        <v>1146</v>
      </c>
      <c r="H117" s="5" t="s">
        <v>1153</v>
      </c>
      <c r="I117" s="60">
        <v>-640</v>
      </c>
      <c r="J117" s="5" t="s">
        <v>994</v>
      </c>
      <c r="K117" s="5" t="s">
        <v>995</v>
      </c>
      <c r="L117" s="5" t="s">
        <v>996</v>
      </c>
      <c r="M117" s="5">
        <v>3</v>
      </c>
      <c r="N117" s="5" t="str">
        <f t="shared" si="1"/>
        <v>Mar</v>
      </c>
    </row>
    <row r="118" spans="1:14" x14ac:dyDescent="0.35">
      <c r="A118" s="5" t="s">
        <v>2169</v>
      </c>
      <c r="B118" s="5" t="s">
        <v>114</v>
      </c>
      <c r="C118" s="5" t="s">
        <v>990</v>
      </c>
      <c r="D118" s="5" t="s">
        <v>1144</v>
      </c>
      <c r="E118" s="5" t="s">
        <v>1154</v>
      </c>
      <c r="F118" s="58">
        <v>-365714.29</v>
      </c>
      <c r="G118" s="5" t="s">
        <v>1146</v>
      </c>
      <c r="H118" s="5" t="s">
        <v>1151</v>
      </c>
      <c r="I118" s="60">
        <v>-1280</v>
      </c>
      <c r="J118" s="5" t="s">
        <v>994</v>
      </c>
      <c r="K118" s="5" t="s">
        <v>995</v>
      </c>
      <c r="L118" s="5" t="s">
        <v>996</v>
      </c>
      <c r="M118" s="5">
        <v>3</v>
      </c>
      <c r="N118" s="5" t="str">
        <f t="shared" si="1"/>
        <v>Mar</v>
      </c>
    </row>
    <row r="119" spans="1:14" x14ac:dyDescent="0.35">
      <c r="A119" s="5" t="s">
        <v>2169</v>
      </c>
      <c r="B119" s="5" t="s">
        <v>114</v>
      </c>
      <c r="C119" s="5" t="s">
        <v>990</v>
      </c>
      <c r="D119" s="5" t="s">
        <v>1161</v>
      </c>
      <c r="E119" s="5" t="s">
        <v>3224</v>
      </c>
      <c r="F119" s="58">
        <v>3669866.07</v>
      </c>
      <c r="G119" s="5" t="s">
        <v>1163</v>
      </c>
      <c r="H119" s="5" t="s">
        <v>3225</v>
      </c>
      <c r="I119" s="59">
        <v>0.40100000000000002</v>
      </c>
      <c r="J119" s="5" t="s">
        <v>994</v>
      </c>
      <c r="K119" s="5" t="s">
        <v>995</v>
      </c>
      <c r="L119" s="5" t="s">
        <v>996</v>
      </c>
      <c r="M119" s="5">
        <v>8</v>
      </c>
      <c r="N119" s="5" t="str">
        <f t="shared" si="1"/>
        <v>Aug</v>
      </c>
    </row>
    <row r="120" spans="1:14" x14ac:dyDescent="0.35">
      <c r="A120" s="5" t="s">
        <v>2169</v>
      </c>
      <c r="B120" s="5" t="s">
        <v>114</v>
      </c>
      <c r="C120" s="5" t="s">
        <v>990</v>
      </c>
      <c r="D120" s="5" t="s">
        <v>1467</v>
      </c>
      <c r="E120" s="5" t="s">
        <v>2872</v>
      </c>
      <c r="F120" s="58">
        <v>11514285.720000001</v>
      </c>
      <c r="G120" s="5" t="s">
        <v>1468</v>
      </c>
      <c r="H120" s="5" t="s">
        <v>2873</v>
      </c>
      <c r="I120" s="59">
        <v>0.99199999999999999</v>
      </c>
      <c r="J120" s="5" t="s">
        <v>994</v>
      </c>
      <c r="K120" s="5" t="s">
        <v>995</v>
      </c>
      <c r="L120" s="5" t="s">
        <v>996</v>
      </c>
      <c r="M120" s="5">
        <v>7</v>
      </c>
      <c r="N120" s="5" t="str">
        <f t="shared" si="1"/>
        <v>Jul</v>
      </c>
    </row>
    <row r="121" spans="1:14" x14ac:dyDescent="0.35">
      <c r="A121" s="5" t="s">
        <v>2169</v>
      </c>
      <c r="B121" s="5" t="s">
        <v>114</v>
      </c>
      <c r="C121" s="5" t="s">
        <v>990</v>
      </c>
      <c r="D121" s="5" t="s">
        <v>993</v>
      </c>
      <c r="E121" s="5" t="s">
        <v>1139</v>
      </c>
      <c r="F121" s="58">
        <v>373.35</v>
      </c>
      <c r="G121" s="5" t="s">
        <v>993</v>
      </c>
      <c r="H121" s="5" t="s">
        <v>993</v>
      </c>
      <c r="I121" s="59">
        <v>0</v>
      </c>
      <c r="J121" s="5" t="s">
        <v>1019</v>
      </c>
      <c r="K121" s="5" t="s">
        <v>1134</v>
      </c>
      <c r="L121" s="5" t="s">
        <v>1135</v>
      </c>
      <c r="M121" s="5">
        <v>1</v>
      </c>
      <c r="N121" s="5" t="str">
        <f t="shared" si="1"/>
        <v>Jan</v>
      </c>
    </row>
    <row r="122" spans="1:14" x14ac:dyDescent="0.35">
      <c r="A122" s="5" t="s">
        <v>2169</v>
      </c>
      <c r="B122" s="5" t="s">
        <v>114</v>
      </c>
      <c r="C122" s="5" t="s">
        <v>990</v>
      </c>
      <c r="D122" s="5" t="s">
        <v>993</v>
      </c>
      <c r="E122" s="5" t="s">
        <v>1136</v>
      </c>
      <c r="F122" s="58">
        <v>49761.2</v>
      </c>
      <c r="G122" s="5" t="s">
        <v>993</v>
      </c>
      <c r="H122" s="5" t="s">
        <v>993</v>
      </c>
      <c r="I122" s="59">
        <v>0</v>
      </c>
      <c r="J122" s="5" t="s">
        <v>1019</v>
      </c>
      <c r="K122" s="5" t="s">
        <v>1137</v>
      </c>
      <c r="L122" s="5" t="s">
        <v>1138</v>
      </c>
      <c r="M122" s="5">
        <v>1</v>
      </c>
      <c r="N122" s="5" t="str">
        <f t="shared" si="1"/>
        <v>Jan</v>
      </c>
    </row>
    <row r="123" spans="1:14" x14ac:dyDescent="0.35">
      <c r="A123" s="5" t="s">
        <v>2169</v>
      </c>
      <c r="B123" s="5" t="s">
        <v>114</v>
      </c>
      <c r="C123" s="5" t="s">
        <v>990</v>
      </c>
      <c r="D123" s="5" t="s">
        <v>993</v>
      </c>
      <c r="E123" s="5" t="s">
        <v>1133</v>
      </c>
      <c r="F123" s="58">
        <v>2000</v>
      </c>
      <c r="G123" s="5" t="s">
        <v>993</v>
      </c>
      <c r="H123" s="5" t="s">
        <v>993</v>
      </c>
      <c r="I123" s="59">
        <v>0</v>
      </c>
      <c r="J123" s="5" t="s">
        <v>1019</v>
      </c>
      <c r="K123" s="5" t="s">
        <v>1134</v>
      </c>
      <c r="L123" s="5" t="s">
        <v>1135</v>
      </c>
      <c r="M123" s="5">
        <v>1</v>
      </c>
      <c r="N123" s="5" t="str">
        <f t="shared" si="1"/>
        <v>Jan</v>
      </c>
    </row>
    <row r="124" spans="1:14" x14ac:dyDescent="0.35">
      <c r="A124" s="5" t="s">
        <v>2169</v>
      </c>
      <c r="B124" s="5" t="s">
        <v>114</v>
      </c>
      <c r="C124" s="5" t="s">
        <v>990</v>
      </c>
      <c r="D124" s="5" t="s">
        <v>2942</v>
      </c>
      <c r="E124" s="5" t="s">
        <v>3226</v>
      </c>
      <c r="F124" s="58">
        <v>708883.93</v>
      </c>
      <c r="G124" s="5" t="s">
        <v>2941</v>
      </c>
      <c r="H124" s="5" t="s">
        <v>993</v>
      </c>
      <c r="I124" s="60">
        <v>1</v>
      </c>
      <c r="J124" s="5" t="s">
        <v>994</v>
      </c>
      <c r="K124" s="5" t="s">
        <v>995</v>
      </c>
      <c r="L124" s="5" t="s">
        <v>996</v>
      </c>
      <c r="M124" s="5">
        <v>9</v>
      </c>
      <c r="N124" s="5" t="str">
        <f t="shared" si="1"/>
        <v>Sep</v>
      </c>
    </row>
    <row r="125" spans="1:14" x14ac:dyDescent="0.35">
      <c r="A125" s="5" t="s">
        <v>2169</v>
      </c>
      <c r="B125" s="5" t="s">
        <v>114</v>
      </c>
      <c r="C125" s="5" t="s">
        <v>990</v>
      </c>
      <c r="D125" s="5" t="s">
        <v>1463</v>
      </c>
      <c r="E125" s="5" t="s">
        <v>3227</v>
      </c>
      <c r="F125" s="58">
        <v>1004464.29</v>
      </c>
      <c r="G125" s="5" t="s">
        <v>1464</v>
      </c>
      <c r="H125" s="5" t="s">
        <v>993</v>
      </c>
      <c r="I125" s="59">
        <v>0.25</v>
      </c>
      <c r="J125" s="5" t="s">
        <v>994</v>
      </c>
      <c r="K125" s="5" t="s">
        <v>995</v>
      </c>
      <c r="L125" s="5" t="s">
        <v>996</v>
      </c>
      <c r="M125" s="5">
        <v>9</v>
      </c>
      <c r="N125" s="5" t="str">
        <f t="shared" si="1"/>
        <v>Sep</v>
      </c>
    </row>
    <row r="126" spans="1:14" x14ac:dyDescent="0.35">
      <c r="A126" s="5" t="s">
        <v>2169</v>
      </c>
      <c r="B126" s="5" t="s">
        <v>114</v>
      </c>
      <c r="C126" s="5" t="s">
        <v>990</v>
      </c>
      <c r="D126" s="5" t="s">
        <v>1467</v>
      </c>
      <c r="E126" s="5" t="s">
        <v>2868</v>
      </c>
      <c r="F126" s="58">
        <v>0.01</v>
      </c>
      <c r="G126" s="5" t="s">
        <v>1468</v>
      </c>
      <c r="H126" s="5" t="s">
        <v>2869</v>
      </c>
      <c r="I126" s="60">
        <v>0</v>
      </c>
      <c r="J126" s="5" t="s">
        <v>994</v>
      </c>
      <c r="K126" s="5" t="s">
        <v>995</v>
      </c>
      <c r="L126" s="5" t="s">
        <v>996</v>
      </c>
      <c r="M126" s="5">
        <v>8</v>
      </c>
      <c r="N126" s="5" t="str">
        <f t="shared" si="1"/>
        <v>Aug</v>
      </c>
    </row>
    <row r="127" spans="1:14" x14ac:dyDescent="0.35">
      <c r="A127" s="5" t="s">
        <v>2169</v>
      </c>
      <c r="B127" s="5" t="s">
        <v>114</v>
      </c>
      <c r="C127" s="5" t="s">
        <v>990</v>
      </c>
      <c r="D127" s="5" t="s">
        <v>1467</v>
      </c>
      <c r="E127" s="5" t="s">
        <v>2870</v>
      </c>
      <c r="F127" s="58">
        <v>-0.01</v>
      </c>
      <c r="G127" s="5" t="s">
        <v>1468</v>
      </c>
      <c r="H127" s="5" t="s">
        <v>1467</v>
      </c>
      <c r="I127" s="60">
        <v>0</v>
      </c>
      <c r="J127" s="5" t="s">
        <v>994</v>
      </c>
      <c r="K127" s="5" t="s">
        <v>995</v>
      </c>
      <c r="L127" s="5" t="s">
        <v>996</v>
      </c>
      <c r="M127" s="5">
        <v>8</v>
      </c>
      <c r="N127" s="5" t="str">
        <f t="shared" si="1"/>
        <v>Aug</v>
      </c>
    </row>
    <row r="128" spans="1:14" x14ac:dyDescent="0.35">
      <c r="A128" s="5" t="s">
        <v>2169</v>
      </c>
      <c r="B128" s="5" t="s">
        <v>114</v>
      </c>
      <c r="C128" s="5" t="s">
        <v>990</v>
      </c>
      <c r="D128" s="5" t="s">
        <v>1467</v>
      </c>
      <c r="E128" s="5" t="s">
        <v>2871</v>
      </c>
      <c r="F128" s="58">
        <v>-0.01</v>
      </c>
      <c r="G128" s="5" t="s">
        <v>1468</v>
      </c>
      <c r="H128" s="5" t="s">
        <v>2869</v>
      </c>
      <c r="I128" s="60">
        <v>0</v>
      </c>
      <c r="J128" s="5" t="s">
        <v>994</v>
      </c>
      <c r="K128" s="5" t="s">
        <v>995</v>
      </c>
      <c r="L128" s="5" t="s">
        <v>996</v>
      </c>
      <c r="M128" s="5">
        <v>8</v>
      </c>
      <c r="N128" s="5" t="str">
        <f t="shared" si="1"/>
        <v>Aug</v>
      </c>
    </row>
    <row r="129" spans="1:14" x14ac:dyDescent="0.35">
      <c r="A129" s="5" t="s">
        <v>2169</v>
      </c>
      <c r="B129" s="5" t="s">
        <v>114</v>
      </c>
      <c r="C129" s="5" t="s">
        <v>990</v>
      </c>
      <c r="D129" s="5" t="s">
        <v>1463</v>
      </c>
      <c r="E129" s="5" t="s">
        <v>2608</v>
      </c>
      <c r="F129" s="58">
        <v>2611607.14</v>
      </c>
      <c r="G129" s="5" t="s">
        <v>1464</v>
      </c>
      <c r="H129" s="5" t="s">
        <v>2609</v>
      </c>
      <c r="I129" s="59">
        <v>0.65</v>
      </c>
      <c r="J129" s="5" t="s">
        <v>994</v>
      </c>
      <c r="K129" s="5" t="s">
        <v>995</v>
      </c>
      <c r="L129" s="5" t="s">
        <v>996</v>
      </c>
      <c r="M129" s="5">
        <v>6</v>
      </c>
      <c r="N129" s="5" t="str">
        <f t="shared" si="1"/>
        <v>Jun</v>
      </c>
    </row>
    <row r="130" spans="1:14" x14ac:dyDescent="0.35">
      <c r="A130" s="5" t="s">
        <v>2169</v>
      </c>
      <c r="B130" s="5" t="s">
        <v>114</v>
      </c>
      <c r="C130" s="5" t="s">
        <v>990</v>
      </c>
      <c r="D130" s="5" t="s">
        <v>1144</v>
      </c>
      <c r="E130" s="5" t="s">
        <v>1906</v>
      </c>
      <c r="F130" s="58">
        <v>411428.57</v>
      </c>
      <c r="G130" s="5" t="s">
        <v>1146</v>
      </c>
      <c r="H130" s="5" t="s">
        <v>1159</v>
      </c>
      <c r="I130" s="60">
        <v>1440</v>
      </c>
      <c r="J130" s="5" t="s">
        <v>994</v>
      </c>
      <c r="K130" s="5" t="s">
        <v>995</v>
      </c>
      <c r="L130" s="5" t="s">
        <v>996</v>
      </c>
      <c r="M130" s="5">
        <v>4</v>
      </c>
      <c r="N130" s="5" t="str">
        <f t="shared" si="1"/>
        <v>Apr</v>
      </c>
    </row>
    <row r="131" spans="1:14" x14ac:dyDescent="0.35">
      <c r="A131" s="5" t="s">
        <v>2169</v>
      </c>
      <c r="B131" s="5" t="s">
        <v>114</v>
      </c>
      <c r="C131" s="5" t="s">
        <v>990</v>
      </c>
      <c r="D131" s="5" t="s">
        <v>1161</v>
      </c>
      <c r="E131" s="5" t="s">
        <v>1904</v>
      </c>
      <c r="F131" s="58">
        <v>3184821.43</v>
      </c>
      <c r="G131" s="5" t="s">
        <v>1163</v>
      </c>
      <c r="H131" s="5" t="s">
        <v>1905</v>
      </c>
      <c r="I131" s="59">
        <v>0.34799999999999998</v>
      </c>
      <c r="J131" s="5" t="s">
        <v>994</v>
      </c>
      <c r="K131" s="5" t="s">
        <v>995</v>
      </c>
      <c r="L131" s="5" t="s">
        <v>996</v>
      </c>
      <c r="M131" s="5">
        <v>4</v>
      </c>
      <c r="N131" s="5" t="str">
        <f t="shared" si="1"/>
        <v>Apr</v>
      </c>
    </row>
    <row r="132" spans="1:14" x14ac:dyDescent="0.35">
      <c r="A132" s="5" t="s">
        <v>2169</v>
      </c>
      <c r="B132" s="5" t="s">
        <v>114</v>
      </c>
      <c r="C132" s="5" t="s">
        <v>990</v>
      </c>
      <c r="D132" s="5" t="s">
        <v>1161</v>
      </c>
      <c r="E132" s="5" t="s">
        <v>1162</v>
      </c>
      <c r="F132" s="58">
        <v>5481919.6399999997</v>
      </c>
      <c r="G132" s="5" t="s">
        <v>1163</v>
      </c>
      <c r="H132" s="5" t="s">
        <v>993</v>
      </c>
      <c r="I132" s="59">
        <v>0.59899999999999998</v>
      </c>
      <c r="J132" s="5" t="s">
        <v>994</v>
      </c>
      <c r="K132" s="5" t="s">
        <v>995</v>
      </c>
      <c r="L132" s="5" t="s">
        <v>996</v>
      </c>
      <c r="M132" s="5">
        <v>3</v>
      </c>
      <c r="N132" s="5" t="str">
        <f t="shared" ref="N132:N195" si="2">_xlfn.XLOOKUP(M132,$Q$3:$Q$14,$R$3:$R$14)</f>
        <v>Mar</v>
      </c>
    </row>
    <row r="133" spans="1:14" x14ac:dyDescent="0.35">
      <c r="A133" s="5" t="s">
        <v>2169</v>
      </c>
      <c r="B133" s="5" t="s">
        <v>114</v>
      </c>
      <c r="C133" s="5" t="s">
        <v>990</v>
      </c>
      <c r="D133" s="5" t="s">
        <v>1144</v>
      </c>
      <c r="E133" s="5" t="s">
        <v>1152</v>
      </c>
      <c r="F133" s="58">
        <v>182857.14</v>
      </c>
      <c r="G133" s="5" t="s">
        <v>1146</v>
      </c>
      <c r="H133" s="5" t="s">
        <v>1153</v>
      </c>
      <c r="I133" s="60">
        <v>640</v>
      </c>
      <c r="J133" s="5" t="s">
        <v>994</v>
      </c>
      <c r="K133" s="5" t="s">
        <v>995</v>
      </c>
      <c r="L133" s="5" t="s">
        <v>996</v>
      </c>
      <c r="M133" s="5">
        <v>3</v>
      </c>
      <c r="N133" s="5" t="str">
        <f t="shared" si="2"/>
        <v>Mar</v>
      </c>
    </row>
    <row r="134" spans="1:14" x14ac:dyDescent="0.35">
      <c r="A134" s="5" t="s">
        <v>2169</v>
      </c>
      <c r="B134" s="5" t="s">
        <v>114</v>
      </c>
      <c r="C134" s="5" t="s">
        <v>990</v>
      </c>
      <c r="D134" s="5" t="s">
        <v>1144</v>
      </c>
      <c r="E134" s="5" t="s">
        <v>1150</v>
      </c>
      <c r="F134" s="58">
        <v>365714.29</v>
      </c>
      <c r="G134" s="5" t="s">
        <v>1146</v>
      </c>
      <c r="H134" s="5" t="s">
        <v>1151</v>
      </c>
      <c r="I134" s="60">
        <v>1280</v>
      </c>
      <c r="J134" s="5" t="s">
        <v>994</v>
      </c>
      <c r="K134" s="5" t="s">
        <v>995</v>
      </c>
      <c r="L134" s="5" t="s">
        <v>996</v>
      </c>
      <c r="M134" s="5">
        <v>3</v>
      </c>
      <c r="N134" s="5" t="str">
        <f t="shared" si="2"/>
        <v>Mar</v>
      </c>
    </row>
    <row r="135" spans="1:14" x14ac:dyDescent="0.35">
      <c r="A135" s="5" t="s">
        <v>2169</v>
      </c>
      <c r="B135" s="5" t="s">
        <v>114</v>
      </c>
      <c r="C135" s="5" t="s">
        <v>990</v>
      </c>
      <c r="D135" s="5" t="s">
        <v>1144</v>
      </c>
      <c r="E135" s="5" t="s">
        <v>1148</v>
      </c>
      <c r="F135" s="58">
        <v>411428.57</v>
      </c>
      <c r="G135" s="5" t="s">
        <v>1146</v>
      </c>
      <c r="H135" s="5" t="s">
        <v>1149</v>
      </c>
      <c r="I135" s="60">
        <v>1440</v>
      </c>
      <c r="J135" s="5" t="s">
        <v>994</v>
      </c>
      <c r="K135" s="5" t="s">
        <v>995</v>
      </c>
      <c r="L135" s="5" t="s">
        <v>996</v>
      </c>
      <c r="M135" s="5">
        <v>3</v>
      </c>
      <c r="N135" s="5" t="str">
        <f t="shared" si="2"/>
        <v>Mar</v>
      </c>
    </row>
    <row r="136" spans="1:14" x14ac:dyDescent="0.35">
      <c r="A136" s="5" t="s">
        <v>2169</v>
      </c>
      <c r="B136" s="5" t="s">
        <v>114</v>
      </c>
      <c r="C136" s="5" t="s">
        <v>990</v>
      </c>
      <c r="D136" s="5" t="s">
        <v>1144</v>
      </c>
      <c r="E136" s="5" t="s">
        <v>1145</v>
      </c>
      <c r="F136" s="58">
        <v>411428.57</v>
      </c>
      <c r="G136" s="5" t="s">
        <v>1146</v>
      </c>
      <c r="H136" s="5" t="s">
        <v>1147</v>
      </c>
      <c r="I136" s="60">
        <v>1440</v>
      </c>
      <c r="J136" s="5" t="s">
        <v>994</v>
      </c>
      <c r="K136" s="5" t="s">
        <v>995</v>
      </c>
      <c r="L136" s="5" t="s">
        <v>996</v>
      </c>
      <c r="M136" s="5">
        <v>3</v>
      </c>
      <c r="N136" s="5" t="str">
        <f t="shared" si="2"/>
        <v>Mar</v>
      </c>
    </row>
    <row r="137" spans="1:14" x14ac:dyDescent="0.35">
      <c r="A137" s="5" t="s">
        <v>2169</v>
      </c>
      <c r="B137" s="5" t="s">
        <v>114</v>
      </c>
      <c r="C137" s="5" t="s">
        <v>990</v>
      </c>
      <c r="D137" s="5" t="s">
        <v>1161</v>
      </c>
      <c r="E137" s="5" t="s">
        <v>1164</v>
      </c>
      <c r="F137" s="58">
        <v>-5481919.6399999997</v>
      </c>
      <c r="G137" s="5" t="s">
        <v>1163</v>
      </c>
      <c r="H137" s="5" t="s">
        <v>993</v>
      </c>
      <c r="I137" s="59">
        <v>-0.59899999999999998</v>
      </c>
      <c r="J137" s="5" t="s">
        <v>994</v>
      </c>
      <c r="K137" s="5" t="s">
        <v>995</v>
      </c>
      <c r="L137" s="5" t="s">
        <v>996</v>
      </c>
      <c r="M137" s="5">
        <v>3</v>
      </c>
      <c r="N137" s="5" t="str">
        <f t="shared" si="2"/>
        <v>Mar</v>
      </c>
    </row>
    <row r="138" spans="1:14" x14ac:dyDescent="0.35">
      <c r="A138" s="5" t="s">
        <v>2169</v>
      </c>
      <c r="B138" s="5" t="s">
        <v>114</v>
      </c>
      <c r="C138" s="5" t="s">
        <v>990</v>
      </c>
      <c r="D138" s="5" t="s">
        <v>1144</v>
      </c>
      <c r="E138" s="5" t="s">
        <v>1160</v>
      </c>
      <c r="F138" s="58">
        <v>-411428.57</v>
      </c>
      <c r="G138" s="5" t="s">
        <v>1146</v>
      </c>
      <c r="H138" s="5" t="s">
        <v>1159</v>
      </c>
      <c r="I138" s="60">
        <v>-1440</v>
      </c>
      <c r="J138" s="5" t="s">
        <v>994</v>
      </c>
      <c r="K138" s="5" t="s">
        <v>995</v>
      </c>
      <c r="L138" s="5" t="s">
        <v>996</v>
      </c>
      <c r="M138" s="5">
        <v>3</v>
      </c>
      <c r="N138" s="5" t="str">
        <f t="shared" si="2"/>
        <v>Mar</v>
      </c>
    </row>
    <row r="139" spans="1:14" x14ac:dyDescent="0.35">
      <c r="A139" s="5" t="s">
        <v>2169</v>
      </c>
      <c r="B139" s="5" t="s">
        <v>114</v>
      </c>
      <c r="C139" s="5" t="s">
        <v>990</v>
      </c>
      <c r="D139" s="5" t="s">
        <v>993</v>
      </c>
      <c r="E139" s="5" t="s">
        <v>1141</v>
      </c>
      <c r="F139" s="58">
        <v>274</v>
      </c>
      <c r="G139" s="5" t="s">
        <v>993</v>
      </c>
      <c r="H139" s="5" t="s">
        <v>993</v>
      </c>
      <c r="I139" s="59">
        <v>0</v>
      </c>
      <c r="J139" s="5" t="s">
        <v>1019</v>
      </c>
      <c r="K139" s="5" t="s">
        <v>1142</v>
      </c>
      <c r="L139" s="5" t="s">
        <v>1143</v>
      </c>
      <c r="M139" s="5">
        <v>2</v>
      </c>
      <c r="N139" s="5" t="str">
        <f t="shared" si="2"/>
        <v>Feb</v>
      </c>
    </row>
    <row r="140" spans="1:14" x14ac:dyDescent="0.35">
      <c r="A140" s="5" t="s">
        <v>2169</v>
      </c>
      <c r="B140" s="5" t="s">
        <v>114</v>
      </c>
      <c r="C140" s="5" t="s">
        <v>990</v>
      </c>
      <c r="D140" s="5" t="s">
        <v>993</v>
      </c>
      <c r="E140" s="5" t="s">
        <v>1140</v>
      </c>
      <c r="F140" s="58">
        <v>2750</v>
      </c>
      <c r="G140" s="5" t="s">
        <v>993</v>
      </c>
      <c r="H140" s="5" t="s">
        <v>993</v>
      </c>
      <c r="I140" s="59">
        <v>0</v>
      </c>
      <c r="J140" s="5" t="s">
        <v>1019</v>
      </c>
      <c r="K140" s="5" t="s">
        <v>1134</v>
      </c>
      <c r="L140" s="5" t="s">
        <v>1135</v>
      </c>
      <c r="M140" s="5">
        <v>1</v>
      </c>
      <c r="N140" s="5" t="str">
        <f t="shared" si="2"/>
        <v>Jan</v>
      </c>
    </row>
    <row r="141" spans="1:14" x14ac:dyDescent="0.35">
      <c r="A141" s="5" t="s">
        <v>2874</v>
      </c>
      <c r="B141" s="5" t="s">
        <v>2875</v>
      </c>
      <c r="C141" s="5" t="s">
        <v>990</v>
      </c>
      <c r="D141" s="5" t="s">
        <v>1472</v>
      </c>
      <c r="E141" s="5" t="s">
        <v>2876</v>
      </c>
      <c r="F141" s="58">
        <v>208214.29</v>
      </c>
      <c r="G141" s="5" t="s">
        <v>1473</v>
      </c>
      <c r="H141" s="5" t="s">
        <v>993</v>
      </c>
      <c r="I141" s="59">
        <v>0.44</v>
      </c>
      <c r="J141" s="5" t="s">
        <v>994</v>
      </c>
      <c r="K141" s="5" t="s">
        <v>995</v>
      </c>
      <c r="L141" s="5" t="s">
        <v>996</v>
      </c>
      <c r="M141" s="5">
        <v>7</v>
      </c>
      <c r="N141" s="5" t="str">
        <f t="shared" si="2"/>
        <v>Jul</v>
      </c>
    </row>
    <row r="142" spans="1:14" x14ac:dyDescent="0.35">
      <c r="A142" s="5" t="s">
        <v>2170</v>
      </c>
      <c r="B142" s="5" t="s">
        <v>115</v>
      </c>
      <c r="C142" s="5" t="s">
        <v>990</v>
      </c>
      <c r="D142" s="5" t="s">
        <v>1184</v>
      </c>
      <c r="E142" s="5" t="s">
        <v>1185</v>
      </c>
      <c r="F142" s="58">
        <v>30357.14</v>
      </c>
      <c r="G142" s="5" t="s">
        <v>1188</v>
      </c>
      <c r="H142" s="5" t="s">
        <v>1187</v>
      </c>
      <c r="I142" s="60">
        <v>1</v>
      </c>
      <c r="J142" s="5" t="s">
        <v>994</v>
      </c>
      <c r="K142" s="5" t="s">
        <v>995</v>
      </c>
      <c r="L142" s="5" t="s">
        <v>996</v>
      </c>
      <c r="M142" s="5">
        <v>3</v>
      </c>
      <c r="N142" s="5" t="str">
        <f t="shared" si="2"/>
        <v>Mar</v>
      </c>
    </row>
    <row r="143" spans="1:14" x14ac:dyDescent="0.35">
      <c r="A143" s="5" t="s">
        <v>2170</v>
      </c>
      <c r="B143" s="5" t="s">
        <v>115</v>
      </c>
      <c r="C143" s="5" t="s">
        <v>990</v>
      </c>
      <c r="D143" s="5" t="s">
        <v>1184</v>
      </c>
      <c r="E143" s="5" t="s">
        <v>1185</v>
      </c>
      <c r="F143" s="58">
        <v>50000</v>
      </c>
      <c r="G143" s="5" t="s">
        <v>1186</v>
      </c>
      <c r="H143" s="5" t="s">
        <v>1187</v>
      </c>
      <c r="I143" s="60">
        <v>1</v>
      </c>
      <c r="J143" s="5" t="s">
        <v>994</v>
      </c>
      <c r="K143" s="5" t="s">
        <v>995</v>
      </c>
      <c r="L143" s="5" t="s">
        <v>996</v>
      </c>
      <c r="M143" s="5">
        <v>3</v>
      </c>
      <c r="N143" s="5" t="str">
        <f t="shared" si="2"/>
        <v>Mar</v>
      </c>
    </row>
    <row r="144" spans="1:14" x14ac:dyDescent="0.35">
      <c r="A144" s="5" t="s">
        <v>2170</v>
      </c>
      <c r="B144" s="5" t="s">
        <v>115</v>
      </c>
      <c r="C144" s="5" t="s">
        <v>990</v>
      </c>
      <c r="D144" s="5" t="s">
        <v>1165</v>
      </c>
      <c r="E144" s="5" t="s">
        <v>1181</v>
      </c>
      <c r="F144" s="58">
        <v>680000</v>
      </c>
      <c r="G144" s="5" t="s">
        <v>1182</v>
      </c>
      <c r="H144" s="5" t="s">
        <v>1183</v>
      </c>
      <c r="I144" s="60">
        <v>1</v>
      </c>
      <c r="J144" s="5" t="s">
        <v>994</v>
      </c>
      <c r="K144" s="5" t="s">
        <v>995</v>
      </c>
      <c r="L144" s="5" t="s">
        <v>996</v>
      </c>
      <c r="M144" s="5">
        <v>3</v>
      </c>
      <c r="N144" s="5" t="str">
        <f t="shared" si="2"/>
        <v>Mar</v>
      </c>
    </row>
    <row r="145" spans="1:14" x14ac:dyDescent="0.35">
      <c r="A145" s="5" t="s">
        <v>2170</v>
      </c>
      <c r="B145" s="5" t="s">
        <v>115</v>
      </c>
      <c r="C145" s="5" t="s">
        <v>990</v>
      </c>
      <c r="D145" s="5" t="s">
        <v>1172</v>
      </c>
      <c r="E145" s="5" t="s">
        <v>1173</v>
      </c>
      <c r="F145" s="58">
        <v>794285.72</v>
      </c>
      <c r="G145" s="5" t="s">
        <v>1174</v>
      </c>
      <c r="H145" s="5" t="s">
        <v>1175</v>
      </c>
      <c r="I145" s="59">
        <v>0.27800000000000002</v>
      </c>
      <c r="J145" s="5" t="s">
        <v>994</v>
      </c>
      <c r="K145" s="5" t="s">
        <v>995</v>
      </c>
      <c r="L145" s="5" t="s">
        <v>996</v>
      </c>
      <c r="M145" s="5">
        <v>1</v>
      </c>
      <c r="N145" s="5" t="str">
        <f t="shared" si="2"/>
        <v>Jan</v>
      </c>
    </row>
    <row r="146" spans="1:14" x14ac:dyDescent="0.35">
      <c r="A146" s="5" t="s">
        <v>2170</v>
      </c>
      <c r="B146" s="5" t="s">
        <v>115</v>
      </c>
      <c r="C146" s="5" t="s">
        <v>990</v>
      </c>
      <c r="D146" s="5" t="s">
        <v>1165</v>
      </c>
      <c r="E146" s="5" t="s">
        <v>1166</v>
      </c>
      <c r="F146" s="58">
        <v>1525000</v>
      </c>
      <c r="G146" s="5" t="s">
        <v>1167</v>
      </c>
      <c r="H146" s="5" t="s">
        <v>1168</v>
      </c>
      <c r="I146" s="60">
        <v>1</v>
      </c>
      <c r="J146" s="5" t="s">
        <v>994</v>
      </c>
      <c r="K146" s="5" t="s">
        <v>995</v>
      </c>
      <c r="L146" s="5" t="s">
        <v>996</v>
      </c>
      <c r="M146" s="5">
        <v>1</v>
      </c>
      <c r="N146" s="5" t="str">
        <f t="shared" si="2"/>
        <v>Jan</v>
      </c>
    </row>
    <row r="147" spans="1:14" x14ac:dyDescent="0.35">
      <c r="A147" s="5" t="s">
        <v>2170</v>
      </c>
      <c r="B147" s="5" t="s">
        <v>115</v>
      </c>
      <c r="C147" s="5" t="s">
        <v>990</v>
      </c>
      <c r="D147" s="5" t="s">
        <v>1172</v>
      </c>
      <c r="E147" s="5" t="s">
        <v>1907</v>
      </c>
      <c r="F147" s="58">
        <v>142857.14000000001</v>
      </c>
      <c r="G147" s="5" t="s">
        <v>1174</v>
      </c>
      <c r="H147" s="5" t="s">
        <v>1908</v>
      </c>
      <c r="I147" s="59">
        <v>0.05</v>
      </c>
      <c r="J147" s="5" t="s">
        <v>994</v>
      </c>
      <c r="K147" s="5" t="s">
        <v>995</v>
      </c>
      <c r="L147" s="5" t="s">
        <v>996</v>
      </c>
      <c r="M147" s="5">
        <v>4</v>
      </c>
      <c r="N147" s="5" t="str">
        <f t="shared" si="2"/>
        <v>Apr</v>
      </c>
    </row>
    <row r="148" spans="1:14" x14ac:dyDescent="0.35">
      <c r="A148" s="5" t="s">
        <v>2170</v>
      </c>
      <c r="B148" s="5" t="s">
        <v>115</v>
      </c>
      <c r="C148" s="5" t="s">
        <v>990</v>
      </c>
      <c r="D148" s="5" t="s">
        <v>1189</v>
      </c>
      <c r="E148" s="5" t="s">
        <v>1190</v>
      </c>
      <c r="F148" s="58">
        <v>6154017.8600000003</v>
      </c>
      <c r="G148" s="5" t="s">
        <v>1191</v>
      </c>
      <c r="H148" s="5" t="s">
        <v>1192</v>
      </c>
      <c r="I148" s="59">
        <v>0.91900000000000004</v>
      </c>
      <c r="J148" s="5" t="s">
        <v>994</v>
      </c>
      <c r="K148" s="5" t="s">
        <v>995</v>
      </c>
      <c r="L148" s="5" t="s">
        <v>996</v>
      </c>
      <c r="M148" s="5">
        <v>3</v>
      </c>
      <c r="N148" s="5" t="str">
        <f t="shared" si="2"/>
        <v>Mar</v>
      </c>
    </row>
    <row r="149" spans="1:14" x14ac:dyDescent="0.35">
      <c r="A149" s="5" t="s">
        <v>2170</v>
      </c>
      <c r="B149" s="5" t="s">
        <v>115</v>
      </c>
      <c r="C149" s="5" t="s">
        <v>990</v>
      </c>
      <c r="D149" s="5" t="s">
        <v>1172</v>
      </c>
      <c r="E149" s="5" t="s">
        <v>1179</v>
      </c>
      <c r="F149" s="58">
        <v>-0.01</v>
      </c>
      <c r="G149" s="5" t="s">
        <v>1174</v>
      </c>
      <c r="H149" s="5" t="s">
        <v>1180</v>
      </c>
      <c r="I149" s="60">
        <v>0</v>
      </c>
      <c r="J149" s="5" t="s">
        <v>994</v>
      </c>
      <c r="K149" s="5" t="s">
        <v>995</v>
      </c>
      <c r="L149" s="5" t="s">
        <v>996</v>
      </c>
      <c r="M149" s="5">
        <v>1</v>
      </c>
      <c r="N149" s="5" t="str">
        <f t="shared" si="2"/>
        <v>Jan</v>
      </c>
    </row>
    <row r="150" spans="1:14" x14ac:dyDescent="0.35">
      <c r="A150" s="5" t="s">
        <v>2170</v>
      </c>
      <c r="B150" s="5" t="s">
        <v>115</v>
      </c>
      <c r="C150" s="5" t="s">
        <v>990</v>
      </c>
      <c r="D150" s="5" t="s">
        <v>1165</v>
      </c>
      <c r="E150" s="5" t="s">
        <v>1176</v>
      </c>
      <c r="F150" s="58">
        <v>810000</v>
      </c>
      <c r="G150" s="5" t="s">
        <v>1177</v>
      </c>
      <c r="H150" s="5" t="s">
        <v>1178</v>
      </c>
      <c r="I150" s="60">
        <v>1</v>
      </c>
      <c r="J150" s="5" t="s">
        <v>994</v>
      </c>
      <c r="K150" s="5" t="s">
        <v>995</v>
      </c>
      <c r="L150" s="5" t="s">
        <v>996</v>
      </c>
      <c r="M150" s="5">
        <v>1</v>
      </c>
      <c r="N150" s="5" t="str">
        <f t="shared" si="2"/>
        <v>Jan</v>
      </c>
    </row>
    <row r="151" spans="1:14" x14ac:dyDescent="0.35">
      <c r="A151" s="5" t="s">
        <v>2170</v>
      </c>
      <c r="B151" s="5" t="s">
        <v>115</v>
      </c>
      <c r="C151" s="5" t="s">
        <v>990</v>
      </c>
      <c r="D151" s="5" t="s">
        <v>1165</v>
      </c>
      <c r="E151" s="5" t="s">
        <v>1169</v>
      </c>
      <c r="F151" s="58">
        <v>1005000</v>
      </c>
      <c r="G151" s="5" t="s">
        <v>1170</v>
      </c>
      <c r="H151" s="5" t="s">
        <v>1171</v>
      </c>
      <c r="I151" s="60">
        <v>1</v>
      </c>
      <c r="J151" s="5" t="s">
        <v>994</v>
      </c>
      <c r="K151" s="5" t="s">
        <v>995</v>
      </c>
      <c r="L151" s="5" t="s">
        <v>996</v>
      </c>
      <c r="M151" s="5">
        <v>1</v>
      </c>
      <c r="N151" s="5" t="str">
        <f t="shared" si="2"/>
        <v>Jan</v>
      </c>
    </row>
    <row r="152" spans="1:14" x14ac:dyDescent="0.35">
      <c r="A152" s="5" t="s">
        <v>2170</v>
      </c>
      <c r="B152" s="5" t="s">
        <v>115</v>
      </c>
      <c r="C152" s="5" t="s">
        <v>990</v>
      </c>
      <c r="D152" s="5" t="s">
        <v>1502</v>
      </c>
      <c r="E152" s="5" t="s">
        <v>2877</v>
      </c>
      <c r="F152" s="58">
        <v>714285.71</v>
      </c>
      <c r="G152" s="5" t="s">
        <v>1488</v>
      </c>
      <c r="H152" s="5" t="s">
        <v>2878</v>
      </c>
      <c r="I152" s="59">
        <v>0.8</v>
      </c>
      <c r="J152" s="5" t="s">
        <v>994</v>
      </c>
      <c r="K152" s="5" t="s">
        <v>995</v>
      </c>
      <c r="L152" s="5" t="s">
        <v>996</v>
      </c>
      <c r="M152" s="5">
        <v>7</v>
      </c>
      <c r="N152" s="5" t="str">
        <f t="shared" si="2"/>
        <v>Jul</v>
      </c>
    </row>
    <row r="153" spans="1:14" x14ac:dyDescent="0.35">
      <c r="A153" s="5" t="s">
        <v>2170</v>
      </c>
      <c r="B153" s="5" t="s">
        <v>115</v>
      </c>
      <c r="C153" s="5" t="s">
        <v>990</v>
      </c>
      <c r="D153" s="5" t="s">
        <v>2303</v>
      </c>
      <c r="E153" s="5" t="s">
        <v>2610</v>
      </c>
      <c r="F153" s="58">
        <v>30357.14</v>
      </c>
      <c r="G153" s="5" t="s">
        <v>1188</v>
      </c>
      <c r="H153" s="5" t="s">
        <v>1187</v>
      </c>
      <c r="I153" s="60">
        <v>1</v>
      </c>
      <c r="J153" s="5" t="s">
        <v>994</v>
      </c>
      <c r="K153" s="5" t="s">
        <v>995</v>
      </c>
      <c r="L153" s="5" t="s">
        <v>996</v>
      </c>
      <c r="M153" s="5">
        <v>6</v>
      </c>
      <c r="N153" s="5" t="str">
        <f t="shared" si="2"/>
        <v>Jun</v>
      </c>
    </row>
    <row r="154" spans="1:14" x14ac:dyDescent="0.35">
      <c r="A154" s="5" t="s">
        <v>2170</v>
      </c>
      <c r="B154" s="5" t="s">
        <v>115</v>
      </c>
      <c r="C154" s="5" t="s">
        <v>990</v>
      </c>
      <c r="D154" s="5" t="s">
        <v>2303</v>
      </c>
      <c r="E154" s="5" t="s">
        <v>2610</v>
      </c>
      <c r="F154" s="58">
        <v>50000</v>
      </c>
      <c r="G154" s="5" t="s">
        <v>1186</v>
      </c>
      <c r="H154" s="5" t="s">
        <v>1187</v>
      </c>
      <c r="I154" s="60">
        <v>1</v>
      </c>
      <c r="J154" s="5" t="s">
        <v>994</v>
      </c>
      <c r="K154" s="5" t="s">
        <v>995</v>
      </c>
      <c r="L154" s="5" t="s">
        <v>996</v>
      </c>
      <c r="M154" s="5">
        <v>6</v>
      </c>
      <c r="N154" s="5" t="str">
        <f t="shared" si="2"/>
        <v>Jun</v>
      </c>
    </row>
    <row r="155" spans="1:14" x14ac:dyDescent="0.35">
      <c r="A155" s="5" t="s">
        <v>2171</v>
      </c>
      <c r="B155" s="5" t="s">
        <v>177</v>
      </c>
      <c r="C155" s="5" t="s">
        <v>990</v>
      </c>
      <c r="D155" s="5" t="s">
        <v>178</v>
      </c>
      <c r="E155" s="5" t="s">
        <v>1193</v>
      </c>
      <c r="F155" s="58">
        <v>2437500</v>
      </c>
      <c r="G155" s="5" t="s">
        <v>1194</v>
      </c>
      <c r="H155" s="5" t="s">
        <v>993</v>
      </c>
      <c r="I155" s="59">
        <v>0.39</v>
      </c>
      <c r="J155" s="5" t="s">
        <v>994</v>
      </c>
      <c r="K155" s="5" t="s">
        <v>995</v>
      </c>
      <c r="L155" s="5" t="s">
        <v>996</v>
      </c>
      <c r="M155" s="5">
        <v>3</v>
      </c>
      <c r="N155" s="5" t="str">
        <f t="shared" si="2"/>
        <v>Mar</v>
      </c>
    </row>
    <row r="156" spans="1:14" x14ac:dyDescent="0.35">
      <c r="A156" s="5" t="s">
        <v>2172</v>
      </c>
      <c r="B156" s="5" t="s">
        <v>180</v>
      </c>
      <c r="C156" s="5" t="s">
        <v>990</v>
      </c>
      <c r="D156" s="5" t="s">
        <v>181</v>
      </c>
      <c r="E156" s="5" t="s">
        <v>1909</v>
      </c>
      <c r="F156" s="58">
        <v>210000</v>
      </c>
      <c r="G156" s="5" t="s">
        <v>1196</v>
      </c>
      <c r="H156" s="5" t="s">
        <v>993</v>
      </c>
      <c r="I156" s="59">
        <v>0.28000000000000003</v>
      </c>
      <c r="J156" s="5" t="s">
        <v>994</v>
      </c>
      <c r="K156" s="5" t="s">
        <v>995</v>
      </c>
      <c r="L156" s="5" t="s">
        <v>996</v>
      </c>
      <c r="M156" s="5">
        <v>4</v>
      </c>
      <c r="N156" s="5" t="str">
        <f t="shared" si="2"/>
        <v>Apr</v>
      </c>
    </row>
    <row r="157" spans="1:14" x14ac:dyDescent="0.35">
      <c r="A157" s="5" t="s">
        <v>2172</v>
      </c>
      <c r="B157" s="5" t="s">
        <v>180</v>
      </c>
      <c r="C157" s="5" t="s">
        <v>990</v>
      </c>
      <c r="D157" s="5" t="s">
        <v>181</v>
      </c>
      <c r="E157" s="5" t="s">
        <v>1909</v>
      </c>
      <c r="F157" s="58">
        <v>602500</v>
      </c>
      <c r="G157" s="5" t="s">
        <v>1197</v>
      </c>
      <c r="H157" s="5" t="s">
        <v>993</v>
      </c>
      <c r="I157" s="59">
        <v>0.28000000000000003</v>
      </c>
      <c r="J157" s="5" t="s">
        <v>994</v>
      </c>
      <c r="K157" s="5" t="s">
        <v>995</v>
      </c>
      <c r="L157" s="5" t="s">
        <v>996</v>
      </c>
      <c r="M157" s="5">
        <v>4</v>
      </c>
      <c r="N157" s="5" t="str">
        <f t="shared" si="2"/>
        <v>Apr</v>
      </c>
    </row>
    <row r="158" spans="1:14" x14ac:dyDescent="0.35">
      <c r="A158" s="5" t="s">
        <v>2172</v>
      </c>
      <c r="B158" s="5" t="s">
        <v>180</v>
      </c>
      <c r="C158" s="5" t="s">
        <v>990</v>
      </c>
      <c r="D158" s="5" t="s">
        <v>181</v>
      </c>
      <c r="E158" s="5" t="s">
        <v>1195</v>
      </c>
      <c r="F158" s="58">
        <v>1549285.71</v>
      </c>
      <c r="G158" s="5" t="s">
        <v>1197</v>
      </c>
      <c r="H158" s="5" t="s">
        <v>993</v>
      </c>
      <c r="I158" s="59">
        <v>0.72</v>
      </c>
      <c r="J158" s="5" t="s">
        <v>994</v>
      </c>
      <c r="K158" s="5" t="s">
        <v>995</v>
      </c>
      <c r="L158" s="5" t="s">
        <v>996</v>
      </c>
      <c r="M158" s="5">
        <v>2</v>
      </c>
      <c r="N158" s="5" t="str">
        <f t="shared" si="2"/>
        <v>Feb</v>
      </c>
    </row>
    <row r="159" spans="1:14" x14ac:dyDescent="0.35">
      <c r="A159" s="5" t="s">
        <v>2172</v>
      </c>
      <c r="B159" s="5" t="s">
        <v>180</v>
      </c>
      <c r="C159" s="5" t="s">
        <v>990</v>
      </c>
      <c r="D159" s="5" t="s">
        <v>181</v>
      </c>
      <c r="E159" s="5" t="s">
        <v>1195</v>
      </c>
      <c r="F159" s="58">
        <v>540000</v>
      </c>
      <c r="G159" s="5" t="s">
        <v>1196</v>
      </c>
      <c r="H159" s="5" t="s">
        <v>993</v>
      </c>
      <c r="I159" s="59">
        <v>0.72</v>
      </c>
      <c r="J159" s="5" t="s">
        <v>994</v>
      </c>
      <c r="K159" s="5" t="s">
        <v>995</v>
      </c>
      <c r="L159" s="5" t="s">
        <v>996</v>
      </c>
      <c r="M159" s="5">
        <v>2</v>
      </c>
      <c r="N159" s="5" t="str">
        <f t="shared" si="2"/>
        <v>Feb</v>
      </c>
    </row>
    <row r="160" spans="1:14" x14ac:dyDescent="0.35">
      <c r="A160" s="5" t="s">
        <v>2611</v>
      </c>
      <c r="B160" s="5" t="s">
        <v>122</v>
      </c>
      <c r="C160" s="5" t="s">
        <v>990</v>
      </c>
      <c r="D160" s="5" t="s">
        <v>1504</v>
      </c>
      <c r="E160" s="5" t="s">
        <v>2612</v>
      </c>
      <c r="F160" s="58">
        <v>366071.43</v>
      </c>
      <c r="G160" s="5" t="s">
        <v>1505</v>
      </c>
      <c r="H160" s="5" t="s">
        <v>993</v>
      </c>
      <c r="I160" s="59">
        <v>0.1</v>
      </c>
      <c r="J160" s="5" t="s">
        <v>994</v>
      </c>
      <c r="K160" s="5" t="s">
        <v>995</v>
      </c>
      <c r="L160" s="5" t="s">
        <v>996</v>
      </c>
      <c r="M160" s="5">
        <v>7</v>
      </c>
      <c r="N160" s="5" t="str">
        <f t="shared" si="2"/>
        <v>Jul</v>
      </c>
    </row>
    <row r="161" spans="1:14" x14ac:dyDescent="0.35">
      <c r="A161" s="5" t="s">
        <v>2173</v>
      </c>
      <c r="B161" s="5" t="s">
        <v>1910</v>
      </c>
      <c r="C161" s="5" t="s">
        <v>990</v>
      </c>
      <c r="D161" s="5" t="s">
        <v>184</v>
      </c>
      <c r="E161" s="5" t="s">
        <v>1911</v>
      </c>
      <c r="F161" s="58">
        <v>714285.71</v>
      </c>
      <c r="G161" s="5" t="s">
        <v>1509</v>
      </c>
      <c r="H161" s="5" t="s">
        <v>993</v>
      </c>
      <c r="I161" s="60">
        <v>1</v>
      </c>
      <c r="J161" s="5" t="s">
        <v>994</v>
      </c>
      <c r="K161" s="5" t="s">
        <v>995</v>
      </c>
      <c r="L161" s="5" t="s">
        <v>996</v>
      </c>
      <c r="M161" s="5">
        <v>4</v>
      </c>
      <c r="N161" s="5" t="str">
        <f t="shared" si="2"/>
        <v>Apr</v>
      </c>
    </row>
    <row r="162" spans="1:14" x14ac:dyDescent="0.35">
      <c r="A162" s="5" t="s">
        <v>2174</v>
      </c>
      <c r="B162" s="5" t="s">
        <v>186</v>
      </c>
      <c r="C162" s="5" t="s">
        <v>990</v>
      </c>
      <c r="D162" s="5" t="s">
        <v>1513</v>
      </c>
      <c r="E162" s="5" t="s">
        <v>1912</v>
      </c>
      <c r="F162" s="58">
        <v>1027600.45</v>
      </c>
      <c r="G162" s="5" t="s">
        <v>1512</v>
      </c>
      <c r="H162" s="5" t="s">
        <v>993</v>
      </c>
      <c r="I162" s="59">
        <v>0.3</v>
      </c>
      <c r="J162" s="5" t="s">
        <v>994</v>
      </c>
      <c r="K162" s="5" t="s">
        <v>995</v>
      </c>
      <c r="L162" s="5" t="s">
        <v>996</v>
      </c>
      <c r="M162" s="5">
        <v>4</v>
      </c>
      <c r="N162" s="5" t="str">
        <f t="shared" si="2"/>
        <v>Apr</v>
      </c>
    </row>
    <row r="163" spans="1:14" x14ac:dyDescent="0.35">
      <c r="A163" s="5" t="s">
        <v>2174</v>
      </c>
      <c r="B163" s="5" t="s">
        <v>186</v>
      </c>
      <c r="C163" s="5" t="s">
        <v>990</v>
      </c>
      <c r="D163" s="5" t="s">
        <v>1513</v>
      </c>
      <c r="E163" s="5" t="s">
        <v>2613</v>
      </c>
      <c r="F163" s="58">
        <v>1027600.45</v>
      </c>
      <c r="G163" s="5" t="s">
        <v>1512</v>
      </c>
      <c r="H163" s="5" t="s">
        <v>993</v>
      </c>
      <c r="I163" s="59">
        <v>0.3</v>
      </c>
      <c r="J163" s="5" t="s">
        <v>994</v>
      </c>
      <c r="K163" s="5" t="s">
        <v>995</v>
      </c>
      <c r="L163" s="5" t="s">
        <v>996</v>
      </c>
      <c r="M163" s="5">
        <v>6</v>
      </c>
      <c r="N163" s="5" t="str">
        <f t="shared" si="2"/>
        <v>Jun</v>
      </c>
    </row>
    <row r="164" spans="1:14" x14ac:dyDescent="0.35">
      <c r="A164" s="5" t="s">
        <v>2174</v>
      </c>
      <c r="B164" s="5" t="s">
        <v>186</v>
      </c>
      <c r="C164" s="5" t="s">
        <v>990</v>
      </c>
      <c r="D164" s="5" t="s">
        <v>1513</v>
      </c>
      <c r="E164" s="5" t="s">
        <v>3228</v>
      </c>
      <c r="F164" s="58">
        <v>1027600.45</v>
      </c>
      <c r="G164" s="5" t="s">
        <v>1512</v>
      </c>
      <c r="H164" s="5" t="s">
        <v>993</v>
      </c>
      <c r="I164" s="59">
        <v>0.3</v>
      </c>
      <c r="J164" s="5" t="s">
        <v>994</v>
      </c>
      <c r="K164" s="5" t="s">
        <v>995</v>
      </c>
      <c r="L164" s="5" t="s">
        <v>996</v>
      </c>
      <c r="M164" s="5">
        <v>9</v>
      </c>
      <c r="N164" s="5" t="str">
        <f t="shared" si="2"/>
        <v>Sep</v>
      </c>
    </row>
    <row r="165" spans="1:14" x14ac:dyDescent="0.35">
      <c r="A165" s="5" t="s">
        <v>2175</v>
      </c>
      <c r="B165" s="5" t="s">
        <v>191</v>
      </c>
      <c r="C165" s="5" t="s">
        <v>990</v>
      </c>
      <c r="D165" s="5" t="s">
        <v>1513</v>
      </c>
      <c r="E165" s="5" t="s">
        <v>1912</v>
      </c>
      <c r="F165" s="58">
        <v>781573.66</v>
      </c>
      <c r="G165" s="5" t="s">
        <v>1514</v>
      </c>
      <c r="H165" s="5" t="s">
        <v>993</v>
      </c>
      <c r="I165" s="59">
        <v>0.3</v>
      </c>
      <c r="J165" s="5" t="s">
        <v>994</v>
      </c>
      <c r="K165" s="5" t="s">
        <v>995</v>
      </c>
      <c r="L165" s="5" t="s">
        <v>996</v>
      </c>
      <c r="M165" s="5">
        <v>4</v>
      </c>
      <c r="N165" s="5" t="str">
        <f t="shared" si="2"/>
        <v>Apr</v>
      </c>
    </row>
    <row r="166" spans="1:14" x14ac:dyDescent="0.35">
      <c r="A166" s="5" t="s">
        <v>2175</v>
      </c>
      <c r="B166" s="5" t="s">
        <v>191</v>
      </c>
      <c r="C166" s="5" t="s">
        <v>990</v>
      </c>
      <c r="D166" s="5" t="s">
        <v>1513</v>
      </c>
      <c r="E166" s="5" t="s">
        <v>2613</v>
      </c>
      <c r="F166" s="58">
        <v>781573.66</v>
      </c>
      <c r="G166" s="5" t="s">
        <v>1514</v>
      </c>
      <c r="H166" s="5" t="s">
        <v>993</v>
      </c>
      <c r="I166" s="59">
        <v>0.3</v>
      </c>
      <c r="J166" s="5" t="s">
        <v>994</v>
      </c>
      <c r="K166" s="5" t="s">
        <v>995</v>
      </c>
      <c r="L166" s="5" t="s">
        <v>996</v>
      </c>
      <c r="M166" s="5">
        <v>6</v>
      </c>
      <c r="N166" s="5" t="str">
        <f t="shared" si="2"/>
        <v>Jun</v>
      </c>
    </row>
    <row r="167" spans="1:14" x14ac:dyDescent="0.35">
      <c r="A167" s="5" t="s">
        <v>2175</v>
      </c>
      <c r="B167" s="5" t="s">
        <v>191</v>
      </c>
      <c r="C167" s="5" t="s">
        <v>990</v>
      </c>
      <c r="D167" s="5" t="s">
        <v>1513</v>
      </c>
      <c r="E167" s="5" t="s">
        <v>3228</v>
      </c>
      <c r="F167" s="58">
        <v>781573.66</v>
      </c>
      <c r="G167" s="5" t="s">
        <v>1514</v>
      </c>
      <c r="H167" s="5" t="s">
        <v>993</v>
      </c>
      <c r="I167" s="59">
        <v>0.3</v>
      </c>
      <c r="J167" s="5" t="s">
        <v>994</v>
      </c>
      <c r="K167" s="5" t="s">
        <v>995</v>
      </c>
      <c r="L167" s="5" t="s">
        <v>996</v>
      </c>
      <c r="M167" s="5">
        <v>9</v>
      </c>
      <c r="N167" s="5" t="str">
        <f t="shared" si="2"/>
        <v>Sep</v>
      </c>
    </row>
    <row r="168" spans="1:14" x14ac:dyDescent="0.35">
      <c r="A168" s="5" t="s">
        <v>2176</v>
      </c>
      <c r="B168" s="5" t="s">
        <v>193</v>
      </c>
      <c r="C168" s="5" t="s">
        <v>990</v>
      </c>
      <c r="D168" s="5" t="s">
        <v>1513</v>
      </c>
      <c r="E168" s="5" t="s">
        <v>1912</v>
      </c>
      <c r="F168" s="58">
        <v>593939.73</v>
      </c>
      <c r="G168" s="5" t="s">
        <v>1515</v>
      </c>
      <c r="H168" s="5" t="s">
        <v>993</v>
      </c>
      <c r="I168" s="59">
        <v>0.3</v>
      </c>
      <c r="J168" s="5" t="s">
        <v>994</v>
      </c>
      <c r="K168" s="5" t="s">
        <v>995</v>
      </c>
      <c r="L168" s="5" t="s">
        <v>996</v>
      </c>
      <c r="M168" s="5">
        <v>4</v>
      </c>
      <c r="N168" s="5" t="str">
        <f t="shared" si="2"/>
        <v>Apr</v>
      </c>
    </row>
    <row r="169" spans="1:14" x14ac:dyDescent="0.35">
      <c r="A169" s="5" t="s">
        <v>2176</v>
      </c>
      <c r="B169" s="5" t="s">
        <v>193</v>
      </c>
      <c r="C169" s="5" t="s">
        <v>990</v>
      </c>
      <c r="D169" s="5" t="s">
        <v>1513</v>
      </c>
      <c r="E169" s="5" t="s">
        <v>2613</v>
      </c>
      <c r="F169" s="58">
        <v>593939.73</v>
      </c>
      <c r="G169" s="5" t="s">
        <v>1515</v>
      </c>
      <c r="H169" s="5" t="s">
        <v>993</v>
      </c>
      <c r="I169" s="59">
        <v>0.3</v>
      </c>
      <c r="J169" s="5" t="s">
        <v>994</v>
      </c>
      <c r="K169" s="5" t="s">
        <v>995</v>
      </c>
      <c r="L169" s="5" t="s">
        <v>996</v>
      </c>
      <c r="M169" s="5">
        <v>6</v>
      </c>
      <c r="N169" s="5" t="str">
        <f t="shared" si="2"/>
        <v>Jun</v>
      </c>
    </row>
    <row r="170" spans="1:14" x14ac:dyDescent="0.35">
      <c r="A170" s="5" t="s">
        <v>2176</v>
      </c>
      <c r="B170" s="5" t="s">
        <v>193</v>
      </c>
      <c r="C170" s="5" t="s">
        <v>990</v>
      </c>
      <c r="D170" s="5" t="s">
        <v>1513</v>
      </c>
      <c r="E170" s="5" t="s">
        <v>3228</v>
      </c>
      <c r="F170" s="58">
        <v>593939.73</v>
      </c>
      <c r="G170" s="5" t="s">
        <v>1515</v>
      </c>
      <c r="H170" s="5" t="s">
        <v>993</v>
      </c>
      <c r="I170" s="59">
        <v>0.3</v>
      </c>
      <c r="J170" s="5" t="s">
        <v>994</v>
      </c>
      <c r="K170" s="5" t="s">
        <v>995</v>
      </c>
      <c r="L170" s="5" t="s">
        <v>996</v>
      </c>
      <c r="M170" s="5">
        <v>9</v>
      </c>
      <c r="N170" s="5" t="str">
        <f t="shared" si="2"/>
        <v>Sep</v>
      </c>
    </row>
    <row r="171" spans="1:14" x14ac:dyDescent="0.35">
      <c r="A171" s="5" t="s">
        <v>2177</v>
      </c>
      <c r="B171" s="5" t="s">
        <v>1198</v>
      </c>
      <c r="C171" s="5" t="s">
        <v>990</v>
      </c>
      <c r="D171" s="5" t="s">
        <v>1199</v>
      </c>
      <c r="E171" s="5" t="s">
        <v>1913</v>
      </c>
      <c r="F171" s="58">
        <v>125223.21</v>
      </c>
      <c r="G171" s="5" t="s">
        <v>1201</v>
      </c>
      <c r="H171" s="5" t="s">
        <v>993</v>
      </c>
      <c r="I171" s="59">
        <v>0.187</v>
      </c>
      <c r="J171" s="5" t="s">
        <v>994</v>
      </c>
      <c r="K171" s="5" t="s">
        <v>995</v>
      </c>
      <c r="L171" s="5" t="s">
        <v>996</v>
      </c>
      <c r="M171" s="5">
        <v>4</v>
      </c>
      <c r="N171" s="5" t="str">
        <f t="shared" si="2"/>
        <v>Apr</v>
      </c>
    </row>
    <row r="172" spans="1:14" x14ac:dyDescent="0.35">
      <c r="A172" s="5" t="s">
        <v>2177</v>
      </c>
      <c r="B172" s="5" t="s">
        <v>1198</v>
      </c>
      <c r="C172" s="5" t="s">
        <v>990</v>
      </c>
      <c r="D172" s="5" t="s">
        <v>1199</v>
      </c>
      <c r="E172" s="5" t="s">
        <v>1200</v>
      </c>
      <c r="F172" s="58">
        <v>363616.07</v>
      </c>
      <c r="G172" s="5" t="s">
        <v>1201</v>
      </c>
      <c r="H172" s="5" t="s">
        <v>993</v>
      </c>
      <c r="I172" s="59">
        <v>0.54300000000000004</v>
      </c>
      <c r="J172" s="5" t="s">
        <v>994</v>
      </c>
      <c r="K172" s="5" t="s">
        <v>995</v>
      </c>
      <c r="L172" s="5" t="s">
        <v>996</v>
      </c>
      <c r="M172" s="5">
        <v>2</v>
      </c>
      <c r="N172" s="5" t="str">
        <f t="shared" si="2"/>
        <v>Feb</v>
      </c>
    </row>
    <row r="173" spans="1:14" x14ac:dyDescent="0.35">
      <c r="A173" s="5" t="s">
        <v>2177</v>
      </c>
      <c r="B173" s="5" t="s">
        <v>1198</v>
      </c>
      <c r="C173" s="5" t="s">
        <v>990</v>
      </c>
      <c r="D173" s="5" t="s">
        <v>1202</v>
      </c>
      <c r="E173" s="5" t="s">
        <v>1203</v>
      </c>
      <c r="F173" s="58">
        <v>647321.43000000005</v>
      </c>
      <c r="G173" s="5" t="s">
        <v>1204</v>
      </c>
      <c r="H173" s="5" t="s">
        <v>993</v>
      </c>
      <c r="I173" s="59">
        <v>0.5</v>
      </c>
      <c r="J173" s="5" t="s">
        <v>994</v>
      </c>
      <c r="K173" s="5" t="s">
        <v>995</v>
      </c>
      <c r="L173" s="5" t="s">
        <v>996</v>
      </c>
      <c r="M173" s="5">
        <v>3</v>
      </c>
      <c r="N173" s="5" t="str">
        <f t="shared" si="2"/>
        <v>Mar</v>
      </c>
    </row>
    <row r="174" spans="1:14" x14ac:dyDescent="0.35">
      <c r="A174" s="5" t="s">
        <v>2177</v>
      </c>
      <c r="B174" s="5" t="s">
        <v>1198</v>
      </c>
      <c r="C174" s="5" t="s">
        <v>990</v>
      </c>
      <c r="D174" s="5" t="s">
        <v>1199</v>
      </c>
      <c r="E174" s="5" t="s">
        <v>1205</v>
      </c>
      <c r="F174" s="58">
        <v>180803.57</v>
      </c>
      <c r="G174" s="5" t="s">
        <v>1201</v>
      </c>
      <c r="H174" s="5" t="s">
        <v>993</v>
      </c>
      <c r="I174" s="59">
        <v>0.27</v>
      </c>
      <c r="J174" s="5" t="s">
        <v>994</v>
      </c>
      <c r="K174" s="5" t="s">
        <v>995</v>
      </c>
      <c r="L174" s="5" t="s">
        <v>996</v>
      </c>
      <c r="M174" s="5">
        <v>3</v>
      </c>
      <c r="N174" s="5" t="str">
        <f t="shared" si="2"/>
        <v>Mar</v>
      </c>
    </row>
    <row r="175" spans="1:14" x14ac:dyDescent="0.35">
      <c r="A175" s="5" t="s">
        <v>2178</v>
      </c>
      <c r="B175" s="5" t="s">
        <v>2179</v>
      </c>
      <c r="C175" s="5" t="s">
        <v>990</v>
      </c>
      <c r="D175" s="5" t="s">
        <v>1525</v>
      </c>
      <c r="E175" s="5" t="s">
        <v>2180</v>
      </c>
      <c r="F175" s="58">
        <v>346071.43</v>
      </c>
      <c r="G175" s="5" t="s">
        <v>1526</v>
      </c>
      <c r="H175" s="5" t="s">
        <v>993</v>
      </c>
      <c r="I175" s="59">
        <v>0.32300000000000001</v>
      </c>
      <c r="J175" s="5" t="s">
        <v>994</v>
      </c>
      <c r="K175" s="5" t="s">
        <v>995</v>
      </c>
      <c r="L175" s="5" t="s">
        <v>996</v>
      </c>
      <c r="M175" s="5">
        <v>5</v>
      </c>
      <c r="N175" s="5" t="str">
        <f t="shared" si="2"/>
        <v>May</v>
      </c>
    </row>
    <row r="176" spans="1:14" x14ac:dyDescent="0.35">
      <c r="A176" s="5" t="s">
        <v>2181</v>
      </c>
      <c r="B176" s="5" t="s">
        <v>1914</v>
      </c>
      <c r="C176" s="5" t="s">
        <v>990</v>
      </c>
      <c r="D176" s="5" t="s">
        <v>1529</v>
      </c>
      <c r="E176" s="5" t="s">
        <v>1915</v>
      </c>
      <c r="F176" s="58">
        <v>625000</v>
      </c>
      <c r="G176" s="5" t="s">
        <v>1530</v>
      </c>
      <c r="H176" s="5" t="s">
        <v>993</v>
      </c>
      <c r="I176" s="60">
        <v>1</v>
      </c>
      <c r="J176" s="5" t="s">
        <v>994</v>
      </c>
      <c r="K176" s="5" t="s">
        <v>995</v>
      </c>
      <c r="L176" s="5" t="s">
        <v>996</v>
      </c>
      <c r="M176" s="5">
        <v>4</v>
      </c>
      <c r="N176" s="5" t="str">
        <f t="shared" si="2"/>
        <v>Apr</v>
      </c>
    </row>
    <row r="177" spans="1:14" x14ac:dyDescent="0.35">
      <c r="A177" s="5" t="s">
        <v>2879</v>
      </c>
      <c r="B177" s="5" t="s">
        <v>11</v>
      </c>
      <c r="C177" s="5" t="s">
        <v>990</v>
      </c>
      <c r="D177" s="5" t="s">
        <v>2684</v>
      </c>
      <c r="E177" s="5" t="s">
        <v>2880</v>
      </c>
      <c r="F177" s="58">
        <v>2053571.43</v>
      </c>
      <c r="G177" s="5" t="s">
        <v>2685</v>
      </c>
      <c r="H177" s="5" t="s">
        <v>993</v>
      </c>
      <c r="I177" s="60">
        <v>1</v>
      </c>
      <c r="J177" s="5" t="s">
        <v>994</v>
      </c>
      <c r="K177" s="5" t="s">
        <v>995</v>
      </c>
      <c r="L177" s="5" t="s">
        <v>996</v>
      </c>
      <c r="M177" s="5">
        <v>7</v>
      </c>
      <c r="N177" s="5" t="str">
        <f t="shared" si="2"/>
        <v>Jul</v>
      </c>
    </row>
    <row r="178" spans="1:14" x14ac:dyDescent="0.35">
      <c r="A178" s="5" t="s">
        <v>2614</v>
      </c>
      <c r="B178" s="5" t="s">
        <v>18</v>
      </c>
      <c r="C178" s="5" t="s">
        <v>990</v>
      </c>
      <c r="D178" s="5" t="s">
        <v>2309</v>
      </c>
      <c r="E178" s="5" t="s">
        <v>3229</v>
      </c>
      <c r="F178" s="58">
        <v>8928.57</v>
      </c>
      <c r="G178" s="5" t="s">
        <v>2310</v>
      </c>
      <c r="H178" s="5" t="s">
        <v>993</v>
      </c>
      <c r="I178" s="60">
        <v>1</v>
      </c>
      <c r="J178" s="5" t="s">
        <v>994</v>
      </c>
      <c r="K178" s="5" t="s">
        <v>995</v>
      </c>
      <c r="L178" s="5" t="s">
        <v>996</v>
      </c>
      <c r="M178" s="5">
        <v>8</v>
      </c>
      <c r="N178" s="5" t="str">
        <f t="shared" si="2"/>
        <v>Aug</v>
      </c>
    </row>
    <row r="179" spans="1:14" x14ac:dyDescent="0.35">
      <c r="A179" s="5" t="s">
        <v>2614</v>
      </c>
      <c r="B179" s="5" t="s">
        <v>18</v>
      </c>
      <c r="C179" s="5" t="s">
        <v>990</v>
      </c>
      <c r="D179" s="5" t="s">
        <v>2312</v>
      </c>
      <c r="E179" s="5" t="s">
        <v>2881</v>
      </c>
      <c r="F179" s="58">
        <v>25000</v>
      </c>
      <c r="G179" s="5" t="s">
        <v>2313</v>
      </c>
      <c r="H179" s="5" t="s">
        <v>993</v>
      </c>
      <c r="I179" s="60">
        <v>1</v>
      </c>
      <c r="J179" s="5" t="s">
        <v>994</v>
      </c>
      <c r="K179" s="5" t="s">
        <v>995</v>
      </c>
      <c r="L179" s="5" t="s">
        <v>996</v>
      </c>
      <c r="M179" s="5">
        <v>7</v>
      </c>
      <c r="N179" s="5" t="str">
        <f t="shared" si="2"/>
        <v>Jul</v>
      </c>
    </row>
    <row r="180" spans="1:14" x14ac:dyDescent="0.35">
      <c r="A180" s="5" t="s">
        <v>2614</v>
      </c>
      <c r="B180" s="5" t="s">
        <v>18</v>
      </c>
      <c r="C180" s="5" t="s">
        <v>990</v>
      </c>
      <c r="D180" s="5" t="s">
        <v>1543</v>
      </c>
      <c r="E180" s="5" t="s">
        <v>2882</v>
      </c>
      <c r="F180" s="58">
        <v>0.01</v>
      </c>
      <c r="G180" s="5" t="s">
        <v>1544</v>
      </c>
      <c r="H180" s="5" t="s">
        <v>1543</v>
      </c>
      <c r="I180" s="60">
        <v>0</v>
      </c>
      <c r="J180" s="5" t="s">
        <v>1019</v>
      </c>
      <c r="K180" s="5" t="s">
        <v>1518</v>
      </c>
      <c r="L180" s="5" t="s">
        <v>2883</v>
      </c>
      <c r="M180" s="5">
        <v>7</v>
      </c>
      <c r="N180" s="5" t="str">
        <f t="shared" si="2"/>
        <v>Jul</v>
      </c>
    </row>
    <row r="181" spans="1:14" x14ac:dyDescent="0.35">
      <c r="A181" s="5" t="s">
        <v>2614</v>
      </c>
      <c r="B181" s="5" t="s">
        <v>18</v>
      </c>
      <c r="C181" s="5" t="s">
        <v>990</v>
      </c>
      <c r="D181" s="5" t="s">
        <v>1543</v>
      </c>
      <c r="E181" s="5" t="s">
        <v>2615</v>
      </c>
      <c r="F181" s="58">
        <v>11160.71</v>
      </c>
      <c r="G181" s="5" t="s">
        <v>1537</v>
      </c>
      <c r="H181" s="5" t="s">
        <v>993</v>
      </c>
      <c r="I181" s="60">
        <v>1</v>
      </c>
      <c r="J181" s="5" t="s">
        <v>994</v>
      </c>
      <c r="K181" s="5" t="s">
        <v>995</v>
      </c>
      <c r="L181" s="5" t="s">
        <v>996</v>
      </c>
      <c r="M181" s="5">
        <v>6</v>
      </c>
      <c r="N181" s="5" t="str">
        <f t="shared" si="2"/>
        <v>Jun</v>
      </c>
    </row>
    <row r="182" spans="1:14" x14ac:dyDescent="0.35">
      <c r="A182" s="5" t="s">
        <v>2614</v>
      </c>
      <c r="B182" s="5" t="s">
        <v>18</v>
      </c>
      <c r="C182" s="5" t="s">
        <v>990</v>
      </c>
      <c r="D182" s="5" t="s">
        <v>1543</v>
      </c>
      <c r="E182" s="5" t="s">
        <v>2615</v>
      </c>
      <c r="F182" s="58">
        <v>21428.57</v>
      </c>
      <c r="G182" s="5" t="s">
        <v>1536</v>
      </c>
      <c r="H182" s="5" t="s">
        <v>993</v>
      </c>
      <c r="I182" s="60">
        <v>2</v>
      </c>
      <c r="J182" s="5" t="s">
        <v>994</v>
      </c>
      <c r="K182" s="5" t="s">
        <v>995</v>
      </c>
      <c r="L182" s="5" t="s">
        <v>996</v>
      </c>
      <c r="M182" s="5">
        <v>6</v>
      </c>
      <c r="N182" s="5" t="str">
        <f t="shared" si="2"/>
        <v>Jun</v>
      </c>
    </row>
    <row r="183" spans="1:14" x14ac:dyDescent="0.35">
      <c r="A183" s="5" t="s">
        <v>2614</v>
      </c>
      <c r="B183" s="5" t="s">
        <v>18</v>
      </c>
      <c r="C183" s="5" t="s">
        <v>990</v>
      </c>
      <c r="D183" s="5" t="s">
        <v>1543</v>
      </c>
      <c r="E183" s="5" t="s">
        <v>2615</v>
      </c>
      <c r="F183" s="58">
        <v>25000</v>
      </c>
      <c r="G183" s="5" t="s">
        <v>1535</v>
      </c>
      <c r="H183" s="5" t="s">
        <v>993</v>
      </c>
      <c r="I183" s="60">
        <v>2</v>
      </c>
      <c r="J183" s="5" t="s">
        <v>994</v>
      </c>
      <c r="K183" s="5" t="s">
        <v>995</v>
      </c>
      <c r="L183" s="5" t="s">
        <v>996</v>
      </c>
      <c r="M183" s="5">
        <v>6</v>
      </c>
      <c r="N183" s="5" t="str">
        <f t="shared" si="2"/>
        <v>Jun</v>
      </c>
    </row>
    <row r="184" spans="1:14" x14ac:dyDescent="0.35">
      <c r="A184" s="5" t="s">
        <v>2614</v>
      </c>
      <c r="B184" s="5" t="s">
        <v>18</v>
      </c>
      <c r="C184" s="5" t="s">
        <v>990</v>
      </c>
      <c r="D184" s="5" t="s">
        <v>1543</v>
      </c>
      <c r="E184" s="5" t="s">
        <v>2615</v>
      </c>
      <c r="F184" s="58">
        <v>12053.57</v>
      </c>
      <c r="G184" s="5" t="s">
        <v>1534</v>
      </c>
      <c r="H184" s="5" t="s">
        <v>993</v>
      </c>
      <c r="I184" s="60">
        <v>1</v>
      </c>
      <c r="J184" s="5" t="s">
        <v>994</v>
      </c>
      <c r="K184" s="5" t="s">
        <v>995</v>
      </c>
      <c r="L184" s="5" t="s">
        <v>996</v>
      </c>
      <c r="M184" s="5">
        <v>6</v>
      </c>
      <c r="N184" s="5" t="str">
        <f t="shared" si="2"/>
        <v>Jun</v>
      </c>
    </row>
    <row r="185" spans="1:14" x14ac:dyDescent="0.35">
      <c r="A185" s="5" t="s">
        <v>2614</v>
      </c>
      <c r="B185" s="5" t="s">
        <v>18</v>
      </c>
      <c r="C185" s="5" t="s">
        <v>990</v>
      </c>
      <c r="D185" s="5" t="s">
        <v>1543</v>
      </c>
      <c r="E185" s="5" t="s">
        <v>2615</v>
      </c>
      <c r="F185" s="58">
        <v>196428.57</v>
      </c>
      <c r="G185" s="5" t="s">
        <v>1544</v>
      </c>
      <c r="H185" s="5" t="s">
        <v>993</v>
      </c>
      <c r="I185" s="60">
        <v>2</v>
      </c>
      <c r="J185" s="5" t="s">
        <v>994</v>
      </c>
      <c r="K185" s="5" t="s">
        <v>995</v>
      </c>
      <c r="L185" s="5" t="s">
        <v>996</v>
      </c>
      <c r="M185" s="5">
        <v>6</v>
      </c>
      <c r="N185" s="5" t="str">
        <f t="shared" si="2"/>
        <v>Jun</v>
      </c>
    </row>
    <row r="186" spans="1:14" x14ac:dyDescent="0.35">
      <c r="A186" s="5" t="s">
        <v>2182</v>
      </c>
      <c r="B186" s="5" t="s">
        <v>26</v>
      </c>
      <c r="C186" s="5" t="s">
        <v>1206</v>
      </c>
      <c r="D186" s="5" t="s">
        <v>993</v>
      </c>
      <c r="E186" s="5" t="s">
        <v>2186</v>
      </c>
      <c r="F186" s="58">
        <v>1227.4000000000001</v>
      </c>
      <c r="G186" s="5" t="s">
        <v>993</v>
      </c>
      <c r="H186" s="5" t="s">
        <v>2184</v>
      </c>
      <c r="I186" s="59">
        <v>0</v>
      </c>
      <c r="J186" s="5" t="s">
        <v>994</v>
      </c>
      <c r="K186" s="5" t="s">
        <v>1295</v>
      </c>
      <c r="L186" s="5" t="s">
        <v>990</v>
      </c>
      <c r="M186" s="5">
        <v>5</v>
      </c>
      <c r="N186" s="5" t="str">
        <f t="shared" si="2"/>
        <v>May</v>
      </c>
    </row>
    <row r="187" spans="1:14" x14ac:dyDescent="0.35">
      <c r="A187" s="5" t="s">
        <v>2182</v>
      </c>
      <c r="B187" s="5" t="s">
        <v>26</v>
      </c>
      <c r="C187" s="5" t="s">
        <v>1206</v>
      </c>
      <c r="D187" s="5" t="s">
        <v>993</v>
      </c>
      <c r="E187" s="5" t="s">
        <v>2183</v>
      </c>
      <c r="F187" s="58">
        <v>-1227.4000000000001</v>
      </c>
      <c r="G187" s="5" t="s">
        <v>993</v>
      </c>
      <c r="H187" s="5" t="s">
        <v>2184</v>
      </c>
      <c r="I187" s="59">
        <v>0</v>
      </c>
      <c r="J187" s="5" t="s">
        <v>994</v>
      </c>
      <c r="K187" s="5" t="s">
        <v>1295</v>
      </c>
      <c r="L187" s="5" t="s">
        <v>990</v>
      </c>
      <c r="M187" s="5">
        <v>5</v>
      </c>
      <c r="N187" s="5" t="str">
        <f t="shared" si="2"/>
        <v>May</v>
      </c>
    </row>
    <row r="188" spans="1:14" x14ac:dyDescent="0.35">
      <c r="A188" s="5" t="s">
        <v>2182</v>
      </c>
      <c r="B188" s="5" t="s">
        <v>26</v>
      </c>
      <c r="C188" s="5" t="s">
        <v>1206</v>
      </c>
      <c r="D188" s="5" t="s">
        <v>993</v>
      </c>
      <c r="E188" s="5" t="s">
        <v>1207</v>
      </c>
      <c r="F188" s="58">
        <v>1227.4000000000001</v>
      </c>
      <c r="G188" s="5" t="s">
        <v>993</v>
      </c>
      <c r="H188" s="5" t="s">
        <v>1208</v>
      </c>
      <c r="I188" s="59">
        <v>0</v>
      </c>
      <c r="J188" s="5" t="s">
        <v>1019</v>
      </c>
      <c r="K188" s="5" t="s">
        <v>1209</v>
      </c>
      <c r="L188" s="5" t="s">
        <v>1210</v>
      </c>
      <c r="M188" s="5">
        <v>3</v>
      </c>
      <c r="N188" s="5" t="str">
        <f t="shared" si="2"/>
        <v>Mar</v>
      </c>
    </row>
    <row r="189" spans="1:14" x14ac:dyDescent="0.35">
      <c r="A189" s="5" t="s">
        <v>2182</v>
      </c>
      <c r="B189" s="5" t="s">
        <v>26</v>
      </c>
      <c r="C189" s="5" t="s">
        <v>1206</v>
      </c>
      <c r="D189" s="5" t="s">
        <v>993</v>
      </c>
      <c r="E189" s="5" t="s">
        <v>2185</v>
      </c>
      <c r="F189" s="58">
        <v>-1227.4000000000001</v>
      </c>
      <c r="G189" s="5" t="s">
        <v>993</v>
      </c>
      <c r="H189" s="5" t="s">
        <v>2184</v>
      </c>
      <c r="I189" s="59">
        <v>0</v>
      </c>
      <c r="J189" s="5" t="s">
        <v>994</v>
      </c>
      <c r="K189" s="5" t="s">
        <v>1295</v>
      </c>
      <c r="L189" s="5" t="s">
        <v>990</v>
      </c>
      <c r="M189" s="5">
        <v>3</v>
      </c>
      <c r="N189" s="5" t="str">
        <f t="shared" si="2"/>
        <v>Mar</v>
      </c>
    </row>
    <row r="190" spans="1:14" x14ac:dyDescent="0.35">
      <c r="A190" s="5" t="s">
        <v>2182</v>
      </c>
      <c r="B190" s="5" t="s">
        <v>26</v>
      </c>
      <c r="C190" s="5" t="s">
        <v>990</v>
      </c>
      <c r="D190" s="5" t="s">
        <v>993</v>
      </c>
      <c r="E190" s="5" t="s">
        <v>1918</v>
      </c>
      <c r="F190" s="58">
        <v>-85000</v>
      </c>
      <c r="G190" s="5" t="s">
        <v>993</v>
      </c>
      <c r="H190" s="5" t="s">
        <v>1919</v>
      </c>
      <c r="I190" s="59">
        <v>0</v>
      </c>
      <c r="J190" s="5" t="s">
        <v>846</v>
      </c>
      <c r="K190" s="5" t="s">
        <v>1920</v>
      </c>
      <c r="L190" s="5" t="s">
        <v>732</v>
      </c>
      <c r="M190" s="5">
        <v>3</v>
      </c>
      <c r="N190" s="5" t="str">
        <f t="shared" si="2"/>
        <v>Mar</v>
      </c>
    </row>
    <row r="191" spans="1:14" x14ac:dyDescent="0.35">
      <c r="A191" s="5" t="s">
        <v>2182</v>
      </c>
      <c r="B191" s="5" t="s">
        <v>26</v>
      </c>
      <c r="C191" s="5" t="s">
        <v>990</v>
      </c>
      <c r="D191" s="5" t="s">
        <v>993</v>
      </c>
      <c r="E191" s="5" t="s">
        <v>1918</v>
      </c>
      <c r="F191" s="58">
        <v>-9768.18</v>
      </c>
      <c r="G191" s="5" t="s">
        <v>993</v>
      </c>
      <c r="H191" s="5" t="s">
        <v>1919</v>
      </c>
      <c r="I191" s="59">
        <v>0</v>
      </c>
      <c r="J191" s="5" t="s">
        <v>846</v>
      </c>
      <c r="K191" s="5" t="s">
        <v>1920</v>
      </c>
      <c r="L191" s="5" t="s">
        <v>732</v>
      </c>
      <c r="M191" s="5">
        <v>3</v>
      </c>
      <c r="N191" s="5" t="str">
        <f t="shared" si="2"/>
        <v>Mar</v>
      </c>
    </row>
    <row r="192" spans="1:14" x14ac:dyDescent="0.35">
      <c r="A192" s="5" t="s">
        <v>2182</v>
      </c>
      <c r="B192" s="5" t="s">
        <v>26</v>
      </c>
      <c r="C192" s="5" t="s">
        <v>990</v>
      </c>
      <c r="D192" s="5" t="s">
        <v>993</v>
      </c>
      <c r="E192" s="5" t="s">
        <v>1922</v>
      </c>
      <c r="F192" s="58">
        <v>-12375</v>
      </c>
      <c r="G192" s="5" t="s">
        <v>993</v>
      </c>
      <c r="H192" s="5" t="s">
        <v>1923</v>
      </c>
      <c r="I192" s="59">
        <v>0</v>
      </c>
      <c r="J192" s="5" t="s">
        <v>846</v>
      </c>
      <c r="K192" s="5" t="s">
        <v>1920</v>
      </c>
      <c r="L192" s="5" t="s">
        <v>732</v>
      </c>
      <c r="M192" s="5">
        <v>4</v>
      </c>
      <c r="N192" s="5" t="str">
        <f t="shared" si="2"/>
        <v>Apr</v>
      </c>
    </row>
    <row r="193" spans="1:14" x14ac:dyDescent="0.35">
      <c r="A193" s="5" t="s">
        <v>2182</v>
      </c>
      <c r="B193" s="5" t="s">
        <v>26</v>
      </c>
      <c r="C193" s="5" t="s">
        <v>990</v>
      </c>
      <c r="D193" s="5" t="s">
        <v>993</v>
      </c>
      <c r="E193" s="5" t="s">
        <v>2183</v>
      </c>
      <c r="F193" s="58">
        <v>1227.4000000000001</v>
      </c>
      <c r="G193" s="5" t="s">
        <v>993</v>
      </c>
      <c r="H193" s="5" t="s">
        <v>2184</v>
      </c>
      <c r="I193" s="59">
        <v>0</v>
      </c>
      <c r="J193" s="5" t="s">
        <v>994</v>
      </c>
      <c r="K193" s="5" t="s">
        <v>1009</v>
      </c>
      <c r="L193" s="5" t="s">
        <v>1010</v>
      </c>
      <c r="M193" s="5">
        <v>5</v>
      </c>
      <c r="N193" s="5" t="str">
        <f t="shared" si="2"/>
        <v>May</v>
      </c>
    </row>
    <row r="194" spans="1:14" x14ac:dyDescent="0.35">
      <c r="A194" s="5" t="s">
        <v>2182</v>
      </c>
      <c r="B194" s="5" t="s">
        <v>26</v>
      </c>
      <c r="C194" s="5" t="s">
        <v>990</v>
      </c>
      <c r="D194" s="5" t="s">
        <v>993</v>
      </c>
      <c r="E194" s="5" t="s">
        <v>2193</v>
      </c>
      <c r="F194" s="58">
        <v>12375</v>
      </c>
      <c r="G194" s="5" t="s">
        <v>993</v>
      </c>
      <c r="H194" s="5" t="s">
        <v>1923</v>
      </c>
      <c r="I194" s="59">
        <v>0</v>
      </c>
      <c r="J194" s="5" t="s">
        <v>846</v>
      </c>
      <c r="K194" s="5" t="s">
        <v>1920</v>
      </c>
      <c r="L194" s="5" t="s">
        <v>732</v>
      </c>
      <c r="M194" s="5">
        <v>5</v>
      </c>
      <c r="N194" s="5" t="str">
        <f t="shared" si="2"/>
        <v>May</v>
      </c>
    </row>
    <row r="195" spans="1:14" x14ac:dyDescent="0.35">
      <c r="A195" s="5" t="s">
        <v>2182</v>
      </c>
      <c r="B195" s="5" t="s">
        <v>26</v>
      </c>
      <c r="C195" s="5" t="s">
        <v>990</v>
      </c>
      <c r="D195" s="5" t="s">
        <v>2187</v>
      </c>
      <c r="E195" s="5" t="s">
        <v>2188</v>
      </c>
      <c r="F195" s="58">
        <v>17208</v>
      </c>
      <c r="G195" s="5" t="s">
        <v>2189</v>
      </c>
      <c r="H195" s="5" t="s">
        <v>993</v>
      </c>
      <c r="I195" s="60">
        <v>12</v>
      </c>
      <c r="J195" s="5" t="s">
        <v>994</v>
      </c>
      <c r="K195" s="5" t="s">
        <v>995</v>
      </c>
      <c r="L195" s="5" t="s">
        <v>996</v>
      </c>
      <c r="M195" s="5">
        <v>5</v>
      </c>
      <c r="N195" s="5" t="str">
        <f t="shared" si="2"/>
        <v>May</v>
      </c>
    </row>
    <row r="196" spans="1:14" x14ac:dyDescent="0.35">
      <c r="A196" s="5" t="s">
        <v>2182</v>
      </c>
      <c r="B196" s="5" t="s">
        <v>26</v>
      </c>
      <c r="C196" s="5" t="s">
        <v>990</v>
      </c>
      <c r="D196" s="5" t="s">
        <v>2187</v>
      </c>
      <c r="E196" s="5" t="s">
        <v>2188</v>
      </c>
      <c r="F196" s="58">
        <v>16608</v>
      </c>
      <c r="G196" s="5" t="s">
        <v>1212</v>
      </c>
      <c r="H196" s="5" t="s">
        <v>993</v>
      </c>
      <c r="I196" s="60">
        <v>12</v>
      </c>
      <c r="J196" s="5" t="s">
        <v>994</v>
      </c>
      <c r="K196" s="5" t="s">
        <v>995</v>
      </c>
      <c r="L196" s="5" t="s">
        <v>996</v>
      </c>
      <c r="M196" s="5">
        <v>5</v>
      </c>
      <c r="N196" s="5" t="str">
        <f t="shared" ref="N196:N259" si="3">_xlfn.XLOOKUP(M196,$Q$3:$Q$14,$R$3:$R$14)</f>
        <v>May</v>
      </c>
    </row>
    <row r="197" spans="1:14" x14ac:dyDescent="0.35">
      <c r="A197" s="5" t="s">
        <v>2182</v>
      </c>
      <c r="B197" s="5" t="s">
        <v>26</v>
      </c>
      <c r="C197" s="5" t="s">
        <v>990</v>
      </c>
      <c r="D197" s="5" t="s">
        <v>993</v>
      </c>
      <c r="E197" s="5" t="s">
        <v>2186</v>
      </c>
      <c r="F197" s="58">
        <v>-1227.4000000000001</v>
      </c>
      <c r="G197" s="5" t="s">
        <v>993</v>
      </c>
      <c r="H197" s="5" t="s">
        <v>2184</v>
      </c>
      <c r="I197" s="59">
        <v>0</v>
      </c>
      <c r="J197" s="5" t="s">
        <v>994</v>
      </c>
      <c r="K197" s="5" t="s">
        <v>1009</v>
      </c>
      <c r="L197" s="5" t="s">
        <v>1010</v>
      </c>
      <c r="M197" s="5">
        <v>5</v>
      </c>
      <c r="N197" s="5" t="str">
        <f t="shared" si="3"/>
        <v>May</v>
      </c>
    </row>
    <row r="198" spans="1:14" x14ac:dyDescent="0.35">
      <c r="A198" s="5" t="s">
        <v>2182</v>
      </c>
      <c r="B198" s="5" t="s">
        <v>26</v>
      </c>
      <c r="C198" s="5" t="s">
        <v>990</v>
      </c>
      <c r="D198" s="5" t="s">
        <v>993</v>
      </c>
      <c r="E198" s="5" t="s">
        <v>2191</v>
      </c>
      <c r="F198" s="58">
        <v>-33816</v>
      </c>
      <c r="G198" s="5" t="s">
        <v>993</v>
      </c>
      <c r="H198" s="5" t="s">
        <v>2192</v>
      </c>
      <c r="I198" s="59">
        <v>0</v>
      </c>
      <c r="J198" s="5" t="s">
        <v>846</v>
      </c>
      <c r="K198" s="5" t="s">
        <v>1920</v>
      </c>
      <c r="L198" s="5" t="s">
        <v>732</v>
      </c>
      <c r="M198" s="5">
        <v>5</v>
      </c>
      <c r="N198" s="5" t="str">
        <f t="shared" si="3"/>
        <v>May</v>
      </c>
    </row>
    <row r="199" spans="1:14" x14ac:dyDescent="0.35">
      <c r="A199" s="5" t="s">
        <v>2182</v>
      </c>
      <c r="B199" s="5" t="s">
        <v>26</v>
      </c>
      <c r="C199" s="5" t="s">
        <v>990</v>
      </c>
      <c r="D199" s="5" t="s">
        <v>1552</v>
      </c>
      <c r="E199" s="5" t="s">
        <v>1921</v>
      </c>
      <c r="F199" s="58">
        <v>12375</v>
      </c>
      <c r="G199" s="5" t="s">
        <v>1553</v>
      </c>
      <c r="H199" s="5" t="s">
        <v>993</v>
      </c>
      <c r="I199" s="60">
        <v>36</v>
      </c>
      <c r="J199" s="5" t="s">
        <v>994</v>
      </c>
      <c r="K199" s="5" t="s">
        <v>995</v>
      </c>
      <c r="L199" s="5" t="s">
        <v>996</v>
      </c>
      <c r="M199" s="5">
        <v>4</v>
      </c>
      <c r="N199" s="5" t="str">
        <f t="shared" si="3"/>
        <v>Apr</v>
      </c>
    </row>
    <row r="200" spans="1:14" x14ac:dyDescent="0.35">
      <c r="A200" s="5" t="s">
        <v>2182</v>
      </c>
      <c r="B200" s="5" t="s">
        <v>26</v>
      </c>
      <c r="C200" s="5" t="s">
        <v>990</v>
      </c>
      <c r="D200" s="5" t="s">
        <v>993</v>
      </c>
      <c r="E200" s="5" t="s">
        <v>2185</v>
      </c>
      <c r="F200" s="58">
        <v>1227.4000000000001</v>
      </c>
      <c r="G200" s="5" t="s">
        <v>993</v>
      </c>
      <c r="H200" s="5" t="s">
        <v>2184</v>
      </c>
      <c r="I200" s="59">
        <v>0</v>
      </c>
      <c r="J200" s="5" t="s">
        <v>994</v>
      </c>
      <c r="K200" s="5" t="s">
        <v>1009</v>
      </c>
      <c r="L200" s="5" t="s">
        <v>1010</v>
      </c>
      <c r="M200" s="5">
        <v>3</v>
      </c>
      <c r="N200" s="5" t="str">
        <f t="shared" si="3"/>
        <v>Mar</v>
      </c>
    </row>
    <row r="201" spans="1:14" x14ac:dyDescent="0.35">
      <c r="A201" s="5" t="s">
        <v>2182</v>
      </c>
      <c r="B201" s="5" t="s">
        <v>26</v>
      </c>
      <c r="C201" s="5" t="s">
        <v>990</v>
      </c>
      <c r="D201" s="5" t="s">
        <v>1215</v>
      </c>
      <c r="E201" s="5" t="s">
        <v>1917</v>
      </c>
      <c r="F201" s="58">
        <v>4500</v>
      </c>
      <c r="G201" s="5" t="s">
        <v>1220</v>
      </c>
      <c r="H201" s="5" t="s">
        <v>993</v>
      </c>
      <c r="I201" s="60">
        <v>100</v>
      </c>
      <c r="J201" s="5" t="s">
        <v>994</v>
      </c>
      <c r="K201" s="5" t="s">
        <v>995</v>
      </c>
      <c r="L201" s="5" t="s">
        <v>996</v>
      </c>
      <c r="M201" s="5">
        <v>3</v>
      </c>
      <c r="N201" s="5" t="str">
        <f t="shared" si="3"/>
        <v>Mar</v>
      </c>
    </row>
    <row r="202" spans="1:14" x14ac:dyDescent="0.35">
      <c r="A202" s="5" t="s">
        <v>2182</v>
      </c>
      <c r="B202" s="5" t="s">
        <v>26</v>
      </c>
      <c r="C202" s="5" t="s">
        <v>990</v>
      </c>
      <c r="D202" s="5" t="s">
        <v>1215</v>
      </c>
      <c r="E202" s="5" t="s">
        <v>1917</v>
      </c>
      <c r="F202" s="58">
        <v>1450</v>
      </c>
      <c r="G202" s="5" t="s">
        <v>1219</v>
      </c>
      <c r="H202" s="5" t="s">
        <v>993</v>
      </c>
      <c r="I202" s="60">
        <v>1</v>
      </c>
      <c r="J202" s="5" t="s">
        <v>994</v>
      </c>
      <c r="K202" s="5" t="s">
        <v>995</v>
      </c>
      <c r="L202" s="5" t="s">
        <v>996</v>
      </c>
      <c r="M202" s="5">
        <v>3</v>
      </c>
      <c r="N202" s="5" t="str">
        <f t="shared" si="3"/>
        <v>Mar</v>
      </c>
    </row>
    <row r="203" spans="1:14" x14ac:dyDescent="0.35">
      <c r="A203" s="5" t="s">
        <v>2182</v>
      </c>
      <c r="B203" s="5" t="s">
        <v>26</v>
      </c>
      <c r="C203" s="5" t="s">
        <v>990</v>
      </c>
      <c r="D203" s="5" t="s">
        <v>1215</v>
      </c>
      <c r="E203" s="5" t="s">
        <v>1917</v>
      </c>
      <c r="F203" s="58">
        <v>1000</v>
      </c>
      <c r="G203" s="5" t="s">
        <v>1218</v>
      </c>
      <c r="H203" s="5" t="s">
        <v>993</v>
      </c>
      <c r="I203" s="60">
        <v>2</v>
      </c>
      <c r="J203" s="5" t="s">
        <v>994</v>
      </c>
      <c r="K203" s="5" t="s">
        <v>995</v>
      </c>
      <c r="L203" s="5" t="s">
        <v>996</v>
      </c>
      <c r="M203" s="5">
        <v>3</v>
      </c>
      <c r="N203" s="5" t="str">
        <f t="shared" si="3"/>
        <v>Mar</v>
      </c>
    </row>
    <row r="204" spans="1:14" x14ac:dyDescent="0.35">
      <c r="A204" s="5" t="s">
        <v>2182</v>
      </c>
      <c r="B204" s="5" t="s">
        <v>26</v>
      </c>
      <c r="C204" s="5" t="s">
        <v>990</v>
      </c>
      <c r="D204" s="5" t="s">
        <v>1215</v>
      </c>
      <c r="E204" s="5" t="s">
        <v>1917</v>
      </c>
      <c r="F204" s="58">
        <v>1434.09</v>
      </c>
      <c r="G204" s="5" t="s">
        <v>1217</v>
      </c>
      <c r="H204" s="5" t="s">
        <v>993</v>
      </c>
      <c r="I204" s="60">
        <v>1</v>
      </c>
      <c r="J204" s="5" t="s">
        <v>994</v>
      </c>
      <c r="K204" s="5" t="s">
        <v>995</v>
      </c>
      <c r="L204" s="5" t="s">
        <v>996</v>
      </c>
      <c r="M204" s="5">
        <v>3</v>
      </c>
      <c r="N204" s="5" t="str">
        <f t="shared" si="3"/>
        <v>Mar</v>
      </c>
    </row>
    <row r="205" spans="1:14" x14ac:dyDescent="0.35">
      <c r="A205" s="5" t="s">
        <v>2182</v>
      </c>
      <c r="B205" s="5" t="s">
        <v>26</v>
      </c>
      <c r="C205" s="5" t="s">
        <v>990</v>
      </c>
      <c r="D205" s="5" t="s">
        <v>1215</v>
      </c>
      <c r="E205" s="5" t="s">
        <v>1917</v>
      </c>
      <c r="F205" s="58">
        <v>1384.09</v>
      </c>
      <c r="G205" s="5" t="s">
        <v>1216</v>
      </c>
      <c r="H205" s="5" t="s">
        <v>993</v>
      </c>
      <c r="I205" s="60">
        <v>1</v>
      </c>
      <c r="J205" s="5" t="s">
        <v>994</v>
      </c>
      <c r="K205" s="5" t="s">
        <v>995</v>
      </c>
      <c r="L205" s="5" t="s">
        <v>996</v>
      </c>
      <c r="M205" s="5">
        <v>3</v>
      </c>
      <c r="N205" s="5" t="str">
        <f t="shared" si="3"/>
        <v>Mar</v>
      </c>
    </row>
    <row r="206" spans="1:14" x14ac:dyDescent="0.35">
      <c r="A206" s="5" t="s">
        <v>2182</v>
      </c>
      <c r="B206" s="5" t="s">
        <v>26</v>
      </c>
      <c r="C206" s="5" t="s">
        <v>990</v>
      </c>
      <c r="D206" s="5" t="s">
        <v>1211</v>
      </c>
      <c r="E206" s="5" t="s">
        <v>1916</v>
      </c>
      <c r="F206" s="58">
        <v>54000</v>
      </c>
      <c r="G206" s="5" t="s">
        <v>1214</v>
      </c>
      <c r="H206" s="5" t="s">
        <v>993</v>
      </c>
      <c r="I206" s="60">
        <v>1200</v>
      </c>
      <c r="J206" s="5" t="s">
        <v>994</v>
      </c>
      <c r="K206" s="5" t="s">
        <v>995</v>
      </c>
      <c r="L206" s="5" t="s">
        <v>996</v>
      </c>
      <c r="M206" s="5">
        <v>3</v>
      </c>
      <c r="N206" s="5" t="str">
        <f t="shared" si="3"/>
        <v>Mar</v>
      </c>
    </row>
    <row r="207" spans="1:14" x14ac:dyDescent="0.35">
      <c r="A207" s="5" t="s">
        <v>2182</v>
      </c>
      <c r="B207" s="5" t="s">
        <v>26</v>
      </c>
      <c r="C207" s="5" t="s">
        <v>990</v>
      </c>
      <c r="D207" s="5" t="s">
        <v>1211</v>
      </c>
      <c r="E207" s="5" t="s">
        <v>1916</v>
      </c>
      <c r="F207" s="58">
        <v>15775</v>
      </c>
      <c r="G207" s="5" t="s">
        <v>1213</v>
      </c>
      <c r="H207" s="5" t="s">
        <v>993</v>
      </c>
      <c r="I207" s="60">
        <v>11</v>
      </c>
      <c r="J207" s="5" t="s">
        <v>994</v>
      </c>
      <c r="K207" s="5" t="s">
        <v>995</v>
      </c>
      <c r="L207" s="5" t="s">
        <v>996</v>
      </c>
      <c r="M207" s="5">
        <v>3</v>
      </c>
      <c r="N207" s="5" t="str">
        <f t="shared" si="3"/>
        <v>Mar</v>
      </c>
    </row>
    <row r="208" spans="1:14" x14ac:dyDescent="0.35">
      <c r="A208" s="5" t="s">
        <v>2182</v>
      </c>
      <c r="B208" s="5" t="s">
        <v>26</v>
      </c>
      <c r="C208" s="5" t="s">
        <v>990</v>
      </c>
      <c r="D208" s="5" t="s">
        <v>1211</v>
      </c>
      <c r="E208" s="5" t="s">
        <v>1916</v>
      </c>
      <c r="F208" s="58">
        <v>15225</v>
      </c>
      <c r="G208" s="5" t="s">
        <v>1212</v>
      </c>
      <c r="H208" s="5" t="s">
        <v>993</v>
      </c>
      <c r="I208" s="60">
        <v>11</v>
      </c>
      <c r="J208" s="5" t="s">
        <v>994</v>
      </c>
      <c r="K208" s="5" t="s">
        <v>995</v>
      </c>
      <c r="L208" s="5" t="s">
        <v>996</v>
      </c>
      <c r="M208" s="5">
        <v>3</v>
      </c>
      <c r="N208" s="5" t="str">
        <f t="shared" si="3"/>
        <v>Mar</v>
      </c>
    </row>
    <row r="209" spans="1:14" x14ac:dyDescent="0.35">
      <c r="A209" s="5" t="s">
        <v>2182</v>
      </c>
      <c r="B209" s="5" t="s">
        <v>26</v>
      </c>
      <c r="C209" s="5" t="s">
        <v>990</v>
      </c>
      <c r="D209" s="5" t="s">
        <v>2088</v>
      </c>
      <c r="E209" s="5" t="s">
        <v>2190</v>
      </c>
      <c r="F209" s="58">
        <v>35714.29</v>
      </c>
      <c r="G209" s="5" t="s">
        <v>2089</v>
      </c>
      <c r="H209" s="5" t="s">
        <v>993</v>
      </c>
      <c r="I209" s="60">
        <v>1</v>
      </c>
      <c r="J209" s="5" t="s">
        <v>994</v>
      </c>
      <c r="K209" s="5" t="s">
        <v>995</v>
      </c>
      <c r="L209" s="5" t="s">
        <v>996</v>
      </c>
      <c r="M209" s="5">
        <v>5</v>
      </c>
      <c r="N209" s="5" t="str">
        <f t="shared" si="3"/>
        <v>May</v>
      </c>
    </row>
    <row r="210" spans="1:14" x14ac:dyDescent="0.35">
      <c r="A210" s="5" t="s">
        <v>2194</v>
      </c>
      <c r="B210" s="5" t="s">
        <v>32</v>
      </c>
      <c r="C210" s="5" t="s">
        <v>990</v>
      </c>
      <c r="D210" s="5" t="s">
        <v>2321</v>
      </c>
      <c r="E210" s="5" t="s">
        <v>3230</v>
      </c>
      <c r="F210" s="58">
        <v>90883.18</v>
      </c>
      <c r="G210" s="5" t="s">
        <v>2322</v>
      </c>
      <c r="H210" s="5" t="s">
        <v>993</v>
      </c>
      <c r="I210" s="60">
        <v>22</v>
      </c>
      <c r="J210" s="5" t="s">
        <v>994</v>
      </c>
      <c r="K210" s="5" t="s">
        <v>995</v>
      </c>
      <c r="L210" s="5" t="s">
        <v>996</v>
      </c>
      <c r="M210" s="5">
        <v>8</v>
      </c>
      <c r="N210" s="5" t="str">
        <f t="shared" si="3"/>
        <v>Aug</v>
      </c>
    </row>
    <row r="211" spans="1:14" x14ac:dyDescent="0.35">
      <c r="A211" s="5" t="s">
        <v>2194</v>
      </c>
      <c r="B211" s="5" t="s">
        <v>32</v>
      </c>
      <c r="C211" s="5" t="s">
        <v>990</v>
      </c>
      <c r="D211" s="5" t="s">
        <v>2884</v>
      </c>
      <c r="E211" s="5" t="s">
        <v>2885</v>
      </c>
      <c r="F211" s="58">
        <v>31571.43</v>
      </c>
      <c r="G211" s="5" t="s">
        <v>2316</v>
      </c>
      <c r="H211" s="5" t="s">
        <v>993</v>
      </c>
      <c r="I211" s="60">
        <v>52</v>
      </c>
      <c r="J211" s="5" t="s">
        <v>994</v>
      </c>
      <c r="K211" s="5" t="s">
        <v>995</v>
      </c>
      <c r="L211" s="5" t="s">
        <v>996</v>
      </c>
      <c r="M211" s="5">
        <v>8</v>
      </c>
      <c r="N211" s="5" t="str">
        <f t="shared" si="3"/>
        <v>Aug</v>
      </c>
    </row>
    <row r="212" spans="1:14" x14ac:dyDescent="0.35">
      <c r="A212" s="5" t="s">
        <v>2194</v>
      </c>
      <c r="B212" s="5" t="s">
        <v>32</v>
      </c>
      <c r="C212" s="5" t="s">
        <v>990</v>
      </c>
      <c r="D212" s="5" t="s">
        <v>1988</v>
      </c>
      <c r="E212" s="5" t="s">
        <v>2195</v>
      </c>
      <c r="F212" s="58">
        <v>38531.25</v>
      </c>
      <c r="G212" s="5" t="s">
        <v>1978</v>
      </c>
      <c r="H212" s="5" t="s">
        <v>993</v>
      </c>
      <c r="I212" s="60">
        <v>21</v>
      </c>
      <c r="J212" s="5" t="s">
        <v>994</v>
      </c>
      <c r="K212" s="5" t="s">
        <v>995</v>
      </c>
      <c r="L212" s="5" t="s">
        <v>996</v>
      </c>
      <c r="M212" s="5">
        <v>5</v>
      </c>
      <c r="N212" s="5" t="str">
        <f t="shared" si="3"/>
        <v>May</v>
      </c>
    </row>
    <row r="213" spans="1:14" x14ac:dyDescent="0.35">
      <c r="A213" s="5" t="s">
        <v>2194</v>
      </c>
      <c r="B213" s="5" t="s">
        <v>32</v>
      </c>
      <c r="C213" s="5" t="s">
        <v>990</v>
      </c>
      <c r="D213" s="5" t="s">
        <v>2321</v>
      </c>
      <c r="E213" s="5" t="s">
        <v>3230</v>
      </c>
      <c r="F213" s="58">
        <v>298121.40999999997</v>
      </c>
      <c r="G213" s="5" t="s">
        <v>2094</v>
      </c>
      <c r="H213" s="5" t="s">
        <v>993</v>
      </c>
      <c r="I213" s="60">
        <v>22</v>
      </c>
      <c r="J213" s="5" t="s">
        <v>994</v>
      </c>
      <c r="K213" s="5" t="s">
        <v>995</v>
      </c>
      <c r="L213" s="5" t="s">
        <v>996</v>
      </c>
      <c r="M213" s="5">
        <v>8</v>
      </c>
      <c r="N213" s="5" t="str">
        <f t="shared" si="3"/>
        <v>Aug</v>
      </c>
    </row>
    <row r="214" spans="1:14" x14ac:dyDescent="0.35">
      <c r="A214" s="5" t="s">
        <v>2194</v>
      </c>
      <c r="B214" s="5" t="s">
        <v>32</v>
      </c>
      <c r="C214" s="5" t="s">
        <v>990</v>
      </c>
      <c r="D214" s="5" t="s">
        <v>2324</v>
      </c>
      <c r="E214" s="5" t="s">
        <v>3231</v>
      </c>
      <c r="F214" s="58">
        <v>384017.86</v>
      </c>
      <c r="G214" s="5" t="s">
        <v>2325</v>
      </c>
      <c r="H214" s="5" t="s">
        <v>993</v>
      </c>
      <c r="I214" s="59">
        <v>0.50600000000000001</v>
      </c>
      <c r="J214" s="5" t="s">
        <v>994</v>
      </c>
      <c r="K214" s="5" t="s">
        <v>995</v>
      </c>
      <c r="L214" s="5" t="s">
        <v>996</v>
      </c>
      <c r="M214" s="5">
        <v>8</v>
      </c>
      <c r="N214" s="5" t="str">
        <f t="shared" si="3"/>
        <v>Aug</v>
      </c>
    </row>
    <row r="215" spans="1:14" x14ac:dyDescent="0.35">
      <c r="A215" s="5" t="s">
        <v>2196</v>
      </c>
      <c r="B215" s="5" t="s">
        <v>36</v>
      </c>
      <c r="C215" s="5" t="s">
        <v>1206</v>
      </c>
      <c r="D215" s="5" t="s">
        <v>993</v>
      </c>
      <c r="E215" s="5" t="s">
        <v>1207</v>
      </c>
      <c r="F215" s="58">
        <v>2540</v>
      </c>
      <c r="G215" s="5" t="s">
        <v>993</v>
      </c>
      <c r="H215" s="5" t="s">
        <v>1208</v>
      </c>
      <c r="I215" s="59">
        <v>0</v>
      </c>
      <c r="J215" s="5" t="s">
        <v>1019</v>
      </c>
      <c r="K215" s="5" t="s">
        <v>1209</v>
      </c>
      <c r="L215" s="5" t="s">
        <v>1210</v>
      </c>
      <c r="M215" s="5">
        <v>3</v>
      </c>
      <c r="N215" s="5" t="str">
        <f t="shared" si="3"/>
        <v>Mar</v>
      </c>
    </row>
    <row r="216" spans="1:14" x14ac:dyDescent="0.35">
      <c r="A216" s="5" t="s">
        <v>2196</v>
      </c>
      <c r="B216" s="5" t="s">
        <v>36</v>
      </c>
      <c r="C216" s="5" t="s">
        <v>1206</v>
      </c>
      <c r="D216" s="5" t="s">
        <v>993</v>
      </c>
      <c r="E216" s="5" t="s">
        <v>2185</v>
      </c>
      <c r="F216" s="58">
        <v>-2540</v>
      </c>
      <c r="G216" s="5" t="s">
        <v>993</v>
      </c>
      <c r="H216" s="5" t="s">
        <v>2184</v>
      </c>
      <c r="I216" s="59">
        <v>0</v>
      </c>
      <c r="J216" s="5" t="s">
        <v>994</v>
      </c>
      <c r="K216" s="5" t="s">
        <v>1295</v>
      </c>
      <c r="L216" s="5" t="s">
        <v>990</v>
      </c>
      <c r="M216" s="5">
        <v>3</v>
      </c>
      <c r="N216" s="5" t="str">
        <f t="shared" si="3"/>
        <v>Mar</v>
      </c>
    </row>
    <row r="217" spans="1:14" x14ac:dyDescent="0.35">
      <c r="A217" s="5" t="s">
        <v>2196</v>
      </c>
      <c r="B217" s="5" t="s">
        <v>36</v>
      </c>
      <c r="C217" s="5" t="s">
        <v>1206</v>
      </c>
      <c r="D217" s="5" t="s">
        <v>993</v>
      </c>
      <c r="E217" s="5" t="s">
        <v>2183</v>
      </c>
      <c r="F217" s="58">
        <v>-2540</v>
      </c>
      <c r="G217" s="5" t="s">
        <v>993</v>
      </c>
      <c r="H217" s="5" t="s">
        <v>2184</v>
      </c>
      <c r="I217" s="59">
        <v>0</v>
      </c>
      <c r="J217" s="5" t="s">
        <v>994</v>
      </c>
      <c r="K217" s="5" t="s">
        <v>1295</v>
      </c>
      <c r="L217" s="5" t="s">
        <v>990</v>
      </c>
      <c r="M217" s="5">
        <v>5</v>
      </c>
      <c r="N217" s="5" t="str">
        <f t="shared" si="3"/>
        <v>May</v>
      </c>
    </row>
    <row r="218" spans="1:14" x14ac:dyDescent="0.35">
      <c r="A218" s="5" t="s">
        <v>2196</v>
      </c>
      <c r="B218" s="5" t="s">
        <v>36</v>
      </c>
      <c r="C218" s="5" t="s">
        <v>1206</v>
      </c>
      <c r="D218" s="5" t="s">
        <v>993</v>
      </c>
      <c r="E218" s="5" t="s">
        <v>2186</v>
      </c>
      <c r="F218" s="58">
        <v>2540</v>
      </c>
      <c r="G218" s="5" t="s">
        <v>993</v>
      </c>
      <c r="H218" s="5" t="s">
        <v>2184</v>
      </c>
      <c r="I218" s="59">
        <v>0</v>
      </c>
      <c r="J218" s="5" t="s">
        <v>994</v>
      </c>
      <c r="K218" s="5" t="s">
        <v>1295</v>
      </c>
      <c r="L218" s="5" t="s">
        <v>990</v>
      </c>
      <c r="M218" s="5">
        <v>5</v>
      </c>
      <c r="N218" s="5" t="str">
        <f t="shared" si="3"/>
        <v>May</v>
      </c>
    </row>
    <row r="219" spans="1:14" x14ac:dyDescent="0.35">
      <c r="A219" s="5" t="s">
        <v>2196</v>
      </c>
      <c r="B219" s="5" t="s">
        <v>36</v>
      </c>
      <c r="C219" s="5" t="s">
        <v>990</v>
      </c>
      <c r="D219" s="5" t="s">
        <v>2197</v>
      </c>
      <c r="E219" s="5" t="s">
        <v>2198</v>
      </c>
      <c r="F219" s="58">
        <v>10000</v>
      </c>
      <c r="G219" s="5" t="s">
        <v>2100</v>
      </c>
      <c r="H219" s="5" t="s">
        <v>993</v>
      </c>
      <c r="I219" s="60">
        <v>8</v>
      </c>
      <c r="J219" s="5" t="s">
        <v>994</v>
      </c>
      <c r="K219" s="5" t="s">
        <v>995</v>
      </c>
      <c r="L219" s="5" t="s">
        <v>996</v>
      </c>
      <c r="M219" s="5">
        <v>5</v>
      </c>
      <c r="N219" s="5" t="str">
        <f t="shared" si="3"/>
        <v>May</v>
      </c>
    </row>
    <row r="220" spans="1:14" x14ac:dyDescent="0.35">
      <c r="A220" s="5" t="s">
        <v>2196</v>
      </c>
      <c r="B220" s="5" t="s">
        <v>36</v>
      </c>
      <c r="C220" s="5" t="s">
        <v>990</v>
      </c>
      <c r="D220" s="5" t="s">
        <v>2710</v>
      </c>
      <c r="E220" s="5" t="s">
        <v>3232</v>
      </c>
      <c r="F220" s="58">
        <v>181383.93</v>
      </c>
      <c r="G220" s="5" t="s">
        <v>2711</v>
      </c>
      <c r="H220" s="5" t="s">
        <v>993</v>
      </c>
      <c r="I220" s="60">
        <v>1</v>
      </c>
      <c r="J220" s="5" t="s">
        <v>994</v>
      </c>
      <c r="K220" s="5" t="s">
        <v>995</v>
      </c>
      <c r="L220" s="5" t="s">
        <v>996</v>
      </c>
      <c r="M220" s="5">
        <v>8</v>
      </c>
      <c r="N220" s="5" t="str">
        <f t="shared" si="3"/>
        <v>Aug</v>
      </c>
    </row>
    <row r="221" spans="1:14" x14ac:dyDescent="0.35">
      <c r="A221" s="5" t="s">
        <v>2196</v>
      </c>
      <c r="B221" s="5" t="s">
        <v>36</v>
      </c>
      <c r="C221" s="5" t="s">
        <v>990</v>
      </c>
      <c r="D221" s="5" t="s">
        <v>2709</v>
      </c>
      <c r="E221" s="5" t="s">
        <v>3233</v>
      </c>
      <c r="F221" s="58">
        <v>267857.14</v>
      </c>
      <c r="G221" s="5" t="s">
        <v>2702</v>
      </c>
      <c r="H221" s="5" t="s">
        <v>993</v>
      </c>
      <c r="I221" s="60">
        <v>300</v>
      </c>
      <c r="J221" s="5" t="s">
        <v>994</v>
      </c>
      <c r="K221" s="5" t="s">
        <v>995</v>
      </c>
      <c r="L221" s="5" t="s">
        <v>996</v>
      </c>
      <c r="M221" s="5">
        <v>8</v>
      </c>
      <c r="N221" s="5" t="str">
        <f t="shared" si="3"/>
        <v>Aug</v>
      </c>
    </row>
    <row r="222" spans="1:14" x14ac:dyDescent="0.35">
      <c r="A222" s="5" t="s">
        <v>2196</v>
      </c>
      <c r="B222" s="5" t="s">
        <v>36</v>
      </c>
      <c r="C222" s="5" t="s">
        <v>990</v>
      </c>
      <c r="D222" s="5" t="s">
        <v>2713</v>
      </c>
      <c r="E222" s="5" t="s">
        <v>3234</v>
      </c>
      <c r="F222" s="58">
        <v>80357.14</v>
      </c>
      <c r="G222" s="5" t="s">
        <v>2714</v>
      </c>
      <c r="H222" s="5" t="s">
        <v>993</v>
      </c>
      <c r="I222" s="60">
        <v>1</v>
      </c>
      <c r="J222" s="5" t="s">
        <v>994</v>
      </c>
      <c r="K222" s="5" t="s">
        <v>995</v>
      </c>
      <c r="L222" s="5" t="s">
        <v>996</v>
      </c>
      <c r="M222" s="5">
        <v>8</v>
      </c>
      <c r="N222" s="5" t="str">
        <f t="shared" si="3"/>
        <v>Aug</v>
      </c>
    </row>
    <row r="223" spans="1:14" x14ac:dyDescent="0.35">
      <c r="A223" s="5" t="s">
        <v>2196</v>
      </c>
      <c r="B223" s="5" t="s">
        <v>36</v>
      </c>
      <c r="C223" s="5" t="s">
        <v>990</v>
      </c>
      <c r="D223" s="5" t="s">
        <v>2968</v>
      </c>
      <c r="E223" s="5" t="s">
        <v>3235</v>
      </c>
      <c r="F223" s="58">
        <v>9821.43</v>
      </c>
      <c r="G223" s="5" t="s">
        <v>2969</v>
      </c>
      <c r="H223" s="5" t="s">
        <v>993</v>
      </c>
      <c r="I223" s="60">
        <v>1</v>
      </c>
      <c r="J223" s="5" t="s">
        <v>994</v>
      </c>
      <c r="K223" s="5" t="s">
        <v>995</v>
      </c>
      <c r="L223" s="5" t="s">
        <v>996</v>
      </c>
      <c r="M223" s="5">
        <v>8</v>
      </c>
      <c r="N223" s="5" t="str">
        <f t="shared" si="3"/>
        <v>Aug</v>
      </c>
    </row>
    <row r="224" spans="1:14" x14ac:dyDescent="0.35">
      <c r="A224" s="5" t="s">
        <v>2196</v>
      </c>
      <c r="B224" s="5" t="s">
        <v>36</v>
      </c>
      <c r="C224" s="5" t="s">
        <v>990</v>
      </c>
      <c r="D224" s="5" t="s">
        <v>993</v>
      </c>
      <c r="E224" s="5" t="s">
        <v>2185</v>
      </c>
      <c r="F224" s="58">
        <v>2540</v>
      </c>
      <c r="G224" s="5" t="s">
        <v>993</v>
      </c>
      <c r="H224" s="5" t="s">
        <v>2184</v>
      </c>
      <c r="I224" s="59">
        <v>0</v>
      </c>
      <c r="J224" s="5" t="s">
        <v>994</v>
      </c>
      <c r="K224" s="5" t="s">
        <v>1009</v>
      </c>
      <c r="L224" s="5" t="s">
        <v>1010</v>
      </c>
      <c r="M224" s="5">
        <v>3</v>
      </c>
      <c r="N224" s="5" t="str">
        <f t="shared" si="3"/>
        <v>Mar</v>
      </c>
    </row>
    <row r="225" spans="1:14" x14ac:dyDescent="0.35">
      <c r="A225" s="5" t="s">
        <v>2196</v>
      </c>
      <c r="B225" s="5" t="s">
        <v>36</v>
      </c>
      <c r="C225" s="5" t="s">
        <v>990</v>
      </c>
      <c r="D225" s="5" t="s">
        <v>993</v>
      </c>
      <c r="E225" s="5" t="s">
        <v>2186</v>
      </c>
      <c r="F225" s="58">
        <v>-2540</v>
      </c>
      <c r="G225" s="5" t="s">
        <v>993</v>
      </c>
      <c r="H225" s="5" t="s">
        <v>2184</v>
      </c>
      <c r="I225" s="59">
        <v>0</v>
      </c>
      <c r="J225" s="5" t="s">
        <v>994</v>
      </c>
      <c r="K225" s="5" t="s">
        <v>1009</v>
      </c>
      <c r="L225" s="5" t="s">
        <v>1010</v>
      </c>
      <c r="M225" s="5">
        <v>5</v>
      </c>
      <c r="N225" s="5" t="str">
        <f t="shared" si="3"/>
        <v>May</v>
      </c>
    </row>
    <row r="226" spans="1:14" x14ac:dyDescent="0.35">
      <c r="A226" s="5" t="s">
        <v>2196</v>
      </c>
      <c r="B226" s="5" t="s">
        <v>36</v>
      </c>
      <c r="C226" s="5" t="s">
        <v>990</v>
      </c>
      <c r="D226" s="5" t="s">
        <v>993</v>
      </c>
      <c r="E226" s="5" t="s">
        <v>2183</v>
      </c>
      <c r="F226" s="58">
        <v>2540</v>
      </c>
      <c r="G226" s="5" t="s">
        <v>993</v>
      </c>
      <c r="H226" s="5" t="s">
        <v>2184</v>
      </c>
      <c r="I226" s="59">
        <v>0</v>
      </c>
      <c r="J226" s="5" t="s">
        <v>994</v>
      </c>
      <c r="K226" s="5" t="s">
        <v>1009</v>
      </c>
      <c r="L226" s="5" t="s">
        <v>1010</v>
      </c>
      <c r="M226" s="5">
        <v>5</v>
      </c>
      <c r="N226" s="5" t="str">
        <f t="shared" si="3"/>
        <v>May</v>
      </c>
    </row>
    <row r="227" spans="1:14" x14ac:dyDescent="0.35">
      <c r="A227" s="5" t="s">
        <v>2196</v>
      </c>
      <c r="B227" s="5" t="s">
        <v>36</v>
      </c>
      <c r="C227" s="5" t="s">
        <v>990</v>
      </c>
      <c r="D227" s="5" t="s">
        <v>2707</v>
      </c>
      <c r="E227" s="5" t="s">
        <v>2886</v>
      </c>
      <c r="F227" s="58">
        <v>98214.29</v>
      </c>
      <c r="G227" s="5" t="s">
        <v>2332</v>
      </c>
      <c r="H227" s="5" t="s">
        <v>993</v>
      </c>
      <c r="I227" s="60">
        <v>2</v>
      </c>
      <c r="J227" s="5" t="s">
        <v>994</v>
      </c>
      <c r="K227" s="5" t="s">
        <v>995</v>
      </c>
      <c r="L227" s="5" t="s">
        <v>996</v>
      </c>
      <c r="M227" s="5">
        <v>7</v>
      </c>
      <c r="N227" s="5" t="str">
        <f t="shared" si="3"/>
        <v>Jul</v>
      </c>
    </row>
    <row r="228" spans="1:14" x14ac:dyDescent="0.35">
      <c r="A228" s="5" t="s">
        <v>2196</v>
      </c>
      <c r="B228" s="5" t="s">
        <v>36</v>
      </c>
      <c r="C228" s="5" t="s">
        <v>990</v>
      </c>
      <c r="D228" s="5" t="s">
        <v>2199</v>
      </c>
      <c r="E228" s="5" t="s">
        <v>2200</v>
      </c>
      <c r="F228" s="58">
        <v>27500</v>
      </c>
      <c r="G228" s="5" t="s">
        <v>2201</v>
      </c>
      <c r="H228" s="5" t="s">
        <v>993</v>
      </c>
      <c r="I228" s="60">
        <v>50</v>
      </c>
      <c r="J228" s="5" t="s">
        <v>994</v>
      </c>
      <c r="K228" s="5" t="s">
        <v>995</v>
      </c>
      <c r="L228" s="5" t="s">
        <v>996</v>
      </c>
      <c r="M228" s="5">
        <v>6</v>
      </c>
      <c r="N228" s="5" t="str">
        <f t="shared" si="3"/>
        <v>Jun</v>
      </c>
    </row>
    <row r="229" spans="1:14" x14ac:dyDescent="0.35">
      <c r="A229" s="5" t="s">
        <v>2196</v>
      </c>
      <c r="B229" s="5" t="s">
        <v>36</v>
      </c>
      <c r="C229" s="5" t="s">
        <v>990</v>
      </c>
      <c r="D229" s="5" t="s">
        <v>2199</v>
      </c>
      <c r="E229" s="5" t="s">
        <v>2200</v>
      </c>
      <c r="F229" s="58">
        <v>22500</v>
      </c>
      <c r="G229" s="5" t="s">
        <v>1220</v>
      </c>
      <c r="H229" s="5" t="s">
        <v>993</v>
      </c>
      <c r="I229" s="60">
        <v>500</v>
      </c>
      <c r="J229" s="5" t="s">
        <v>994</v>
      </c>
      <c r="K229" s="5" t="s">
        <v>995</v>
      </c>
      <c r="L229" s="5" t="s">
        <v>996</v>
      </c>
      <c r="M229" s="5">
        <v>6</v>
      </c>
      <c r="N229" s="5" t="str">
        <f t="shared" si="3"/>
        <v>Jun</v>
      </c>
    </row>
    <row r="230" spans="1:14" x14ac:dyDescent="0.35">
      <c r="A230" s="5" t="s">
        <v>2202</v>
      </c>
      <c r="B230" s="5" t="s">
        <v>39</v>
      </c>
      <c r="C230" s="5" t="s">
        <v>990</v>
      </c>
      <c r="D230" s="5" t="s">
        <v>2730</v>
      </c>
      <c r="E230" s="5" t="s">
        <v>2887</v>
      </c>
      <c r="F230" s="58">
        <v>6000</v>
      </c>
      <c r="G230" s="5" t="s">
        <v>2732</v>
      </c>
      <c r="H230" s="5" t="s">
        <v>993</v>
      </c>
      <c r="I230" s="60">
        <v>2</v>
      </c>
      <c r="J230" s="5" t="s">
        <v>994</v>
      </c>
      <c r="K230" s="5" t="s">
        <v>995</v>
      </c>
      <c r="L230" s="5" t="s">
        <v>996</v>
      </c>
      <c r="M230" s="5">
        <v>7</v>
      </c>
      <c r="N230" s="5" t="str">
        <f t="shared" si="3"/>
        <v>Jul</v>
      </c>
    </row>
    <row r="231" spans="1:14" x14ac:dyDescent="0.35">
      <c r="A231" s="5" t="s">
        <v>2202</v>
      </c>
      <c r="B231" s="5" t="s">
        <v>39</v>
      </c>
      <c r="C231" s="5" t="s">
        <v>990</v>
      </c>
      <c r="D231" s="5" t="s">
        <v>2730</v>
      </c>
      <c r="E231" s="5" t="s">
        <v>2887</v>
      </c>
      <c r="F231" s="58">
        <v>165000</v>
      </c>
      <c r="G231" s="5" t="s">
        <v>2731</v>
      </c>
      <c r="H231" s="5" t="s">
        <v>993</v>
      </c>
      <c r="I231" s="60">
        <v>100</v>
      </c>
      <c r="J231" s="5" t="s">
        <v>994</v>
      </c>
      <c r="K231" s="5" t="s">
        <v>995</v>
      </c>
      <c r="L231" s="5" t="s">
        <v>996</v>
      </c>
      <c r="M231" s="5">
        <v>7</v>
      </c>
      <c r="N231" s="5" t="str">
        <f t="shared" si="3"/>
        <v>Jul</v>
      </c>
    </row>
    <row r="232" spans="1:14" x14ac:dyDescent="0.35">
      <c r="A232" s="5" t="s">
        <v>2202</v>
      </c>
      <c r="B232" s="5" t="s">
        <v>39</v>
      </c>
      <c r="C232" s="5" t="s">
        <v>990</v>
      </c>
      <c r="D232" s="5" t="s">
        <v>2978</v>
      </c>
      <c r="E232" s="5" t="s">
        <v>3236</v>
      </c>
      <c r="F232" s="58">
        <v>50089.29</v>
      </c>
      <c r="G232" s="5" t="s">
        <v>2716</v>
      </c>
      <c r="H232" s="5" t="s">
        <v>993</v>
      </c>
      <c r="I232" s="60">
        <v>22</v>
      </c>
      <c r="J232" s="5" t="s">
        <v>994</v>
      </c>
      <c r="K232" s="5" t="s">
        <v>995</v>
      </c>
      <c r="L232" s="5" t="s">
        <v>996</v>
      </c>
      <c r="M232" s="5">
        <v>8</v>
      </c>
      <c r="N232" s="5" t="str">
        <f t="shared" si="3"/>
        <v>Aug</v>
      </c>
    </row>
    <row r="233" spans="1:14" x14ac:dyDescent="0.35">
      <c r="A233" s="5" t="s">
        <v>2202</v>
      </c>
      <c r="B233" s="5" t="s">
        <v>39</v>
      </c>
      <c r="C233" s="5" t="s">
        <v>990</v>
      </c>
      <c r="D233" s="5" t="s">
        <v>2727</v>
      </c>
      <c r="E233" s="5" t="s">
        <v>3237</v>
      </c>
      <c r="F233" s="58">
        <v>168482.14</v>
      </c>
      <c r="G233" s="5" t="s">
        <v>2716</v>
      </c>
      <c r="H233" s="5" t="s">
        <v>993</v>
      </c>
      <c r="I233" s="60">
        <v>74</v>
      </c>
      <c r="J233" s="5" t="s">
        <v>994</v>
      </c>
      <c r="K233" s="5" t="s">
        <v>995</v>
      </c>
      <c r="L233" s="5" t="s">
        <v>996</v>
      </c>
      <c r="M233" s="5">
        <v>8</v>
      </c>
      <c r="N233" s="5" t="str">
        <f t="shared" si="3"/>
        <v>Aug</v>
      </c>
    </row>
    <row r="234" spans="1:14" x14ac:dyDescent="0.35">
      <c r="A234" s="5" t="s">
        <v>2202</v>
      </c>
      <c r="B234" s="5" t="s">
        <v>39</v>
      </c>
      <c r="C234" s="5" t="s">
        <v>990</v>
      </c>
      <c r="D234" s="5" t="s">
        <v>2729</v>
      </c>
      <c r="E234" s="5" t="s">
        <v>3238</v>
      </c>
      <c r="F234" s="58">
        <v>191250</v>
      </c>
      <c r="G234" s="5" t="s">
        <v>2716</v>
      </c>
      <c r="H234" s="5" t="s">
        <v>993</v>
      </c>
      <c r="I234" s="60">
        <v>84</v>
      </c>
      <c r="J234" s="5" t="s">
        <v>994</v>
      </c>
      <c r="K234" s="5" t="s">
        <v>995</v>
      </c>
      <c r="L234" s="5" t="s">
        <v>996</v>
      </c>
      <c r="M234" s="5">
        <v>8</v>
      </c>
      <c r="N234" s="5" t="str">
        <f t="shared" si="3"/>
        <v>Aug</v>
      </c>
    </row>
    <row r="235" spans="1:14" x14ac:dyDescent="0.35">
      <c r="A235" s="5" t="s">
        <v>2202</v>
      </c>
      <c r="B235" s="5" t="s">
        <v>39</v>
      </c>
      <c r="C235" s="5" t="s">
        <v>990</v>
      </c>
      <c r="D235" s="5" t="s">
        <v>2203</v>
      </c>
      <c r="E235" s="5" t="s">
        <v>2204</v>
      </c>
      <c r="F235" s="58">
        <v>98000</v>
      </c>
      <c r="G235" s="5" t="s">
        <v>1993</v>
      </c>
      <c r="H235" s="5" t="s">
        <v>993</v>
      </c>
      <c r="I235" s="60">
        <v>700</v>
      </c>
      <c r="J235" s="5" t="s">
        <v>994</v>
      </c>
      <c r="K235" s="5" t="s">
        <v>995</v>
      </c>
      <c r="L235" s="5" t="s">
        <v>996</v>
      </c>
      <c r="M235" s="5">
        <v>5</v>
      </c>
      <c r="N235" s="5" t="str">
        <f t="shared" si="3"/>
        <v>May</v>
      </c>
    </row>
    <row r="236" spans="1:14" x14ac:dyDescent="0.35">
      <c r="A236" s="5" t="s">
        <v>2202</v>
      </c>
      <c r="B236" s="5" t="s">
        <v>39</v>
      </c>
      <c r="C236" s="5" t="s">
        <v>990</v>
      </c>
      <c r="D236" s="5" t="s">
        <v>2726</v>
      </c>
      <c r="E236" s="5" t="s">
        <v>3239</v>
      </c>
      <c r="F236" s="58">
        <v>187500</v>
      </c>
      <c r="G236" s="5" t="s">
        <v>2336</v>
      </c>
      <c r="H236" s="5" t="s">
        <v>993</v>
      </c>
      <c r="I236" s="60">
        <v>30</v>
      </c>
      <c r="J236" s="5" t="s">
        <v>994</v>
      </c>
      <c r="K236" s="5" t="s">
        <v>995</v>
      </c>
      <c r="L236" s="5" t="s">
        <v>996</v>
      </c>
      <c r="M236" s="5">
        <v>9</v>
      </c>
      <c r="N236" s="5" t="str">
        <f t="shared" si="3"/>
        <v>Sep</v>
      </c>
    </row>
    <row r="237" spans="1:14" x14ac:dyDescent="0.35">
      <c r="A237" s="5" t="s">
        <v>2202</v>
      </c>
      <c r="B237" s="5" t="s">
        <v>39</v>
      </c>
      <c r="C237" s="5" t="s">
        <v>990</v>
      </c>
      <c r="D237" s="5" t="s">
        <v>2205</v>
      </c>
      <c r="E237" s="5" t="s">
        <v>2206</v>
      </c>
      <c r="F237" s="58">
        <v>210000</v>
      </c>
      <c r="G237" s="5" t="s">
        <v>1993</v>
      </c>
      <c r="H237" s="5" t="s">
        <v>993</v>
      </c>
      <c r="I237" s="60">
        <v>1500</v>
      </c>
      <c r="J237" s="5" t="s">
        <v>994</v>
      </c>
      <c r="K237" s="5" t="s">
        <v>995</v>
      </c>
      <c r="L237" s="5" t="s">
        <v>996</v>
      </c>
      <c r="M237" s="5">
        <v>6</v>
      </c>
      <c r="N237" s="5" t="str">
        <f t="shared" si="3"/>
        <v>Jun</v>
      </c>
    </row>
    <row r="238" spans="1:14" x14ac:dyDescent="0.35">
      <c r="A238" s="5" t="s">
        <v>2888</v>
      </c>
      <c r="B238" s="5" t="s">
        <v>2889</v>
      </c>
      <c r="C238" s="5" t="s">
        <v>990</v>
      </c>
      <c r="D238" s="5" t="s">
        <v>2739</v>
      </c>
      <c r="E238" s="5" t="s">
        <v>3240</v>
      </c>
      <c r="F238" s="58">
        <v>84598.21</v>
      </c>
      <c r="G238" s="5" t="s">
        <v>2740</v>
      </c>
      <c r="H238" s="5" t="s">
        <v>993</v>
      </c>
      <c r="I238" s="60">
        <v>50</v>
      </c>
      <c r="J238" s="5" t="s">
        <v>994</v>
      </c>
      <c r="K238" s="5" t="s">
        <v>995</v>
      </c>
      <c r="L238" s="5" t="s">
        <v>996</v>
      </c>
      <c r="M238" s="5">
        <v>8</v>
      </c>
      <c r="N238" s="5" t="str">
        <f t="shared" si="3"/>
        <v>Aug</v>
      </c>
    </row>
    <row r="239" spans="1:14" x14ac:dyDescent="0.35">
      <c r="A239" s="5" t="s">
        <v>2888</v>
      </c>
      <c r="B239" s="5" t="s">
        <v>2889</v>
      </c>
      <c r="C239" s="5" t="s">
        <v>990</v>
      </c>
      <c r="D239" s="5" t="s">
        <v>2346</v>
      </c>
      <c r="E239" s="5" t="s">
        <v>2890</v>
      </c>
      <c r="F239" s="58">
        <v>66687.5</v>
      </c>
      <c r="G239" s="5" t="s">
        <v>2338</v>
      </c>
      <c r="H239" s="5" t="s">
        <v>993</v>
      </c>
      <c r="I239" s="60">
        <v>70</v>
      </c>
      <c r="J239" s="5" t="s">
        <v>994</v>
      </c>
      <c r="K239" s="5" t="s">
        <v>995</v>
      </c>
      <c r="L239" s="5" t="s">
        <v>996</v>
      </c>
      <c r="M239" s="5">
        <v>8</v>
      </c>
      <c r="N239" s="5" t="str">
        <f t="shared" si="3"/>
        <v>Aug</v>
      </c>
    </row>
    <row r="240" spans="1:14" x14ac:dyDescent="0.35">
      <c r="A240" s="5" t="s">
        <v>2888</v>
      </c>
      <c r="B240" s="5" t="s">
        <v>2889</v>
      </c>
      <c r="C240" s="5" t="s">
        <v>990</v>
      </c>
      <c r="D240" s="5" t="s">
        <v>2344</v>
      </c>
      <c r="E240" s="5" t="s">
        <v>2892</v>
      </c>
      <c r="F240" s="58">
        <v>52723.21</v>
      </c>
      <c r="G240" s="5" t="s">
        <v>2345</v>
      </c>
      <c r="H240" s="5" t="s">
        <v>993</v>
      </c>
      <c r="I240" s="60">
        <v>1</v>
      </c>
      <c r="J240" s="5" t="s">
        <v>994</v>
      </c>
      <c r="K240" s="5" t="s">
        <v>995</v>
      </c>
      <c r="L240" s="5" t="s">
        <v>996</v>
      </c>
      <c r="M240" s="5">
        <v>7</v>
      </c>
      <c r="N240" s="5" t="str">
        <f t="shared" si="3"/>
        <v>Jul</v>
      </c>
    </row>
    <row r="241" spans="1:14" x14ac:dyDescent="0.35">
      <c r="A241" s="5" t="s">
        <v>2888</v>
      </c>
      <c r="B241" s="5" t="s">
        <v>2889</v>
      </c>
      <c r="C241" s="5" t="s">
        <v>990</v>
      </c>
      <c r="D241" s="5" t="s">
        <v>2736</v>
      </c>
      <c r="E241" s="5" t="s">
        <v>2891</v>
      </c>
      <c r="F241" s="58">
        <v>3857.14</v>
      </c>
      <c r="G241" s="5" t="s">
        <v>2737</v>
      </c>
      <c r="H241" s="5" t="s">
        <v>993</v>
      </c>
      <c r="I241" s="60">
        <v>10</v>
      </c>
      <c r="J241" s="5" t="s">
        <v>994</v>
      </c>
      <c r="K241" s="5" t="s">
        <v>995</v>
      </c>
      <c r="L241" s="5" t="s">
        <v>996</v>
      </c>
      <c r="M241" s="5">
        <v>7</v>
      </c>
      <c r="N241" s="5" t="str">
        <f t="shared" si="3"/>
        <v>Jul</v>
      </c>
    </row>
    <row r="242" spans="1:14" x14ac:dyDescent="0.35">
      <c r="A242" s="5" t="s">
        <v>2888</v>
      </c>
      <c r="B242" s="5" t="s">
        <v>2889</v>
      </c>
      <c r="C242" s="5" t="s">
        <v>990</v>
      </c>
      <c r="D242" s="5" t="s">
        <v>2736</v>
      </c>
      <c r="E242" s="5" t="s">
        <v>2891</v>
      </c>
      <c r="F242" s="58">
        <v>467.23</v>
      </c>
      <c r="G242" s="5" t="s">
        <v>2738</v>
      </c>
      <c r="H242" s="5" t="s">
        <v>993</v>
      </c>
      <c r="I242" s="60">
        <v>1</v>
      </c>
      <c r="J242" s="5" t="s">
        <v>994</v>
      </c>
      <c r="K242" s="5" t="s">
        <v>995</v>
      </c>
      <c r="L242" s="5" t="s">
        <v>996</v>
      </c>
      <c r="M242" s="5">
        <v>7</v>
      </c>
      <c r="N242" s="5" t="str">
        <f t="shared" si="3"/>
        <v>Jul</v>
      </c>
    </row>
    <row r="243" spans="1:14" x14ac:dyDescent="0.35">
      <c r="A243" s="5" t="s">
        <v>2888</v>
      </c>
      <c r="B243" s="5" t="s">
        <v>2889</v>
      </c>
      <c r="C243" s="5" t="s">
        <v>990</v>
      </c>
      <c r="D243" s="5" t="s">
        <v>3125</v>
      </c>
      <c r="E243" s="5" t="s">
        <v>3241</v>
      </c>
      <c r="F243" s="58">
        <v>71875</v>
      </c>
      <c r="G243" s="5" t="s">
        <v>3126</v>
      </c>
      <c r="H243" s="5" t="s">
        <v>993</v>
      </c>
      <c r="I243" s="60">
        <v>70</v>
      </c>
      <c r="J243" s="5" t="s">
        <v>994</v>
      </c>
      <c r="K243" s="5" t="s">
        <v>995</v>
      </c>
      <c r="L243" s="5" t="s">
        <v>996</v>
      </c>
      <c r="M243" s="5">
        <v>9</v>
      </c>
      <c r="N243" s="5" t="str">
        <f t="shared" si="3"/>
        <v>Sep</v>
      </c>
    </row>
    <row r="244" spans="1:14" x14ac:dyDescent="0.35">
      <c r="A244" s="5" t="s">
        <v>2888</v>
      </c>
      <c r="B244" s="5" t="s">
        <v>2889</v>
      </c>
      <c r="C244" s="5" t="s">
        <v>990</v>
      </c>
      <c r="D244" s="5" t="s">
        <v>3125</v>
      </c>
      <c r="E244" s="5" t="s">
        <v>3241</v>
      </c>
      <c r="F244" s="58">
        <v>3571.43</v>
      </c>
      <c r="G244" s="5" t="s">
        <v>2985</v>
      </c>
      <c r="H244" s="5" t="s">
        <v>993</v>
      </c>
      <c r="I244" s="60">
        <v>1</v>
      </c>
      <c r="J244" s="5" t="s">
        <v>994</v>
      </c>
      <c r="K244" s="5" t="s">
        <v>995</v>
      </c>
      <c r="L244" s="5" t="s">
        <v>996</v>
      </c>
      <c r="M244" s="5">
        <v>9</v>
      </c>
      <c r="N244" s="5" t="str">
        <f t="shared" si="3"/>
        <v>Sep</v>
      </c>
    </row>
    <row r="245" spans="1:14" x14ac:dyDescent="0.35">
      <c r="A245" s="5" t="s">
        <v>2207</v>
      </c>
      <c r="B245" s="5" t="s">
        <v>48</v>
      </c>
      <c r="C245" s="5" t="s">
        <v>990</v>
      </c>
      <c r="D245" s="5" t="s">
        <v>1928</v>
      </c>
      <c r="E245" s="5" t="s">
        <v>1929</v>
      </c>
      <c r="F245" s="58">
        <v>10803.38</v>
      </c>
      <c r="G245" s="5" t="s">
        <v>1930</v>
      </c>
      <c r="H245" s="5" t="s">
        <v>993</v>
      </c>
      <c r="I245" s="60">
        <v>1</v>
      </c>
      <c r="J245" s="5" t="s">
        <v>994</v>
      </c>
      <c r="K245" s="5" t="s">
        <v>995</v>
      </c>
      <c r="L245" s="5" t="s">
        <v>996</v>
      </c>
      <c r="M245" s="5">
        <v>4</v>
      </c>
      <c r="N245" s="5" t="str">
        <f t="shared" si="3"/>
        <v>Apr</v>
      </c>
    </row>
    <row r="246" spans="1:14" x14ac:dyDescent="0.35">
      <c r="A246" s="5" t="s">
        <v>2207</v>
      </c>
      <c r="B246" s="5" t="s">
        <v>48</v>
      </c>
      <c r="C246" s="5" t="s">
        <v>990</v>
      </c>
      <c r="D246" s="5" t="s">
        <v>993</v>
      </c>
      <c r="E246" s="5" t="s">
        <v>1233</v>
      </c>
      <c r="F246" s="58">
        <v>18622.32</v>
      </c>
      <c r="G246" s="5" t="s">
        <v>993</v>
      </c>
      <c r="H246" s="5" t="s">
        <v>1230</v>
      </c>
      <c r="I246" s="59">
        <v>0</v>
      </c>
      <c r="J246" s="5" t="s">
        <v>1019</v>
      </c>
      <c r="K246" s="5" t="s">
        <v>1231</v>
      </c>
      <c r="L246" s="5" t="s">
        <v>1232</v>
      </c>
      <c r="M246" s="5">
        <v>3</v>
      </c>
      <c r="N246" s="5" t="str">
        <f t="shared" si="3"/>
        <v>Mar</v>
      </c>
    </row>
    <row r="247" spans="1:14" x14ac:dyDescent="0.35">
      <c r="A247" s="5" t="s">
        <v>2207</v>
      </c>
      <c r="B247" s="5" t="s">
        <v>48</v>
      </c>
      <c r="C247" s="5" t="s">
        <v>990</v>
      </c>
      <c r="D247" s="5" t="s">
        <v>993</v>
      </c>
      <c r="E247" s="5" t="s">
        <v>1233</v>
      </c>
      <c r="F247" s="58">
        <v>93126.48</v>
      </c>
      <c r="G247" s="5" t="s">
        <v>993</v>
      </c>
      <c r="H247" s="5" t="s">
        <v>1230</v>
      </c>
      <c r="I247" s="59">
        <v>0</v>
      </c>
      <c r="J247" s="5" t="s">
        <v>1019</v>
      </c>
      <c r="K247" s="5" t="s">
        <v>1231</v>
      </c>
      <c r="L247" s="5" t="s">
        <v>1232</v>
      </c>
      <c r="M247" s="5">
        <v>3</v>
      </c>
      <c r="N247" s="5" t="str">
        <f t="shared" si="3"/>
        <v>Mar</v>
      </c>
    </row>
    <row r="248" spans="1:14" x14ac:dyDescent="0.35">
      <c r="A248" s="5" t="s">
        <v>2207</v>
      </c>
      <c r="B248" s="5" t="s">
        <v>48</v>
      </c>
      <c r="C248" s="5" t="s">
        <v>990</v>
      </c>
      <c r="D248" s="5" t="s">
        <v>993</v>
      </c>
      <c r="E248" s="5" t="s">
        <v>1229</v>
      </c>
      <c r="F248" s="58">
        <v>16820.16</v>
      </c>
      <c r="G248" s="5" t="s">
        <v>993</v>
      </c>
      <c r="H248" s="5" t="s">
        <v>1924</v>
      </c>
      <c r="I248" s="59">
        <v>0</v>
      </c>
      <c r="J248" s="5" t="s">
        <v>1019</v>
      </c>
      <c r="K248" s="5" t="s">
        <v>1231</v>
      </c>
      <c r="L248" s="5" t="s">
        <v>1232</v>
      </c>
      <c r="M248" s="5">
        <v>3</v>
      </c>
      <c r="N248" s="5" t="str">
        <f t="shared" si="3"/>
        <v>Mar</v>
      </c>
    </row>
    <row r="249" spans="1:14" x14ac:dyDescent="0.35">
      <c r="A249" s="5" t="s">
        <v>2207</v>
      </c>
      <c r="B249" s="5" t="s">
        <v>48</v>
      </c>
      <c r="C249" s="5" t="s">
        <v>990</v>
      </c>
      <c r="D249" s="5" t="s">
        <v>993</v>
      </c>
      <c r="E249" s="5" t="s">
        <v>1229</v>
      </c>
      <c r="F249" s="58">
        <v>84114.240000000005</v>
      </c>
      <c r="G249" s="5" t="s">
        <v>993</v>
      </c>
      <c r="H249" s="5" t="s">
        <v>1924</v>
      </c>
      <c r="I249" s="59">
        <v>0</v>
      </c>
      <c r="J249" s="5" t="s">
        <v>1019</v>
      </c>
      <c r="K249" s="5" t="s">
        <v>1231</v>
      </c>
      <c r="L249" s="5" t="s">
        <v>1232</v>
      </c>
      <c r="M249" s="5">
        <v>3</v>
      </c>
      <c r="N249" s="5" t="str">
        <f t="shared" si="3"/>
        <v>Mar</v>
      </c>
    </row>
    <row r="250" spans="1:14" x14ac:dyDescent="0.35">
      <c r="A250" s="5" t="s">
        <v>2207</v>
      </c>
      <c r="B250" s="5" t="s">
        <v>48</v>
      </c>
      <c r="C250" s="5" t="s">
        <v>990</v>
      </c>
      <c r="D250" s="5" t="s">
        <v>1227</v>
      </c>
      <c r="E250" s="5" t="s">
        <v>1228</v>
      </c>
      <c r="F250" s="58">
        <v>116071.43</v>
      </c>
      <c r="G250" s="5" t="s">
        <v>1226</v>
      </c>
      <c r="H250" s="5" t="s">
        <v>993</v>
      </c>
      <c r="I250" s="60">
        <v>1</v>
      </c>
      <c r="J250" s="5" t="s">
        <v>994</v>
      </c>
      <c r="K250" s="5" t="s">
        <v>995</v>
      </c>
      <c r="L250" s="5" t="s">
        <v>996</v>
      </c>
      <c r="M250" s="5">
        <v>3</v>
      </c>
      <c r="N250" s="5" t="str">
        <f t="shared" si="3"/>
        <v>Mar</v>
      </c>
    </row>
    <row r="251" spans="1:14" x14ac:dyDescent="0.35">
      <c r="A251" s="5" t="s">
        <v>2207</v>
      </c>
      <c r="B251" s="5" t="s">
        <v>48</v>
      </c>
      <c r="C251" s="5" t="s">
        <v>990</v>
      </c>
      <c r="D251" s="5" t="s">
        <v>1224</v>
      </c>
      <c r="E251" s="5" t="s">
        <v>1225</v>
      </c>
      <c r="F251" s="58">
        <v>125000</v>
      </c>
      <c r="G251" s="5" t="s">
        <v>1226</v>
      </c>
      <c r="H251" s="5" t="s">
        <v>993</v>
      </c>
      <c r="I251" s="60">
        <v>1</v>
      </c>
      <c r="J251" s="5" t="s">
        <v>994</v>
      </c>
      <c r="K251" s="5" t="s">
        <v>995</v>
      </c>
      <c r="L251" s="5" t="s">
        <v>996</v>
      </c>
      <c r="M251" s="5">
        <v>3</v>
      </c>
      <c r="N251" s="5" t="str">
        <f t="shared" si="3"/>
        <v>Mar</v>
      </c>
    </row>
    <row r="252" spans="1:14" x14ac:dyDescent="0.35">
      <c r="A252" s="5" t="s">
        <v>2207</v>
      </c>
      <c r="B252" s="5" t="s">
        <v>48</v>
      </c>
      <c r="C252" s="5" t="s">
        <v>990</v>
      </c>
      <c r="D252" s="5" t="s">
        <v>993</v>
      </c>
      <c r="E252" s="5" t="s">
        <v>1233</v>
      </c>
      <c r="F252" s="58">
        <v>-3.26</v>
      </c>
      <c r="G252" s="5" t="s">
        <v>993</v>
      </c>
      <c r="H252" s="5" t="s">
        <v>1230</v>
      </c>
      <c r="I252" s="59">
        <v>0</v>
      </c>
      <c r="J252" s="5" t="s">
        <v>994</v>
      </c>
      <c r="K252" s="5" t="s">
        <v>1234</v>
      </c>
      <c r="L252" s="5" t="s">
        <v>1235</v>
      </c>
      <c r="M252" s="5">
        <v>3</v>
      </c>
      <c r="N252" s="5" t="str">
        <f t="shared" si="3"/>
        <v>Mar</v>
      </c>
    </row>
    <row r="253" spans="1:14" x14ac:dyDescent="0.35">
      <c r="A253" s="5" t="s">
        <v>2207</v>
      </c>
      <c r="B253" s="5" t="s">
        <v>48</v>
      </c>
      <c r="C253" s="5" t="s">
        <v>990</v>
      </c>
      <c r="D253" s="5" t="s">
        <v>993</v>
      </c>
      <c r="E253" s="5" t="s">
        <v>1233</v>
      </c>
      <c r="F253" s="58">
        <v>-16.27</v>
      </c>
      <c r="G253" s="5" t="s">
        <v>993</v>
      </c>
      <c r="H253" s="5" t="s">
        <v>1230</v>
      </c>
      <c r="I253" s="59">
        <v>0</v>
      </c>
      <c r="J253" s="5" t="s">
        <v>994</v>
      </c>
      <c r="K253" s="5" t="s">
        <v>1234</v>
      </c>
      <c r="L253" s="5" t="s">
        <v>1235</v>
      </c>
      <c r="M253" s="5">
        <v>3</v>
      </c>
      <c r="N253" s="5" t="str">
        <f t="shared" si="3"/>
        <v>Mar</v>
      </c>
    </row>
    <row r="254" spans="1:14" x14ac:dyDescent="0.35">
      <c r="A254" s="5" t="s">
        <v>2207</v>
      </c>
      <c r="B254" s="5" t="s">
        <v>48</v>
      </c>
      <c r="C254" s="5" t="s">
        <v>990</v>
      </c>
      <c r="D254" s="5" t="s">
        <v>993</v>
      </c>
      <c r="E254" s="5" t="s">
        <v>1236</v>
      </c>
      <c r="F254" s="58">
        <v>18622.32</v>
      </c>
      <c r="G254" s="5" t="s">
        <v>993</v>
      </c>
      <c r="H254" s="5" t="s">
        <v>1237</v>
      </c>
      <c r="I254" s="59">
        <v>0</v>
      </c>
      <c r="J254" s="5" t="s">
        <v>1019</v>
      </c>
      <c r="K254" s="5" t="s">
        <v>1231</v>
      </c>
      <c r="L254" s="5" t="s">
        <v>1232</v>
      </c>
      <c r="M254" s="5">
        <v>3</v>
      </c>
      <c r="N254" s="5" t="str">
        <f t="shared" si="3"/>
        <v>Mar</v>
      </c>
    </row>
    <row r="255" spans="1:14" x14ac:dyDescent="0.35">
      <c r="A255" s="5" t="s">
        <v>2207</v>
      </c>
      <c r="B255" s="5" t="s">
        <v>48</v>
      </c>
      <c r="C255" s="5" t="s">
        <v>990</v>
      </c>
      <c r="D255" s="5" t="s">
        <v>993</v>
      </c>
      <c r="E255" s="5" t="s">
        <v>2215</v>
      </c>
      <c r="F255" s="58">
        <v>93126.48</v>
      </c>
      <c r="G255" s="5" t="s">
        <v>993</v>
      </c>
      <c r="H255" s="5" t="s">
        <v>2216</v>
      </c>
      <c r="I255" s="59">
        <v>0</v>
      </c>
      <c r="J255" s="5" t="s">
        <v>1019</v>
      </c>
      <c r="K255" s="5" t="s">
        <v>1231</v>
      </c>
      <c r="L255" s="5" t="s">
        <v>1232</v>
      </c>
      <c r="M255" s="5">
        <v>5</v>
      </c>
      <c r="N255" s="5" t="str">
        <f t="shared" si="3"/>
        <v>May</v>
      </c>
    </row>
    <row r="256" spans="1:14" x14ac:dyDescent="0.35">
      <c r="A256" s="5" t="s">
        <v>2207</v>
      </c>
      <c r="B256" s="5" t="s">
        <v>48</v>
      </c>
      <c r="C256" s="5" t="s">
        <v>990</v>
      </c>
      <c r="D256" s="5" t="s">
        <v>993</v>
      </c>
      <c r="E256" s="5" t="s">
        <v>2215</v>
      </c>
      <c r="F256" s="58">
        <v>18622.32</v>
      </c>
      <c r="G256" s="5" t="s">
        <v>993</v>
      </c>
      <c r="H256" s="5" t="s">
        <v>2216</v>
      </c>
      <c r="I256" s="59">
        <v>0</v>
      </c>
      <c r="J256" s="5" t="s">
        <v>1019</v>
      </c>
      <c r="K256" s="5" t="s">
        <v>1231</v>
      </c>
      <c r="L256" s="5" t="s">
        <v>1232</v>
      </c>
      <c r="M256" s="5">
        <v>5</v>
      </c>
      <c r="N256" s="5" t="str">
        <f t="shared" si="3"/>
        <v>May</v>
      </c>
    </row>
    <row r="257" spans="1:14" x14ac:dyDescent="0.35">
      <c r="A257" s="5" t="s">
        <v>2207</v>
      </c>
      <c r="B257" s="5" t="s">
        <v>48</v>
      </c>
      <c r="C257" s="5" t="s">
        <v>990</v>
      </c>
      <c r="D257" s="5" t="s">
        <v>993</v>
      </c>
      <c r="E257" s="5" t="s">
        <v>1236</v>
      </c>
      <c r="F257" s="58">
        <v>93126.48</v>
      </c>
      <c r="G257" s="5" t="s">
        <v>993</v>
      </c>
      <c r="H257" s="5" t="s">
        <v>1237</v>
      </c>
      <c r="I257" s="59">
        <v>0</v>
      </c>
      <c r="J257" s="5" t="s">
        <v>1019</v>
      </c>
      <c r="K257" s="5" t="s">
        <v>1231</v>
      </c>
      <c r="L257" s="5" t="s">
        <v>1232</v>
      </c>
      <c r="M257" s="5">
        <v>3</v>
      </c>
      <c r="N257" s="5" t="str">
        <f t="shared" si="3"/>
        <v>Mar</v>
      </c>
    </row>
    <row r="258" spans="1:14" x14ac:dyDescent="0.35">
      <c r="A258" s="5" t="s">
        <v>2207</v>
      </c>
      <c r="B258" s="5" t="s">
        <v>48</v>
      </c>
      <c r="C258" s="5" t="s">
        <v>990</v>
      </c>
      <c r="D258" s="5" t="s">
        <v>2993</v>
      </c>
      <c r="E258" s="5" t="s">
        <v>3242</v>
      </c>
      <c r="F258" s="58">
        <v>1469.41</v>
      </c>
      <c r="G258" s="5" t="s">
        <v>2994</v>
      </c>
      <c r="H258" s="5" t="s">
        <v>993</v>
      </c>
      <c r="I258" s="60">
        <v>1</v>
      </c>
      <c r="J258" s="5" t="s">
        <v>994</v>
      </c>
      <c r="K258" s="5" t="s">
        <v>995</v>
      </c>
      <c r="L258" s="5" t="s">
        <v>996</v>
      </c>
      <c r="M258" s="5">
        <v>8</v>
      </c>
      <c r="N258" s="5" t="str">
        <f t="shared" si="3"/>
        <v>Aug</v>
      </c>
    </row>
    <row r="259" spans="1:14" x14ac:dyDescent="0.35">
      <c r="A259" s="5" t="s">
        <v>2207</v>
      </c>
      <c r="B259" s="5" t="s">
        <v>48</v>
      </c>
      <c r="C259" s="5" t="s">
        <v>990</v>
      </c>
      <c r="D259" s="5" t="s">
        <v>1221</v>
      </c>
      <c r="E259" s="5" t="s">
        <v>1222</v>
      </c>
      <c r="F259" s="58">
        <v>2938.82</v>
      </c>
      <c r="G259" s="5" t="s">
        <v>1223</v>
      </c>
      <c r="H259" s="5" t="s">
        <v>993</v>
      </c>
      <c r="I259" s="60">
        <v>2</v>
      </c>
      <c r="J259" s="5" t="s">
        <v>994</v>
      </c>
      <c r="K259" s="5" t="s">
        <v>995</v>
      </c>
      <c r="L259" s="5" t="s">
        <v>996</v>
      </c>
      <c r="M259" s="5">
        <v>3</v>
      </c>
      <c r="N259" s="5" t="str">
        <f t="shared" si="3"/>
        <v>Mar</v>
      </c>
    </row>
    <row r="260" spans="1:14" x14ac:dyDescent="0.35">
      <c r="A260" s="5" t="s">
        <v>2207</v>
      </c>
      <c r="B260" s="5" t="s">
        <v>48</v>
      </c>
      <c r="C260" s="5" t="s">
        <v>990</v>
      </c>
      <c r="D260" s="5" t="s">
        <v>993</v>
      </c>
      <c r="E260" s="5" t="s">
        <v>2617</v>
      </c>
      <c r="F260" s="58">
        <v>-6008.16</v>
      </c>
      <c r="G260" s="5" t="s">
        <v>993</v>
      </c>
      <c r="H260" s="5" t="s">
        <v>2618</v>
      </c>
      <c r="I260" s="59">
        <v>0</v>
      </c>
      <c r="J260" s="5" t="s">
        <v>994</v>
      </c>
      <c r="K260" s="5" t="s">
        <v>1234</v>
      </c>
      <c r="L260" s="5" t="s">
        <v>1235</v>
      </c>
      <c r="M260" s="5">
        <v>6</v>
      </c>
      <c r="N260" s="5" t="str">
        <f t="shared" ref="N260:N323" si="4">_xlfn.XLOOKUP(M260,$Q$3:$Q$14,$R$3:$R$14)</f>
        <v>Jun</v>
      </c>
    </row>
    <row r="261" spans="1:14" x14ac:dyDescent="0.35">
      <c r="A261" s="5" t="s">
        <v>2207</v>
      </c>
      <c r="B261" s="5" t="s">
        <v>48</v>
      </c>
      <c r="C261" s="5" t="s">
        <v>990</v>
      </c>
      <c r="D261" s="5" t="s">
        <v>993</v>
      </c>
      <c r="E261" s="5" t="s">
        <v>2617</v>
      </c>
      <c r="F261" s="58">
        <v>-1201.44</v>
      </c>
      <c r="G261" s="5" t="s">
        <v>993</v>
      </c>
      <c r="H261" s="5" t="s">
        <v>2618</v>
      </c>
      <c r="I261" s="59">
        <v>0</v>
      </c>
      <c r="J261" s="5" t="s">
        <v>994</v>
      </c>
      <c r="K261" s="5" t="s">
        <v>1234</v>
      </c>
      <c r="L261" s="5" t="s">
        <v>1235</v>
      </c>
      <c r="M261" s="5">
        <v>6</v>
      </c>
      <c r="N261" s="5" t="str">
        <f t="shared" si="4"/>
        <v>Jun</v>
      </c>
    </row>
    <row r="262" spans="1:14" x14ac:dyDescent="0.35">
      <c r="A262" s="5" t="s">
        <v>2207</v>
      </c>
      <c r="B262" s="5" t="s">
        <v>48</v>
      </c>
      <c r="C262" s="5" t="s">
        <v>990</v>
      </c>
      <c r="D262" s="5" t="s">
        <v>993</v>
      </c>
      <c r="E262" s="5" t="s">
        <v>2617</v>
      </c>
      <c r="F262" s="58">
        <v>90122.4</v>
      </c>
      <c r="G262" s="5" t="s">
        <v>993</v>
      </c>
      <c r="H262" s="5" t="s">
        <v>2618</v>
      </c>
      <c r="I262" s="59">
        <v>0</v>
      </c>
      <c r="J262" s="5" t="s">
        <v>1019</v>
      </c>
      <c r="K262" s="5" t="s">
        <v>1231</v>
      </c>
      <c r="L262" s="5" t="s">
        <v>1232</v>
      </c>
      <c r="M262" s="5">
        <v>6</v>
      </c>
      <c r="N262" s="5" t="str">
        <f t="shared" si="4"/>
        <v>Jun</v>
      </c>
    </row>
    <row r="263" spans="1:14" x14ac:dyDescent="0.35">
      <c r="A263" s="5" t="s">
        <v>2207</v>
      </c>
      <c r="B263" s="5" t="s">
        <v>48</v>
      </c>
      <c r="C263" s="5" t="s">
        <v>990</v>
      </c>
      <c r="D263" s="5" t="s">
        <v>993</v>
      </c>
      <c r="E263" s="5" t="s">
        <v>2617</v>
      </c>
      <c r="F263" s="58">
        <v>18021.599999999999</v>
      </c>
      <c r="G263" s="5" t="s">
        <v>993</v>
      </c>
      <c r="H263" s="5" t="s">
        <v>2618</v>
      </c>
      <c r="I263" s="59">
        <v>0</v>
      </c>
      <c r="J263" s="5" t="s">
        <v>1019</v>
      </c>
      <c r="K263" s="5" t="s">
        <v>1231</v>
      </c>
      <c r="L263" s="5" t="s">
        <v>1232</v>
      </c>
      <c r="M263" s="5">
        <v>6</v>
      </c>
      <c r="N263" s="5" t="str">
        <f t="shared" si="4"/>
        <v>Jun</v>
      </c>
    </row>
    <row r="264" spans="1:14" x14ac:dyDescent="0.35">
      <c r="A264" s="5" t="s">
        <v>2207</v>
      </c>
      <c r="B264" s="5" t="s">
        <v>48</v>
      </c>
      <c r="C264" s="5" t="s">
        <v>990</v>
      </c>
      <c r="D264" s="5" t="s">
        <v>993</v>
      </c>
      <c r="E264" s="5" t="s">
        <v>2895</v>
      </c>
      <c r="F264" s="58">
        <v>93126.48</v>
      </c>
      <c r="G264" s="5" t="s">
        <v>993</v>
      </c>
      <c r="H264" s="5" t="s">
        <v>2896</v>
      </c>
      <c r="I264" s="59">
        <v>0</v>
      </c>
      <c r="J264" s="5" t="s">
        <v>1019</v>
      </c>
      <c r="K264" s="5" t="s">
        <v>1231</v>
      </c>
      <c r="L264" s="5" t="s">
        <v>1232</v>
      </c>
      <c r="M264" s="5">
        <v>7</v>
      </c>
      <c r="N264" s="5" t="str">
        <f t="shared" si="4"/>
        <v>Jul</v>
      </c>
    </row>
    <row r="265" spans="1:14" x14ac:dyDescent="0.35">
      <c r="A265" s="5" t="s">
        <v>2207</v>
      </c>
      <c r="B265" s="5" t="s">
        <v>48</v>
      </c>
      <c r="C265" s="5" t="s">
        <v>990</v>
      </c>
      <c r="D265" s="5" t="s">
        <v>993</v>
      </c>
      <c r="E265" s="5" t="s">
        <v>2895</v>
      </c>
      <c r="F265" s="58">
        <v>18622.32</v>
      </c>
      <c r="G265" s="5" t="s">
        <v>993</v>
      </c>
      <c r="H265" s="5" t="s">
        <v>2896</v>
      </c>
      <c r="I265" s="59">
        <v>0</v>
      </c>
      <c r="J265" s="5" t="s">
        <v>1019</v>
      </c>
      <c r="K265" s="5" t="s">
        <v>1231</v>
      </c>
      <c r="L265" s="5" t="s">
        <v>1232</v>
      </c>
      <c r="M265" s="5">
        <v>7</v>
      </c>
      <c r="N265" s="5" t="str">
        <f t="shared" si="4"/>
        <v>Jul</v>
      </c>
    </row>
    <row r="266" spans="1:14" x14ac:dyDescent="0.35">
      <c r="A266" s="5" t="s">
        <v>2207</v>
      </c>
      <c r="B266" s="5" t="s">
        <v>48</v>
      </c>
      <c r="C266" s="5" t="s">
        <v>990</v>
      </c>
      <c r="D266" s="5" t="s">
        <v>1572</v>
      </c>
      <c r="E266" s="5" t="s">
        <v>1925</v>
      </c>
      <c r="F266" s="58">
        <v>7719.64</v>
      </c>
      <c r="G266" s="5" t="s">
        <v>1573</v>
      </c>
      <c r="H266" s="5" t="s">
        <v>993</v>
      </c>
      <c r="I266" s="60">
        <v>1</v>
      </c>
      <c r="J266" s="5" t="s">
        <v>994</v>
      </c>
      <c r="K266" s="5" t="s">
        <v>995</v>
      </c>
      <c r="L266" s="5" t="s">
        <v>996</v>
      </c>
      <c r="M266" s="5">
        <v>4</v>
      </c>
      <c r="N266" s="5" t="str">
        <f t="shared" si="4"/>
        <v>Apr</v>
      </c>
    </row>
    <row r="267" spans="1:14" x14ac:dyDescent="0.35">
      <c r="A267" s="5" t="s">
        <v>2207</v>
      </c>
      <c r="B267" s="5" t="s">
        <v>48</v>
      </c>
      <c r="C267" s="5" t="s">
        <v>990</v>
      </c>
      <c r="D267" s="5" t="s">
        <v>993</v>
      </c>
      <c r="E267" s="5" t="s">
        <v>1926</v>
      </c>
      <c r="F267" s="58">
        <v>90122.4</v>
      </c>
      <c r="G267" s="5" t="s">
        <v>993</v>
      </c>
      <c r="H267" s="5" t="s">
        <v>1927</v>
      </c>
      <c r="I267" s="59">
        <v>0</v>
      </c>
      <c r="J267" s="5" t="s">
        <v>1019</v>
      </c>
      <c r="K267" s="5" t="s">
        <v>1231</v>
      </c>
      <c r="L267" s="5" t="s">
        <v>1232</v>
      </c>
      <c r="M267" s="5">
        <v>4</v>
      </c>
      <c r="N267" s="5" t="str">
        <f t="shared" si="4"/>
        <v>Apr</v>
      </c>
    </row>
    <row r="268" spans="1:14" x14ac:dyDescent="0.35">
      <c r="A268" s="5" t="s">
        <v>2207</v>
      </c>
      <c r="B268" s="5" t="s">
        <v>48</v>
      </c>
      <c r="C268" s="5" t="s">
        <v>990</v>
      </c>
      <c r="D268" s="5" t="s">
        <v>993</v>
      </c>
      <c r="E268" s="5" t="s">
        <v>1926</v>
      </c>
      <c r="F268" s="58">
        <v>18021.599999999999</v>
      </c>
      <c r="G268" s="5" t="s">
        <v>993</v>
      </c>
      <c r="H268" s="5" t="s">
        <v>1927</v>
      </c>
      <c r="I268" s="59">
        <v>0</v>
      </c>
      <c r="J268" s="5" t="s">
        <v>1019</v>
      </c>
      <c r="K268" s="5" t="s">
        <v>1231</v>
      </c>
      <c r="L268" s="5" t="s">
        <v>1232</v>
      </c>
      <c r="M268" s="5">
        <v>4</v>
      </c>
      <c r="N268" s="5" t="str">
        <f t="shared" si="4"/>
        <v>Apr</v>
      </c>
    </row>
    <row r="269" spans="1:14" x14ac:dyDescent="0.35">
      <c r="A269" s="5" t="s">
        <v>2207</v>
      </c>
      <c r="B269" s="5" t="s">
        <v>48</v>
      </c>
      <c r="C269" s="5" t="s">
        <v>990</v>
      </c>
      <c r="D269" s="5" t="s">
        <v>1575</v>
      </c>
      <c r="E269" s="5" t="s">
        <v>2208</v>
      </c>
      <c r="F269" s="58">
        <v>37500</v>
      </c>
      <c r="G269" s="5" t="s">
        <v>1567</v>
      </c>
      <c r="H269" s="5" t="s">
        <v>993</v>
      </c>
      <c r="I269" s="60">
        <v>1</v>
      </c>
      <c r="J269" s="5" t="s">
        <v>994</v>
      </c>
      <c r="K269" s="5" t="s">
        <v>995</v>
      </c>
      <c r="L269" s="5" t="s">
        <v>996</v>
      </c>
      <c r="M269" s="5">
        <v>5</v>
      </c>
      <c r="N269" s="5" t="str">
        <f t="shared" si="4"/>
        <v>May</v>
      </c>
    </row>
    <row r="270" spans="1:14" x14ac:dyDescent="0.35">
      <c r="A270" s="5" t="s">
        <v>2207</v>
      </c>
      <c r="B270" s="5" t="s">
        <v>48</v>
      </c>
      <c r="C270" s="5" t="s">
        <v>990</v>
      </c>
      <c r="D270" s="5" t="s">
        <v>1569</v>
      </c>
      <c r="E270" s="5" t="s">
        <v>2209</v>
      </c>
      <c r="F270" s="58">
        <v>41071.43</v>
      </c>
      <c r="G270" s="5" t="s">
        <v>1570</v>
      </c>
      <c r="H270" s="5" t="s">
        <v>993</v>
      </c>
      <c r="I270" s="60">
        <v>1</v>
      </c>
      <c r="J270" s="5" t="s">
        <v>994</v>
      </c>
      <c r="K270" s="5" t="s">
        <v>995</v>
      </c>
      <c r="L270" s="5" t="s">
        <v>996</v>
      </c>
      <c r="M270" s="5">
        <v>5</v>
      </c>
      <c r="N270" s="5" t="str">
        <f t="shared" si="4"/>
        <v>May</v>
      </c>
    </row>
    <row r="271" spans="1:14" x14ac:dyDescent="0.35">
      <c r="A271" s="5" t="s">
        <v>2207</v>
      </c>
      <c r="B271" s="5" t="s">
        <v>48</v>
      </c>
      <c r="C271" s="5" t="s">
        <v>990</v>
      </c>
      <c r="D271" s="5" t="s">
        <v>2210</v>
      </c>
      <c r="E271" s="5" t="s">
        <v>2211</v>
      </c>
      <c r="F271" s="58">
        <v>13647.83</v>
      </c>
      <c r="G271" s="5" t="s">
        <v>2212</v>
      </c>
      <c r="H271" s="5" t="s">
        <v>993</v>
      </c>
      <c r="I271" s="60">
        <v>1</v>
      </c>
      <c r="J271" s="5" t="s">
        <v>994</v>
      </c>
      <c r="K271" s="5" t="s">
        <v>995</v>
      </c>
      <c r="L271" s="5" t="s">
        <v>996</v>
      </c>
      <c r="M271" s="5">
        <v>5</v>
      </c>
      <c r="N271" s="5" t="str">
        <f t="shared" si="4"/>
        <v>May</v>
      </c>
    </row>
    <row r="272" spans="1:14" x14ac:dyDescent="0.35">
      <c r="A272" s="5" t="s">
        <v>2207</v>
      </c>
      <c r="B272" s="5" t="s">
        <v>48</v>
      </c>
      <c r="C272" s="5" t="s">
        <v>990</v>
      </c>
      <c r="D272" s="5" t="s">
        <v>2213</v>
      </c>
      <c r="E272" s="5" t="s">
        <v>2214</v>
      </c>
      <c r="F272" s="58">
        <v>7630.49</v>
      </c>
      <c r="G272" s="5" t="s">
        <v>2212</v>
      </c>
      <c r="H272" s="5" t="s">
        <v>993</v>
      </c>
      <c r="I272" s="60">
        <v>1</v>
      </c>
      <c r="J272" s="5" t="s">
        <v>994</v>
      </c>
      <c r="K272" s="5" t="s">
        <v>995</v>
      </c>
      <c r="L272" s="5" t="s">
        <v>996</v>
      </c>
      <c r="M272" s="5">
        <v>5</v>
      </c>
      <c r="N272" s="5" t="str">
        <f t="shared" si="4"/>
        <v>May</v>
      </c>
    </row>
    <row r="273" spans="1:14" x14ac:dyDescent="0.35">
      <c r="A273" s="5" t="s">
        <v>2207</v>
      </c>
      <c r="B273" s="5" t="s">
        <v>48</v>
      </c>
      <c r="C273" s="5" t="s">
        <v>990</v>
      </c>
      <c r="D273" s="5" t="s">
        <v>2217</v>
      </c>
      <c r="E273" s="5" t="s">
        <v>2218</v>
      </c>
      <c r="F273" s="58">
        <v>10082.4</v>
      </c>
      <c r="G273" s="5" t="s">
        <v>2219</v>
      </c>
      <c r="H273" s="5" t="s">
        <v>993</v>
      </c>
      <c r="I273" s="60">
        <v>1</v>
      </c>
      <c r="J273" s="5" t="s">
        <v>994</v>
      </c>
      <c r="K273" s="5" t="s">
        <v>995</v>
      </c>
      <c r="L273" s="5" t="s">
        <v>996</v>
      </c>
      <c r="M273" s="5">
        <v>6</v>
      </c>
      <c r="N273" s="5" t="str">
        <f t="shared" si="4"/>
        <v>Jun</v>
      </c>
    </row>
    <row r="274" spans="1:14" x14ac:dyDescent="0.35">
      <c r="A274" s="5" t="s">
        <v>2207</v>
      </c>
      <c r="B274" s="5" t="s">
        <v>48</v>
      </c>
      <c r="C274" s="5" t="s">
        <v>990</v>
      </c>
      <c r="D274" s="5" t="s">
        <v>2356</v>
      </c>
      <c r="E274" s="5" t="s">
        <v>2616</v>
      </c>
      <c r="F274" s="58">
        <v>7142.86</v>
      </c>
      <c r="G274" s="5" t="s">
        <v>2353</v>
      </c>
      <c r="H274" s="5" t="s">
        <v>993</v>
      </c>
      <c r="I274" s="60">
        <v>1</v>
      </c>
      <c r="J274" s="5" t="s">
        <v>994</v>
      </c>
      <c r="K274" s="5" t="s">
        <v>995</v>
      </c>
      <c r="L274" s="5" t="s">
        <v>996</v>
      </c>
      <c r="M274" s="5">
        <v>6</v>
      </c>
      <c r="N274" s="5" t="str">
        <f t="shared" si="4"/>
        <v>Jun</v>
      </c>
    </row>
    <row r="275" spans="1:14" x14ac:dyDescent="0.35">
      <c r="A275" s="5" t="s">
        <v>2207</v>
      </c>
      <c r="B275" s="5" t="s">
        <v>48</v>
      </c>
      <c r="C275" s="5" t="s">
        <v>990</v>
      </c>
      <c r="D275" s="5" t="s">
        <v>2354</v>
      </c>
      <c r="E275" s="5" t="s">
        <v>2894</v>
      </c>
      <c r="F275" s="58">
        <v>78571.429999999993</v>
      </c>
      <c r="G275" s="5" t="s">
        <v>2355</v>
      </c>
      <c r="H275" s="5" t="s">
        <v>993</v>
      </c>
      <c r="I275" s="60">
        <v>1</v>
      </c>
      <c r="J275" s="5" t="s">
        <v>994</v>
      </c>
      <c r="K275" s="5" t="s">
        <v>995</v>
      </c>
      <c r="L275" s="5" t="s">
        <v>996</v>
      </c>
      <c r="M275" s="5">
        <v>7</v>
      </c>
      <c r="N275" s="5" t="str">
        <f t="shared" si="4"/>
        <v>Jul</v>
      </c>
    </row>
    <row r="276" spans="1:14" x14ac:dyDescent="0.35">
      <c r="A276" s="5" t="s">
        <v>2207</v>
      </c>
      <c r="B276" s="5" t="s">
        <v>48</v>
      </c>
      <c r="C276" s="5" t="s">
        <v>990</v>
      </c>
      <c r="D276" s="5" t="s">
        <v>2357</v>
      </c>
      <c r="E276" s="5" t="s">
        <v>2893</v>
      </c>
      <c r="F276" s="58">
        <v>35714.29</v>
      </c>
      <c r="G276" s="5" t="s">
        <v>2104</v>
      </c>
      <c r="H276" s="5" t="s">
        <v>993</v>
      </c>
      <c r="I276" s="60">
        <v>5</v>
      </c>
      <c r="J276" s="5" t="s">
        <v>994</v>
      </c>
      <c r="K276" s="5" t="s">
        <v>995</v>
      </c>
      <c r="L276" s="5" t="s">
        <v>996</v>
      </c>
      <c r="M276" s="5">
        <v>7</v>
      </c>
      <c r="N276" s="5" t="str">
        <f t="shared" si="4"/>
        <v>Jul</v>
      </c>
    </row>
    <row r="277" spans="1:14" x14ac:dyDescent="0.35">
      <c r="A277" s="5" t="s">
        <v>2207</v>
      </c>
      <c r="B277" s="5" t="s">
        <v>48</v>
      </c>
      <c r="C277" s="5" t="s">
        <v>990</v>
      </c>
      <c r="D277" s="5" t="s">
        <v>993</v>
      </c>
      <c r="E277" s="5" t="s">
        <v>3110</v>
      </c>
      <c r="F277" s="58">
        <v>-128.93</v>
      </c>
      <c r="G277" s="5" t="s">
        <v>993</v>
      </c>
      <c r="H277" s="5" t="s">
        <v>3111</v>
      </c>
      <c r="I277" s="59">
        <v>0</v>
      </c>
      <c r="J277" s="5" t="s">
        <v>994</v>
      </c>
      <c r="K277" s="5" t="s">
        <v>1234</v>
      </c>
      <c r="L277" s="5" t="s">
        <v>1235</v>
      </c>
      <c r="M277" s="5">
        <v>8</v>
      </c>
      <c r="N277" s="5" t="str">
        <f t="shared" si="4"/>
        <v>Aug</v>
      </c>
    </row>
    <row r="278" spans="1:14" x14ac:dyDescent="0.35">
      <c r="A278" s="5" t="s">
        <v>2207</v>
      </c>
      <c r="B278" s="5" t="s">
        <v>48</v>
      </c>
      <c r="C278" s="5" t="s">
        <v>990</v>
      </c>
      <c r="D278" s="5" t="s">
        <v>993</v>
      </c>
      <c r="E278" s="5" t="s">
        <v>3110</v>
      </c>
      <c r="F278" s="58">
        <v>-25.79</v>
      </c>
      <c r="G278" s="5" t="s">
        <v>993</v>
      </c>
      <c r="H278" s="5" t="s">
        <v>3111</v>
      </c>
      <c r="I278" s="59">
        <v>0</v>
      </c>
      <c r="J278" s="5" t="s">
        <v>994</v>
      </c>
      <c r="K278" s="5" t="s">
        <v>1234</v>
      </c>
      <c r="L278" s="5" t="s">
        <v>1235</v>
      </c>
      <c r="M278" s="5">
        <v>8</v>
      </c>
      <c r="N278" s="5" t="str">
        <f t="shared" si="4"/>
        <v>Aug</v>
      </c>
    </row>
    <row r="279" spans="1:14" x14ac:dyDescent="0.35">
      <c r="A279" s="5" t="s">
        <v>2207</v>
      </c>
      <c r="B279" s="5" t="s">
        <v>48</v>
      </c>
      <c r="C279" s="5" t="s">
        <v>990</v>
      </c>
      <c r="D279" s="5" t="s">
        <v>993</v>
      </c>
      <c r="E279" s="5" t="s">
        <v>3110</v>
      </c>
      <c r="F279" s="58">
        <v>93126.48</v>
      </c>
      <c r="G279" s="5" t="s">
        <v>993</v>
      </c>
      <c r="H279" s="5" t="s">
        <v>3111</v>
      </c>
      <c r="I279" s="59">
        <v>0</v>
      </c>
      <c r="J279" s="5" t="s">
        <v>1019</v>
      </c>
      <c r="K279" s="5" t="s">
        <v>1231</v>
      </c>
      <c r="L279" s="5" t="s">
        <v>1232</v>
      </c>
      <c r="M279" s="5">
        <v>8</v>
      </c>
      <c r="N279" s="5" t="str">
        <f t="shared" si="4"/>
        <v>Aug</v>
      </c>
    </row>
    <row r="280" spans="1:14" x14ac:dyDescent="0.35">
      <c r="A280" s="5" t="s">
        <v>2207</v>
      </c>
      <c r="B280" s="5" t="s">
        <v>48</v>
      </c>
      <c r="C280" s="5" t="s">
        <v>990</v>
      </c>
      <c r="D280" s="5" t="s">
        <v>993</v>
      </c>
      <c r="E280" s="5" t="s">
        <v>3110</v>
      </c>
      <c r="F280" s="58">
        <v>18622.32</v>
      </c>
      <c r="G280" s="5" t="s">
        <v>993</v>
      </c>
      <c r="H280" s="5" t="s">
        <v>3111</v>
      </c>
      <c r="I280" s="59">
        <v>0</v>
      </c>
      <c r="J280" s="5" t="s">
        <v>1019</v>
      </c>
      <c r="K280" s="5" t="s">
        <v>1231</v>
      </c>
      <c r="L280" s="5" t="s">
        <v>1232</v>
      </c>
      <c r="M280" s="5">
        <v>8</v>
      </c>
      <c r="N280" s="5" t="str">
        <f t="shared" si="4"/>
        <v>Aug</v>
      </c>
    </row>
    <row r="281" spans="1:14" x14ac:dyDescent="0.35">
      <c r="A281" s="5" t="s">
        <v>2207</v>
      </c>
      <c r="B281" s="5" t="s">
        <v>48</v>
      </c>
      <c r="C281" s="5" t="s">
        <v>990</v>
      </c>
      <c r="D281" s="5" t="s">
        <v>2990</v>
      </c>
      <c r="E281" s="5" t="s">
        <v>3243</v>
      </c>
      <c r="F281" s="58">
        <v>9821.43</v>
      </c>
      <c r="G281" s="5" t="s">
        <v>2991</v>
      </c>
      <c r="H281" s="5" t="s">
        <v>993</v>
      </c>
      <c r="I281" s="60">
        <v>1</v>
      </c>
      <c r="J281" s="5" t="s">
        <v>994</v>
      </c>
      <c r="K281" s="5" t="s">
        <v>995</v>
      </c>
      <c r="L281" s="5" t="s">
        <v>996</v>
      </c>
      <c r="M281" s="5">
        <v>8</v>
      </c>
      <c r="N281" s="5" t="str">
        <f t="shared" si="4"/>
        <v>Aug</v>
      </c>
    </row>
    <row r="282" spans="1:14" x14ac:dyDescent="0.35">
      <c r="A282" s="5" t="s">
        <v>2220</v>
      </c>
      <c r="B282" s="5" t="s">
        <v>52</v>
      </c>
      <c r="C282" s="5" t="s">
        <v>990</v>
      </c>
      <c r="D282" s="5" t="s">
        <v>1610</v>
      </c>
      <c r="E282" s="5" t="s">
        <v>1932</v>
      </c>
      <c r="F282" s="58">
        <v>12589.29</v>
      </c>
      <c r="G282" s="5" t="s">
        <v>1593</v>
      </c>
      <c r="H282" s="5" t="s">
        <v>993</v>
      </c>
      <c r="I282" s="60">
        <v>30</v>
      </c>
      <c r="J282" s="5" t="s">
        <v>994</v>
      </c>
      <c r="K282" s="5" t="s">
        <v>995</v>
      </c>
      <c r="L282" s="5" t="s">
        <v>996</v>
      </c>
      <c r="M282" s="5">
        <v>4</v>
      </c>
      <c r="N282" s="5" t="str">
        <f t="shared" si="4"/>
        <v>Apr</v>
      </c>
    </row>
    <row r="283" spans="1:14" x14ac:dyDescent="0.35">
      <c r="A283" s="5" t="s">
        <v>2220</v>
      </c>
      <c r="B283" s="5" t="s">
        <v>52</v>
      </c>
      <c r="C283" s="5" t="s">
        <v>990</v>
      </c>
      <c r="D283" s="5" t="s">
        <v>1610</v>
      </c>
      <c r="E283" s="5" t="s">
        <v>1932</v>
      </c>
      <c r="F283" s="58">
        <v>7232.14</v>
      </c>
      <c r="G283" s="5" t="s">
        <v>1594</v>
      </c>
      <c r="H283" s="5" t="s">
        <v>993</v>
      </c>
      <c r="I283" s="60">
        <v>20</v>
      </c>
      <c r="J283" s="5" t="s">
        <v>994</v>
      </c>
      <c r="K283" s="5" t="s">
        <v>995</v>
      </c>
      <c r="L283" s="5" t="s">
        <v>996</v>
      </c>
      <c r="M283" s="5">
        <v>4</v>
      </c>
      <c r="N283" s="5" t="str">
        <f t="shared" si="4"/>
        <v>Apr</v>
      </c>
    </row>
    <row r="284" spans="1:14" x14ac:dyDescent="0.35">
      <c r="A284" s="5" t="s">
        <v>2220</v>
      </c>
      <c r="B284" s="5" t="s">
        <v>52</v>
      </c>
      <c r="C284" s="5" t="s">
        <v>990</v>
      </c>
      <c r="D284" s="5" t="s">
        <v>1602</v>
      </c>
      <c r="E284" s="5" t="s">
        <v>1933</v>
      </c>
      <c r="F284" s="58">
        <v>223214.29</v>
      </c>
      <c r="G284" s="5" t="s">
        <v>1603</v>
      </c>
      <c r="H284" s="5" t="s">
        <v>993</v>
      </c>
      <c r="I284" s="60">
        <v>1</v>
      </c>
      <c r="J284" s="5" t="s">
        <v>994</v>
      </c>
      <c r="K284" s="5" t="s">
        <v>995</v>
      </c>
      <c r="L284" s="5" t="s">
        <v>996</v>
      </c>
      <c r="M284" s="5">
        <v>4</v>
      </c>
      <c r="N284" s="5" t="str">
        <f t="shared" si="4"/>
        <v>Apr</v>
      </c>
    </row>
    <row r="285" spans="1:14" x14ac:dyDescent="0.35">
      <c r="A285" s="5" t="s">
        <v>2220</v>
      </c>
      <c r="B285" s="5" t="s">
        <v>52</v>
      </c>
      <c r="C285" s="5" t="s">
        <v>990</v>
      </c>
      <c r="D285" s="5" t="s">
        <v>1937</v>
      </c>
      <c r="E285" s="5" t="s">
        <v>1938</v>
      </c>
      <c r="F285" s="58">
        <v>12108.72</v>
      </c>
      <c r="G285" s="5" t="s">
        <v>1930</v>
      </c>
      <c r="H285" s="5" t="s">
        <v>993</v>
      </c>
      <c r="I285" s="60">
        <v>1</v>
      </c>
      <c r="J285" s="5" t="s">
        <v>994</v>
      </c>
      <c r="K285" s="5" t="s">
        <v>995</v>
      </c>
      <c r="L285" s="5" t="s">
        <v>996</v>
      </c>
      <c r="M285" s="5">
        <v>4</v>
      </c>
      <c r="N285" s="5" t="str">
        <f t="shared" si="4"/>
        <v>Apr</v>
      </c>
    </row>
    <row r="286" spans="1:14" x14ac:dyDescent="0.35">
      <c r="A286" s="5" t="s">
        <v>2220</v>
      </c>
      <c r="B286" s="5" t="s">
        <v>52</v>
      </c>
      <c r="C286" s="5" t="s">
        <v>990</v>
      </c>
      <c r="D286" s="5" t="s">
        <v>2747</v>
      </c>
      <c r="E286" s="5" t="s">
        <v>2897</v>
      </c>
      <c r="F286" s="58">
        <v>80357.14</v>
      </c>
      <c r="G286" s="5" t="s">
        <v>2364</v>
      </c>
      <c r="H286" s="5" t="s">
        <v>993</v>
      </c>
      <c r="I286" s="60">
        <v>1</v>
      </c>
      <c r="J286" s="5" t="s">
        <v>994</v>
      </c>
      <c r="K286" s="5" t="s">
        <v>995</v>
      </c>
      <c r="L286" s="5" t="s">
        <v>996</v>
      </c>
      <c r="M286" s="5">
        <v>7</v>
      </c>
      <c r="N286" s="5" t="str">
        <f t="shared" si="4"/>
        <v>Jul</v>
      </c>
    </row>
    <row r="287" spans="1:14" x14ac:dyDescent="0.35">
      <c r="A287" s="5" t="s">
        <v>2220</v>
      </c>
      <c r="B287" s="5" t="s">
        <v>52</v>
      </c>
      <c r="C287" s="5" t="s">
        <v>990</v>
      </c>
      <c r="D287" s="5" t="s">
        <v>2748</v>
      </c>
      <c r="E287" s="5" t="s">
        <v>2898</v>
      </c>
      <c r="F287" s="58">
        <v>30357.14</v>
      </c>
      <c r="G287" s="5" t="s">
        <v>2749</v>
      </c>
      <c r="H287" s="5" t="s">
        <v>993</v>
      </c>
      <c r="I287" s="60">
        <v>1</v>
      </c>
      <c r="J287" s="5" t="s">
        <v>994</v>
      </c>
      <c r="K287" s="5" t="s">
        <v>995</v>
      </c>
      <c r="L287" s="5" t="s">
        <v>996</v>
      </c>
      <c r="M287" s="5">
        <v>7</v>
      </c>
      <c r="N287" s="5" t="str">
        <f t="shared" si="4"/>
        <v>Jul</v>
      </c>
    </row>
    <row r="288" spans="1:14" x14ac:dyDescent="0.35">
      <c r="A288" s="5" t="s">
        <v>2220</v>
      </c>
      <c r="B288" s="5" t="s">
        <v>52</v>
      </c>
      <c r="C288" s="5" t="s">
        <v>990</v>
      </c>
      <c r="D288" s="5" t="s">
        <v>993</v>
      </c>
      <c r="E288" s="5" t="s">
        <v>2899</v>
      </c>
      <c r="F288" s="58">
        <v>4464.29</v>
      </c>
      <c r="G288" s="5" t="s">
        <v>993</v>
      </c>
      <c r="H288" s="5" t="s">
        <v>2900</v>
      </c>
      <c r="I288" s="59">
        <v>0</v>
      </c>
      <c r="J288" s="5" t="s">
        <v>1019</v>
      </c>
      <c r="K288" s="5" t="s">
        <v>2798</v>
      </c>
      <c r="L288" s="5" t="s">
        <v>2901</v>
      </c>
      <c r="M288" s="5">
        <v>7</v>
      </c>
      <c r="N288" s="5" t="str">
        <f t="shared" si="4"/>
        <v>Jul</v>
      </c>
    </row>
    <row r="289" spans="1:14" x14ac:dyDescent="0.35">
      <c r="A289" s="5" t="s">
        <v>2220</v>
      </c>
      <c r="B289" s="5" t="s">
        <v>52</v>
      </c>
      <c r="C289" s="5" t="s">
        <v>990</v>
      </c>
      <c r="D289" s="5" t="s">
        <v>1238</v>
      </c>
      <c r="E289" s="5" t="s">
        <v>1239</v>
      </c>
      <c r="F289" s="58">
        <v>25000</v>
      </c>
      <c r="G289" s="5" t="s">
        <v>1240</v>
      </c>
      <c r="H289" s="5" t="s">
        <v>993</v>
      </c>
      <c r="I289" s="60">
        <v>1</v>
      </c>
      <c r="J289" s="5" t="s">
        <v>994</v>
      </c>
      <c r="K289" s="5" t="s">
        <v>995</v>
      </c>
      <c r="L289" s="5" t="s">
        <v>996</v>
      </c>
      <c r="M289" s="5">
        <v>2</v>
      </c>
      <c r="N289" s="5" t="str">
        <f t="shared" si="4"/>
        <v>Feb</v>
      </c>
    </row>
    <row r="290" spans="1:14" x14ac:dyDescent="0.35">
      <c r="A290" s="5" t="s">
        <v>2220</v>
      </c>
      <c r="B290" s="5" t="s">
        <v>52</v>
      </c>
      <c r="C290" s="5" t="s">
        <v>990</v>
      </c>
      <c r="D290" s="5" t="s">
        <v>1241</v>
      </c>
      <c r="E290" s="5" t="s">
        <v>1242</v>
      </c>
      <c r="F290" s="58">
        <v>1469.41</v>
      </c>
      <c r="G290" s="5" t="s">
        <v>1243</v>
      </c>
      <c r="H290" s="5" t="s">
        <v>993</v>
      </c>
      <c r="I290" s="60">
        <v>1</v>
      </c>
      <c r="J290" s="5" t="s">
        <v>994</v>
      </c>
      <c r="K290" s="5" t="s">
        <v>995</v>
      </c>
      <c r="L290" s="5" t="s">
        <v>996</v>
      </c>
      <c r="M290" s="5">
        <v>3</v>
      </c>
      <c r="N290" s="5" t="str">
        <f t="shared" si="4"/>
        <v>Mar</v>
      </c>
    </row>
    <row r="291" spans="1:14" x14ac:dyDescent="0.35">
      <c r="A291" s="5" t="s">
        <v>2220</v>
      </c>
      <c r="B291" s="5" t="s">
        <v>52</v>
      </c>
      <c r="C291" s="5" t="s">
        <v>990</v>
      </c>
      <c r="D291" s="5" t="s">
        <v>1608</v>
      </c>
      <c r="E291" s="5" t="s">
        <v>1934</v>
      </c>
      <c r="F291" s="58">
        <v>35714.29</v>
      </c>
      <c r="G291" s="5" t="s">
        <v>1609</v>
      </c>
      <c r="H291" s="5" t="s">
        <v>993</v>
      </c>
      <c r="I291" s="60">
        <v>1</v>
      </c>
      <c r="J291" s="5" t="s">
        <v>994</v>
      </c>
      <c r="K291" s="5" t="s">
        <v>995</v>
      </c>
      <c r="L291" s="5" t="s">
        <v>996</v>
      </c>
      <c r="M291" s="5">
        <v>4</v>
      </c>
      <c r="N291" s="5" t="str">
        <f t="shared" si="4"/>
        <v>Apr</v>
      </c>
    </row>
    <row r="292" spans="1:14" x14ac:dyDescent="0.35">
      <c r="A292" s="5" t="s">
        <v>2220</v>
      </c>
      <c r="B292" s="5" t="s">
        <v>52</v>
      </c>
      <c r="C292" s="5" t="s">
        <v>990</v>
      </c>
      <c r="D292" s="5" t="s">
        <v>993</v>
      </c>
      <c r="E292" s="5" t="s">
        <v>1935</v>
      </c>
      <c r="F292" s="58">
        <v>953.2</v>
      </c>
      <c r="G292" s="5" t="s">
        <v>993</v>
      </c>
      <c r="H292" s="5" t="s">
        <v>1936</v>
      </c>
      <c r="I292" s="59">
        <v>0</v>
      </c>
      <c r="J292" s="5" t="s">
        <v>1019</v>
      </c>
      <c r="K292" s="5" t="s">
        <v>1231</v>
      </c>
      <c r="L292" s="5" t="s">
        <v>1232</v>
      </c>
      <c r="M292" s="5">
        <v>4</v>
      </c>
      <c r="N292" s="5" t="str">
        <f t="shared" si="4"/>
        <v>Apr</v>
      </c>
    </row>
    <row r="293" spans="1:14" x14ac:dyDescent="0.35">
      <c r="A293" s="5" t="s">
        <v>2220</v>
      </c>
      <c r="B293" s="5" t="s">
        <v>52</v>
      </c>
      <c r="C293" s="5" t="s">
        <v>990</v>
      </c>
      <c r="D293" s="5" t="s">
        <v>993</v>
      </c>
      <c r="E293" s="5" t="s">
        <v>1935</v>
      </c>
      <c r="F293" s="58">
        <v>190.64</v>
      </c>
      <c r="G293" s="5" t="s">
        <v>993</v>
      </c>
      <c r="H293" s="5" t="s">
        <v>1936</v>
      </c>
      <c r="I293" s="59">
        <v>0</v>
      </c>
      <c r="J293" s="5" t="s">
        <v>1019</v>
      </c>
      <c r="K293" s="5" t="s">
        <v>1231</v>
      </c>
      <c r="L293" s="5" t="s">
        <v>1232</v>
      </c>
      <c r="M293" s="5">
        <v>4</v>
      </c>
      <c r="N293" s="5" t="str">
        <f t="shared" si="4"/>
        <v>Apr</v>
      </c>
    </row>
    <row r="294" spans="1:14" x14ac:dyDescent="0.35">
      <c r="A294" s="5" t="s">
        <v>2220</v>
      </c>
      <c r="B294" s="5" t="s">
        <v>52</v>
      </c>
      <c r="C294" s="5" t="s">
        <v>990</v>
      </c>
      <c r="D294" s="5" t="s">
        <v>993</v>
      </c>
      <c r="E294" s="5" t="s">
        <v>2221</v>
      </c>
      <c r="F294" s="58">
        <v>-953.2</v>
      </c>
      <c r="G294" s="5" t="s">
        <v>993</v>
      </c>
      <c r="H294" s="5" t="s">
        <v>1936</v>
      </c>
      <c r="I294" s="59">
        <v>0</v>
      </c>
      <c r="J294" s="5" t="s">
        <v>1019</v>
      </c>
      <c r="K294" s="5" t="s">
        <v>1231</v>
      </c>
      <c r="L294" s="5" t="s">
        <v>1232</v>
      </c>
      <c r="M294" s="5">
        <v>5</v>
      </c>
      <c r="N294" s="5" t="str">
        <f t="shared" si="4"/>
        <v>May</v>
      </c>
    </row>
    <row r="295" spans="1:14" x14ac:dyDescent="0.35">
      <c r="A295" s="5" t="s">
        <v>2220</v>
      </c>
      <c r="B295" s="5" t="s">
        <v>52</v>
      </c>
      <c r="C295" s="5" t="s">
        <v>990</v>
      </c>
      <c r="D295" s="5" t="s">
        <v>993</v>
      </c>
      <c r="E295" s="5" t="s">
        <v>2221</v>
      </c>
      <c r="F295" s="58">
        <v>-190.64</v>
      </c>
      <c r="G295" s="5" t="s">
        <v>993</v>
      </c>
      <c r="H295" s="5" t="s">
        <v>1936</v>
      </c>
      <c r="I295" s="59">
        <v>0</v>
      </c>
      <c r="J295" s="5" t="s">
        <v>1019</v>
      </c>
      <c r="K295" s="5" t="s">
        <v>1231</v>
      </c>
      <c r="L295" s="5" t="s">
        <v>1232</v>
      </c>
      <c r="M295" s="5">
        <v>5</v>
      </c>
      <c r="N295" s="5" t="str">
        <f t="shared" si="4"/>
        <v>May</v>
      </c>
    </row>
    <row r="296" spans="1:14" x14ac:dyDescent="0.35">
      <c r="A296" s="5" t="s">
        <v>2220</v>
      </c>
      <c r="B296" s="5" t="s">
        <v>52</v>
      </c>
      <c r="C296" s="5" t="s">
        <v>990</v>
      </c>
      <c r="D296" s="5" t="s">
        <v>1604</v>
      </c>
      <c r="E296" s="5" t="s">
        <v>2222</v>
      </c>
      <c r="F296" s="58">
        <v>290178.57</v>
      </c>
      <c r="G296" s="5" t="s">
        <v>1605</v>
      </c>
      <c r="H296" s="5" t="s">
        <v>993</v>
      </c>
      <c r="I296" s="60">
        <v>1</v>
      </c>
      <c r="J296" s="5" t="s">
        <v>994</v>
      </c>
      <c r="K296" s="5" t="s">
        <v>995</v>
      </c>
      <c r="L296" s="5" t="s">
        <v>996</v>
      </c>
      <c r="M296" s="5">
        <v>6</v>
      </c>
      <c r="N296" s="5" t="str">
        <f t="shared" si="4"/>
        <v>Jun</v>
      </c>
    </row>
    <row r="297" spans="1:14" x14ac:dyDescent="0.35">
      <c r="A297" s="5" t="s">
        <v>2220</v>
      </c>
      <c r="B297" s="5" t="s">
        <v>52</v>
      </c>
      <c r="C297" s="5" t="s">
        <v>990</v>
      </c>
      <c r="D297" s="5" t="s">
        <v>2223</v>
      </c>
      <c r="E297" s="5" t="s">
        <v>2224</v>
      </c>
      <c r="F297" s="58">
        <v>3926.8</v>
      </c>
      <c r="G297" s="5" t="s">
        <v>2225</v>
      </c>
      <c r="H297" s="5" t="s">
        <v>993</v>
      </c>
      <c r="I297" s="60">
        <v>1</v>
      </c>
      <c r="J297" s="5" t="s">
        <v>994</v>
      </c>
      <c r="K297" s="5" t="s">
        <v>995</v>
      </c>
      <c r="L297" s="5" t="s">
        <v>996</v>
      </c>
      <c r="M297" s="5">
        <v>6</v>
      </c>
      <c r="N297" s="5" t="str">
        <f t="shared" si="4"/>
        <v>Jun</v>
      </c>
    </row>
    <row r="298" spans="1:14" x14ac:dyDescent="0.35">
      <c r="A298" s="5" t="s">
        <v>2220</v>
      </c>
      <c r="B298" s="5" t="s">
        <v>52</v>
      </c>
      <c r="C298" s="5" t="s">
        <v>990</v>
      </c>
      <c r="D298" s="5" t="s">
        <v>1611</v>
      </c>
      <c r="E298" s="5" t="s">
        <v>2619</v>
      </c>
      <c r="F298" s="58">
        <v>35714.29</v>
      </c>
      <c r="G298" s="5" t="s">
        <v>1612</v>
      </c>
      <c r="H298" s="5" t="s">
        <v>993</v>
      </c>
      <c r="I298" s="60">
        <v>1</v>
      </c>
      <c r="J298" s="5" t="s">
        <v>994</v>
      </c>
      <c r="K298" s="5" t="s">
        <v>995</v>
      </c>
      <c r="L298" s="5" t="s">
        <v>996</v>
      </c>
      <c r="M298" s="5">
        <v>6</v>
      </c>
      <c r="N298" s="5" t="str">
        <f t="shared" si="4"/>
        <v>Jun</v>
      </c>
    </row>
    <row r="299" spans="1:14" x14ac:dyDescent="0.35">
      <c r="A299" s="5" t="s">
        <v>2220</v>
      </c>
      <c r="B299" s="5" t="s">
        <v>52</v>
      </c>
      <c r="C299" s="5" t="s">
        <v>990</v>
      </c>
      <c r="D299" s="5" t="s">
        <v>2366</v>
      </c>
      <c r="E299" s="5" t="s">
        <v>2620</v>
      </c>
      <c r="F299" s="58">
        <v>3571.43</v>
      </c>
      <c r="G299" s="5" t="s">
        <v>2002</v>
      </c>
      <c r="H299" s="5" t="s">
        <v>993</v>
      </c>
      <c r="I299" s="60">
        <v>10</v>
      </c>
      <c r="J299" s="5" t="s">
        <v>994</v>
      </c>
      <c r="K299" s="5" t="s">
        <v>995</v>
      </c>
      <c r="L299" s="5" t="s">
        <v>996</v>
      </c>
      <c r="M299" s="5">
        <v>6</v>
      </c>
      <c r="N299" s="5" t="str">
        <f t="shared" si="4"/>
        <v>Jun</v>
      </c>
    </row>
    <row r="300" spans="1:14" x14ac:dyDescent="0.35">
      <c r="A300" s="5" t="s">
        <v>2220</v>
      </c>
      <c r="B300" s="5" t="s">
        <v>52</v>
      </c>
      <c r="C300" s="5" t="s">
        <v>990</v>
      </c>
      <c r="D300" s="5" t="s">
        <v>3008</v>
      </c>
      <c r="E300" s="5" t="s">
        <v>3244</v>
      </c>
      <c r="F300" s="58">
        <v>1469.41</v>
      </c>
      <c r="G300" s="5" t="s">
        <v>3009</v>
      </c>
      <c r="H300" s="5" t="s">
        <v>993</v>
      </c>
      <c r="I300" s="60">
        <v>1</v>
      </c>
      <c r="J300" s="5" t="s">
        <v>994</v>
      </c>
      <c r="K300" s="5" t="s">
        <v>995</v>
      </c>
      <c r="L300" s="5" t="s">
        <v>996</v>
      </c>
      <c r="M300" s="5">
        <v>8</v>
      </c>
      <c r="N300" s="5" t="str">
        <f t="shared" si="4"/>
        <v>Aug</v>
      </c>
    </row>
    <row r="301" spans="1:14" x14ac:dyDescent="0.35">
      <c r="A301" s="5" t="s">
        <v>2220</v>
      </c>
      <c r="B301" s="5" t="s">
        <v>52</v>
      </c>
      <c r="C301" s="5" t="s">
        <v>990</v>
      </c>
      <c r="D301" s="5" t="s">
        <v>3008</v>
      </c>
      <c r="E301" s="5" t="s">
        <v>3244</v>
      </c>
      <c r="F301" s="58">
        <v>8544.64</v>
      </c>
      <c r="G301" s="5" t="s">
        <v>3010</v>
      </c>
      <c r="H301" s="5" t="s">
        <v>993</v>
      </c>
      <c r="I301" s="60">
        <v>1</v>
      </c>
      <c r="J301" s="5" t="s">
        <v>994</v>
      </c>
      <c r="K301" s="5" t="s">
        <v>995</v>
      </c>
      <c r="L301" s="5" t="s">
        <v>996</v>
      </c>
      <c r="M301" s="5">
        <v>8</v>
      </c>
      <c r="N301" s="5" t="str">
        <f t="shared" si="4"/>
        <v>Aug</v>
      </c>
    </row>
    <row r="302" spans="1:14" x14ac:dyDescent="0.35">
      <c r="A302" s="5" t="s">
        <v>2220</v>
      </c>
      <c r="B302" s="5" t="s">
        <v>52</v>
      </c>
      <c r="C302" s="5" t="s">
        <v>990</v>
      </c>
      <c r="D302" s="5" t="s">
        <v>3008</v>
      </c>
      <c r="E302" s="5" t="s">
        <v>3244</v>
      </c>
      <c r="F302" s="58">
        <v>6696.43</v>
      </c>
      <c r="G302" s="5" t="s">
        <v>2108</v>
      </c>
      <c r="H302" s="5" t="s">
        <v>993</v>
      </c>
      <c r="I302" s="60">
        <v>1</v>
      </c>
      <c r="J302" s="5" t="s">
        <v>994</v>
      </c>
      <c r="K302" s="5" t="s">
        <v>995</v>
      </c>
      <c r="L302" s="5" t="s">
        <v>996</v>
      </c>
      <c r="M302" s="5">
        <v>8</v>
      </c>
      <c r="N302" s="5" t="str">
        <f t="shared" si="4"/>
        <v>Aug</v>
      </c>
    </row>
    <row r="303" spans="1:14" x14ac:dyDescent="0.35">
      <c r="A303" s="5" t="s">
        <v>2220</v>
      </c>
      <c r="B303" s="5" t="s">
        <v>52</v>
      </c>
      <c r="C303" s="5" t="s">
        <v>990</v>
      </c>
      <c r="D303" s="5" t="s">
        <v>2365</v>
      </c>
      <c r="E303" s="5" t="s">
        <v>3245</v>
      </c>
      <c r="F303" s="58">
        <v>4184.24</v>
      </c>
      <c r="G303" s="5" t="s">
        <v>3005</v>
      </c>
      <c r="H303" s="5" t="s">
        <v>993</v>
      </c>
      <c r="I303" s="60">
        <v>1</v>
      </c>
      <c r="J303" s="5" t="s">
        <v>994</v>
      </c>
      <c r="K303" s="5" t="s">
        <v>995</v>
      </c>
      <c r="L303" s="5" t="s">
        <v>996</v>
      </c>
      <c r="M303" s="5">
        <v>8</v>
      </c>
      <c r="N303" s="5" t="str">
        <f t="shared" si="4"/>
        <v>Aug</v>
      </c>
    </row>
    <row r="304" spans="1:14" x14ac:dyDescent="0.35">
      <c r="A304" s="5" t="s">
        <v>2220</v>
      </c>
      <c r="B304" s="5" t="s">
        <v>52</v>
      </c>
      <c r="C304" s="5" t="s">
        <v>990</v>
      </c>
      <c r="D304" s="5" t="s">
        <v>993</v>
      </c>
      <c r="E304" s="5" t="s">
        <v>3246</v>
      </c>
      <c r="F304" s="58">
        <v>2678.57</v>
      </c>
      <c r="G304" s="5" t="s">
        <v>993</v>
      </c>
      <c r="H304" s="5" t="s">
        <v>3247</v>
      </c>
      <c r="I304" s="59">
        <v>0</v>
      </c>
      <c r="J304" s="5" t="s">
        <v>1019</v>
      </c>
      <c r="K304" s="5" t="s">
        <v>2798</v>
      </c>
      <c r="L304" s="5" t="s">
        <v>2901</v>
      </c>
      <c r="M304" s="5">
        <v>9</v>
      </c>
      <c r="N304" s="5" t="str">
        <f t="shared" si="4"/>
        <v>Sep</v>
      </c>
    </row>
    <row r="305" spans="1:14" x14ac:dyDescent="0.35">
      <c r="A305" s="5" t="s">
        <v>2220</v>
      </c>
      <c r="B305" s="5" t="s">
        <v>52</v>
      </c>
      <c r="C305" s="5" t="s">
        <v>990</v>
      </c>
      <c r="D305" s="5" t="s">
        <v>3248</v>
      </c>
      <c r="E305" s="5" t="s">
        <v>3249</v>
      </c>
      <c r="F305" s="58">
        <v>258928.57</v>
      </c>
      <c r="G305" s="5" t="s">
        <v>3250</v>
      </c>
      <c r="H305" s="5" t="s">
        <v>993</v>
      </c>
      <c r="I305" s="60">
        <v>1</v>
      </c>
      <c r="J305" s="5" t="s">
        <v>994</v>
      </c>
      <c r="K305" s="5" t="s">
        <v>995</v>
      </c>
      <c r="L305" s="5" t="s">
        <v>996</v>
      </c>
      <c r="M305" s="5">
        <v>9</v>
      </c>
      <c r="N305" s="5" t="str">
        <f t="shared" si="4"/>
        <v>Sep</v>
      </c>
    </row>
    <row r="306" spans="1:14" x14ac:dyDescent="0.35">
      <c r="A306" s="5" t="s">
        <v>2220</v>
      </c>
      <c r="B306" s="5" t="s">
        <v>52</v>
      </c>
      <c r="C306" s="5" t="s">
        <v>990</v>
      </c>
      <c r="D306" s="5" t="s">
        <v>1606</v>
      </c>
      <c r="E306" s="5" t="s">
        <v>1931</v>
      </c>
      <c r="F306" s="58">
        <v>31250</v>
      </c>
      <c r="G306" s="5" t="s">
        <v>1607</v>
      </c>
      <c r="H306" s="5" t="s">
        <v>993</v>
      </c>
      <c r="I306" s="60">
        <v>1</v>
      </c>
      <c r="J306" s="5" t="s">
        <v>994</v>
      </c>
      <c r="K306" s="5" t="s">
        <v>995</v>
      </c>
      <c r="L306" s="5" t="s">
        <v>996</v>
      </c>
      <c r="M306" s="5">
        <v>4</v>
      </c>
      <c r="N306" s="5" t="str">
        <f t="shared" si="4"/>
        <v>Apr</v>
      </c>
    </row>
    <row r="307" spans="1:14" x14ac:dyDescent="0.35">
      <c r="A307" s="5" t="s">
        <v>2220</v>
      </c>
      <c r="B307" s="5" t="s">
        <v>52</v>
      </c>
      <c r="C307" s="5" t="s">
        <v>990</v>
      </c>
      <c r="D307" s="5" t="s">
        <v>993</v>
      </c>
      <c r="E307" s="5" t="s">
        <v>2902</v>
      </c>
      <c r="F307" s="58">
        <v>18359.68</v>
      </c>
      <c r="G307" s="5" t="s">
        <v>993</v>
      </c>
      <c r="H307" s="5" t="s">
        <v>2903</v>
      </c>
      <c r="I307" s="59">
        <v>0</v>
      </c>
      <c r="J307" s="5" t="s">
        <v>1019</v>
      </c>
      <c r="K307" s="5" t="s">
        <v>2904</v>
      </c>
      <c r="L307" s="5" t="s">
        <v>2905</v>
      </c>
      <c r="M307" s="5">
        <v>7</v>
      </c>
      <c r="N307" s="5" t="str">
        <f t="shared" si="4"/>
        <v>Jul</v>
      </c>
    </row>
    <row r="308" spans="1:14" x14ac:dyDescent="0.35">
      <c r="A308" s="5" t="s">
        <v>2226</v>
      </c>
      <c r="B308" s="5" t="s">
        <v>1939</v>
      </c>
      <c r="C308" s="5" t="s">
        <v>990</v>
      </c>
      <c r="D308" s="5" t="s">
        <v>1636</v>
      </c>
      <c r="E308" s="5" t="s">
        <v>1943</v>
      </c>
      <c r="F308" s="58">
        <v>66964.289999999994</v>
      </c>
      <c r="G308" s="5" t="s">
        <v>1620</v>
      </c>
      <c r="H308" s="5" t="s">
        <v>993</v>
      </c>
      <c r="I308" s="60">
        <v>1</v>
      </c>
      <c r="J308" s="5" t="s">
        <v>994</v>
      </c>
      <c r="K308" s="5" t="s">
        <v>995</v>
      </c>
      <c r="L308" s="5" t="s">
        <v>996</v>
      </c>
      <c r="M308" s="5">
        <v>4</v>
      </c>
      <c r="N308" s="5" t="str">
        <f t="shared" si="4"/>
        <v>Apr</v>
      </c>
    </row>
    <row r="309" spans="1:14" x14ac:dyDescent="0.35">
      <c r="A309" s="5" t="s">
        <v>2226</v>
      </c>
      <c r="B309" s="5" t="s">
        <v>1939</v>
      </c>
      <c r="C309" s="5" t="s">
        <v>990</v>
      </c>
      <c r="D309" s="5" t="s">
        <v>3021</v>
      </c>
      <c r="E309" s="5" t="s">
        <v>3251</v>
      </c>
      <c r="F309" s="58">
        <v>580357.14</v>
      </c>
      <c r="G309" s="5" t="s">
        <v>3022</v>
      </c>
      <c r="H309" s="5" t="s">
        <v>993</v>
      </c>
      <c r="I309" s="60">
        <v>1</v>
      </c>
      <c r="J309" s="5" t="s">
        <v>994</v>
      </c>
      <c r="K309" s="5" t="s">
        <v>995</v>
      </c>
      <c r="L309" s="5" t="s">
        <v>996</v>
      </c>
      <c r="M309" s="5">
        <v>9</v>
      </c>
      <c r="N309" s="5" t="str">
        <f t="shared" si="4"/>
        <v>Sep</v>
      </c>
    </row>
    <row r="310" spans="1:14" x14ac:dyDescent="0.35">
      <c r="A310" s="5" t="s">
        <v>2226</v>
      </c>
      <c r="B310" s="5" t="s">
        <v>1939</v>
      </c>
      <c r="C310" s="5" t="s">
        <v>990</v>
      </c>
      <c r="D310" s="5" t="s">
        <v>1634</v>
      </c>
      <c r="E310" s="5" t="s">
        <v>1940</v>
      </c>
      <c r="F310" s="58">
        <v>71428.570000000007</v>
      </c>
      <c r="G310" s="5" t="s">
        <v>1635</v>
      </c>
      <c r="H310" s="5" t="s">
        <v>993</v>
      </c>
      <c r="I310" s="60">
        <v>1</v>
      </c>
      <c r="J310" s="5" t="s">
        <v>994</v>
      </c>
      <c r="K310" s="5" t="s">
        <v>995</v>
      </c>
      <c r="L310" s="5" t="s">
        <v>996</v>
      </c>
      <c r="M310" s="5">
        <v>4</v>
      </c>
      <c r="N310" s="5" t="str">
        <f t="shared" si="4"/>
        <v>Apr</v>
      </c>
    </row>
    <row r="311" spans="1:14" x14ac:dyDescent="0.35">
      <c r="A311" s="5" t="s">
        <v>2226</v>
      </c>
      <c r="B311" s="5" t="s">
        <v>1939</v>
      </c>
      <c r="C311" s="5" t="s">
        <v>990</v>
      </c>
      <c r="D311" s="5" t="s">
        <v>1640</v>
      </c>
      <c r="E311" s="5" t="s">
        <v>1941</v>
      </c>
      <c r="F311" s="58">
        <v>20535.71</v>
      </c>
      <c r="G311" s="5" t="s">
        <v>1638</v>
      </c>
      <c r="H311" s="5" t="s">
        <v>993</v>
      </c>
      <c r="I311" s="60">
        <v>1</v>
      </c>
      <c r="J311" s="5" t="s">
        <v>994</v>
      </c>
      <c r="K311" s="5" t="s">
        <v>995</v>
      </c>
      <c r="L311" s="5" t="s">
        <v>996</v>
      </c>
      <c r="M311" s="5">
        <v>4</v>
      </c>
      <c r="N311" s="5" t="str">
        <f t="shared" si="4"/>
        <v>Apr</v>
      </c>
    </row>
    <row r="312" spans="1:14" x14ac:dyDescent="0.35">
      <c r="A312" s="5" t="s">
        <v>2226</v>
      </c>
      <c r="B312" s="5" t="s">
        <v>1939</v>
      </c>
      <c r="C312" s="5" t="s">
        <v>990</v>
      </c>
      <c r="D312" s="5" t="s">
        <v>1637</v>
      </c>
      <c r="E312" s="5" t="s">
        <v>1942</v>
      </c>
      <c r="F312" s="58">
        <v>20535.71</v>
      </c>
      <c r="G312" s="5" t="s">
        <v>1638</v>
      </c>
      <c r="H312" s="5" t="s">
        <v>993</v>
      </c>
      <c r="I312" s="60">
        <v>1</v>
      </c>
      <c r="J312" s="5" t="s">
        <v>994</v>
      </c>
      <c r="K312" s="5" t="s">
        <v>995</v>
      </c>
      <c r="L312" s="5" t="s">
        <v>996</v>
      </c>
      <c r="M312" s="5">
        <v>4</v>
      </c>
      <c r="N312" s="5" t="str">
        <f t="shared" si="4"/>
        <v>Apr</v>
      </c>
    </row>
    <row r="313" spans="1:14" x14ac:dyDescent="0.35">
      <c r="A313" s="5" t="s">
        <v>2226</v>
      </c>
      <c r="B313" s="5" t="s">
        <v>1939</v>
      </c>
      <c r="C313" s="5" t="s">
        <v>990</v>
      </c>
      <c r="D313" s="5" t="s">
        <v>1944</v>
      </c>
      <c r="E313" s="5" t="s">
        <v>1945</v>
      </c>
      <c r="F313" s="58">
        <v>2053571.43</v>
      </c>
      <c r="G313" s="5" t="s">
        <v>1946</v>
      </c>
      <c r="H313" s="5" t="s">
        <v>993</v>
      </c>
      <c r="I313" s="60">
        <v>1</v>
      </c>
      <c r="J313" s="5" t="s">
        <v>994</v>
      </c>
      <c r="K313" s="5" t="s">
        <v>995</v>
      </c>
      <c r="L313" s="5" t="s">
        <v>996</v>
      </c>
      <c r="M313" s="5">
        <v>4</v>
      </c>
      <c r="N313" s="5" t="str">
        <f t="shared" si="4"/>
        <v>Apr</v>
      </c>
    </row>
    <row r="314" spans="1:14" x14ac:dyDescent="0.35">
      <c r="A314" s="5" t="s">
        <v>2226</v>
      </c>
      <c r="B314" s="5" t="s">
        <v>1939</v>
      </c>
      <c r="C314" s="5" t="s">
        <v>990</v>
      </c>
      <c r="D314" s="5" t="s">
        <v>2380</v>
      </c>
      <c r="E314" s="5" t="s">
        <v>2621</v>
      </c>
      <c r="F314" s="58">
        <v>366071.43</v>
      </c>
      <c r="G314" s="5" t="s">
        <v>2381</v>
      </c>
      <c r="H314" s="5" t="s">
        <v>993</v>
      </c>
      <c r="I314" s="60">
        <v>1</v>
      </c>
      <c r="J314" s="5" t="s">
        <v>994</v>
      </c>
      <c r="K314" s="5" t="s">
        <v>995</v>
      </c>
      <c r="L314" s="5" t="s">
        <v>996</v>
      </c>
      <c r="M314" s="5">
        <v>7</v>
      </c>
      <c r="N314" s="5" t="str">
        <f t="shared" si="4"/>
        <v>Jul</v>
      </c>
    </row>
    <row r="315" spans="1:14" x14ac:dyDescent="0.35">
      <c r="A315" s="5" t="s">
        <v>2226</v>
      </c>
      <c r="B315" s="5" t="s">
        <v>1939</v>
      </c>
      <c r="C315" s="5" t="s">
        <v>990</v>
      </c>
      <c r="D315" s="5" t="s">
        <v>1632</v>
      </c>
      <c r="E315" s="5" t="s">
        <v>2848</v>
      </c>
      <c r="F315" s="58">
        <v>223214.29</v>
      </c>
      <c r="G315" s="5" t="s">
        <v>1633</v>
      </c>
      <c r="H315" s="5" t="s">
        <v>993</v>
      </c>
      <c r="I315" s="60">
        <v>1</v>
      </c>
      <c r="J315" s="5" t="s">
        <v>994</v>
      </c>
      <c r="K315" s="5" t="s">
        <v>995</v>
      </c>
      <c r="L315" s="5" t="s">
        <v>996</v>
      </c>
      <c r="M315" s="5">
        <v>7</v>
      </c>
      <c r="N315" s="5" t="str">
        <f t="shared" si="4"/>
        <v>Jul</v>
      </c>
    </row>
    <row r="316" spans="1:14" x14ac:dyDescent="0.35">
      <c r="A316" s="5" t="s">
        <v>2226</v>
      </c>
      <c r="B316" s="5" t="s">
        <v>1939</v>
      </c>
      <c r="C316" s="5" t="s">
        <v>990</v>
      </c>
      <c r="D316" s="5" t="s">
        <v>2906</v>
      </c>
      <c r="E316" s="5" t="s">
        <v>2907</v>
      </c>
      <c r="F316" s="58">
        <v>169642.86</v>
      </c>
      <c r="G316" s="5" t="s">
        <v>2908</v>
      </c>
      <c r="H316" s="5" t="s">
        <v>993</v>
      </c>
      <c r="I316" s="60">
        <v>1</v>
      </c>
      <c r="J316" s="5" t="s">
        <v>994</v>
      </c>
      <c r="K316" s="5" t="s">
        <v>995</v>
      </c>
      <c r="L316" s="5" t="s">
        <v>996</v>
      </c>
      <c r="M316" s="5">
        <v>8</v>
      </c>
      <c r="N316" s="5" t="str">
        <f t="shared" si="4"/>
        <v>Aug</v>
      </c>
    </row>
    <row r="317" spans="1:14" x14ac:dyDescent="0.35">
      <c r="A317" s="5" t="s">
        <v>2226</v>
      </c>
      <c r="B317" s="5" t="s">
        <v>1939</v>
      </c>
      <c r="C317" s="5" t="s">
        <v>990</v>
      </c>
      <c r="D317" s="5" t="s">
        <v>3015</v>
      </c>
      <c r="E317" s="5" t="s">
        <v>3252</v>
      </c>
      <c r="F317" s="58">
        <v>326785.71000000002</v>
      </c>
      <c r="G317" s="5" t="s">
        <v>3016</v>
      </c>
      <c r="H317" s="5" t="s">
        <v>993</v>
      </c>
      <c r="I317" s="60">
        <v>1</v>
      </c>
      <c r="J317" s="5" t="s">
        <v>994</v>
      </c>
      <c r="K317" s="5" t="s">
        <v>995</v>
      </c>
      <c r="L317" s="5" t="s">
        <v>996</v>
      </c>
      <c r="M317" s="5">
        <v>9</v>
      </c>
      <c r="N317" s="5" t="str">
        <f t="shared" si="4"/>
        <v>Sep</v>
      </c>
    </row>
    <row r="318" spans="1:14" x14ac:dyDescent="0.35">
      <c r="A318" s="5" t="s">
        <v>2226</v>
      </c>
      <c r="B318" s="5" t="s">
        <v>1939</v>
      </c>
      <c r="C318" s="5" t="s">
        <v>990</v>
      </c>
      <c r="D318" s="5" t="s">
        <v>1805</v>
      </c>
      <c r="E318" s="5" t="s">
        <v>2227</v>
      </c>
      <c r="F318" s="58">
        <v>133928.57</v>
      </c>
      <c r="G318" s="5" t="s">
        <v>1627</v>
      </c>
      <c r="H318" s="5" t="s">
        <v>993</v>
      </c>
      <c r="I318" s="60">
        <v>1</v>
      </c>
      <c r="J318" s="5" t="s">
        <v>994</v>
      </c>
      <c r="K318" s="5" t="s">
        <v>995</v>
      </c>
      <c r="L318" s="5" t="s">
        <v>996</v>
      </c>
      <c r="M318" s="5">
        <v>5</v>
      </c>
      <c r="N318" s="5" t="str">
        <f t="shared" si="4"/>
        <v>May</v>
      </c>
    </row>
    <row r="319" spans="1:14" x14ac:dyDescent="0.35">
      <c r="A319" s="5" t="s">
        <v>2226</v>
      </c>
      <c r="B319" s="5" t="s">
        <v>1939</v>
      </c>
      <c r="C319" s="5" t="s">
        <v>990</v>
      </c>
      <c r="D319" s="5" t="s">
        <v>1805</v>
      </c>
      <c r="E319" s="5" t="s">
        <v>2227</v>
      </c>
      <c r="F319" s="58">
        <v>160714.29</v>
      </c>
      <c r="G319" s="5" t="s">
        <v>1806</v>
      </c>
      <c r="H319" s="5" t="s">
        <v>993</v>
      </c>
      <c r="I319" s="60">
        <v>1</v>
      </c>
      <c r="J319" s="5" t="s">
        <v>994</v>
      </c>
      <c r="K319" s="5" t="s">
        <v>995</v>
      </c>
      <c r="L319" s="5" t="s">
        <v>996</v>
      </c>
      <c r="M319" s="5">
        <v>5</v>
      </c>
      <c r="N319" s="5" t="str">
        <f t="shared" si="4"/>
        <v>May</v>
      </c>
    </row>
    <row r="320" spans="1:14" x14ac:dyDescent="0.35">
      <c r="A320" s="5" t="s">
        <v>2909</v>
      </c>
      <c r="B320" s="5" t="s">
        <v>94</v>
      </c>
      <c r="C320" s="5" t="s">
        <v>990</v>
      </c>
      <c r="D320" s="5" t="s">
        <v>2382</v>
      </c>
      <c r="E320" s="5" t="s">
        <v>2910</v>
      </c>
      <c r="F320" s="58">
        <v>133928.57</v>
      </c>
      <c r="G320" s="5" t="s">
        <v>2110</v>
      </c>
      <c r="H320" s="5" t="s">
        <v>993</v>
      </c>
      <c r="I320" s="60">
        <v>1</v>
      </c>
      <c r="J320" s="5" t="s">
        <v>994</v>
      </c>
      <c r="K320" s="5" t="s">
        <v>995</v>
      </c>
      <c r="L320" s="5" t="s">
        <v>996</v>
      </c>
      <c r="M320" s="5">
        <v>8</v>
      </c>
      <c r="N320" s="5" t="str">
        <f t="shared" si="4"/>
        <v>Aug</v>
      </c>
    </row>
    <row r="321" spans="1:14" x14ac:dyDescent="0.35">
      <c r="A321" s="5" t="s">
        <v>2228</v>
      </c>
      <c r="B321" s="5" t="s">
        <v>642</v>
      </c>
      <c r="C321" s="5" t="s">
        <v>990</v>
      </c>
      <c r="D321" s="5" t="s">
        <v>1646</v>
      </c>
      <c r="E321" s="5" t="s">
        <v>1947</v>
      </c>
      <c r="F321" s="58">
        <v>168000</v>
      </c>
      <c r="G321" s="5" t="s">
        <v>1647</v>
      </c>
      <c r="H321" s="5" t="s">
        <v>993</v>
      </c>
      <c r="I321" s="60">
        <v>1</v>
      </c>
      <c r="J321" s="5" t="s">
        <v>994</v>
      </c>
      <c r="K321" s="5" t="s">
        <v>995</v>
      </c>
      <c r="L321" s="5" t="s">
        <v>996</v>
      </c>
      <c r="M321" s="5">
        <v>4</v>
      </c>
      <c r="N321" s="5" t="str">
        <f t="shared" si="4"/>
        <v>Apr</v>
      </c>
    </row>
    <row r="322" spans="1:14" x14ac:dyDescent="0.35">
      <c r="A322" s="5" t="s">
        <v>2505</v>
      </c>
      <c r="B322" s="5" t="s">
        <v>645</v>
      </c>
      <c r="C322" s="5" t="s">
        <v>990</v>
      </c>
      <c r="D322" s="5" t="s">
        <v>2012</v>
      </c>
      <c r="E322" s="5" t="s">
        <v>2520</v>
      </c>
      <c r="F322" s="58">
        <v>294642.86</v>
      </c>
      <c r="G322" s="5" t="s">
        <v>2013</v>
      </c>
      <c r="H322" s="5" t="s">
        <v>993</v>
      </c>
      <c r="I322" s="60">
        <v>2</v>
      </c>
      <c r="J322" s="5" t="s">
        <v>994</v>
      </c>
      <c r="K322" s="5" t="s">
        <v>995</v>
      </c>
      <c r="L322" s="5" t="s">
        <v>996</v>
      </c>
      <c r="M322" s="5">
        <v>6</v>
      </c>
      <c r="N322" s="5" t="str">
        <f t="shared" si="4"/>
        <v>Jun</v>
      </c>
    </row>
    <row r="323" spans="1:14" x14ac:dyDescent="0.35">
      <c r="A323" s="5" t="s">
        <v>2622</v>
      </c>
      <c r="B323" s="5" t="s">
        <v>647</v>
      </c>
      <c r="C323" s="5" t="s">
        <v>990</v>
      </c>
      <c r="D323" s="5" t="s">
        <v>2014</v>
      </c>
      <c r="E323" s="5" t="s">
        <v>2623</v>
      </c>
      <c r="F323" s="58">
        <v>406250</v>
      </c>
      <c r="G323" s="5" t="s">
        <v>2015</v>
      </c>
      <c r="H323" s="5" t="s">
        <v>993</v>
      </c>
      <c r="I323" s="60">
        <v>1</v>
      </c>
      <c r="J323" s="5" t="s">
        <v>994</v>
      </c>
      <c r="K323" s="5" t="s">
        <v>995</v>
      </c>
      <c r="L323" s="5" t="s">
        <v>996</v>
      </c>
      <c r="M323" s="5">
        <v>6</v>
      </c>
      <c r="N323" s="5" t="str">
        <f t="shared" si="4"/>
        <v>Jun</v>
      </c>
    </row>
    <row r="324" spans="1:14" x14ac:dyDescent="0.35">
      <c r="A324" s="5" t="s">
        <v>2622</v>
      </c>
      <c r="B324" s="5" t="s">
        <v>647</v>
      </c>
      <c r="C324" s="5" t="s">
        <v>990</v>
      </c>
      <c r="D324" s="5" t="s">
        <v>2014</v>
      </c>
      <c r="E324" s="5" t="s">
        <v>2624</v>
      </c>
      <c r="F324" s="58">
        <v>-406250</v>
      </c>
      <c r="G324" s="5" t="s">
        <v>2015</v>
      </c>
      <c r="H324" s="5" t="s">
        <v>993</v>
      </c>
      <c r="I324" s="60">
        <v>-1</v>
      </c>
      <c r="J324" s="5" t="s">
        <v>994</v>
      </c>
      <c r="K324" s="5" t="s">
        <v>995</v>
      </c>
      <c r="L324" s="5" t="s">
        <v>996</v>
      </c>
      <c r="M324" s="5">
        <v>7</v>
      </c>
      <c r="N324" s="5" t="str">
        <f t="shared" ref="N324:N387" si="5">_xlfn.XLOOKUP(M324,$Q$3:$Q$14,$R$3:$R$14)</f>
        <v>Jul</v>
      </c>
    </row>
    <row r="325" spans="1:14" x14ac:dyDescent="0.35">
      <c r="A325" s="5" t="s">
        <v>2622</v>
      </c>
      <c r="B325" s="5" t="s">
        <v>647</v>
      </c>
      <c r="C325" s="5" t="s">
        <v>990</v>
      </c>
      <c r="D325" s="5" t="s">
        <v>2014</v>
      </c>
      <c r="E325" s="5" t="s">
        <v>2625</v>
      </c>
      <c r="F325" s="58">
        <v>406250</v>
      </c>
      <c r="G325" s="5" t="s">
        <v>2015</v>
      </c>
      <c r="H325" s="5" t="s">
        <v>993</v>
      </c>
      <c r="I325" s="60">
        <v>1</v>
      </c>
      <c r="J325" s="5" t="s">
        <v>994</v>
      </c>
      <c r="K325" s="5" t="s">
        <v>995</v>
      </c>
      <c r="L325" s="5" t="s">
        <v>996</v>
      </c>
      <c r="M325" s="5">
        <v>7</v>
      </c>
      <c r="N325" s="5" t="str">
        <f t="shared" si="5"/>
        <v>Jul</v>
      </c>
    </row>
    <row r="326" spans="1:14" x14ac:dyDescent="0.35">
      <c r="A326" s="5" t="s">
        <v>2229</v>
      </c>
      <c r="B326" s="5" t="s">
        <v>660</v>
      </c>
      <c r="C326" s="5" t="s">
        <v>990</v>
      </c>
      <c r="D326" s="5" t="s">
        <v>1513</v>
      </c>
      <c r="E326" s="5" t="s">
        <v>1912</v>
      </c>
      <c r="F326" s="58">
        <v>1212957.5900000001</v>
      </c>
      <c r="G326" s="5" t="s">
        <v>1653</v>
      </c>
      <c r="H326" s="5" t="s">
        <v>993</v>
      </c>
      <c r="I326" s="59">
        <v>0.3</v>
      </c>
      <c r="J326" s="5" t="s">
        <v>994</v>
      </c>
      <c r="K326" s="5" t="s">
        <v>995</v>
      </c>
      <c r="L326" s="5" t="s">
        <v>996</v>
      </c>
      <c r="M326" s="5">
        <v>4</v>
      </c>
      <c r="N326" s="5" t="str">
        <f t="shared" si="5"/>
        <v>Apr</v>
      </c>
    </row>
    <row r="327" spans="1:14" x14ac:dyDescent="0.35">
      <c r="A327" s="5" t="s">
        <v>2229</v>
      </c>
      <c r="B327" s="5" t="s">
        <v>660</v>
      </c>
      <c r="C327" s="5" t="s">
        <v>990</v>
      </c>
      <c r="D327" s="5" t="s">
        <v>1513</v>
      </c>
      <c r="E327" s="5" t="s">
        <v>2613</v>
      </c>
      <c r="F327" s="58">
        <v>1212957.5900000001</v>
      </c>
      <c r="G327" s="5" t="s">
        <v>1653</v>
      </c>
      <c r="H327" s="5" t="s">
        <v>993</v>
      </c>
      <c r="I327" s="59">
        <v>0.3</v>
      </c>
      <c r="J327" s="5" t="s">
        <v>994</v>
      </c>
      <c r="K327" s="5" t="s">
        <v>995</v>
      </c>
      <c r="L327" s="5" t="s">
        <v>996</v>
      </c>
      <c r="M327" s="5">
        <v>6</v>
      </c>
      <c r="N327" s="5" t="str">
        <f t="shared" si="5"/>
        <v>Jun</v>
      </c>
    </row>
    <row r="328" spans="1:14" x14ac:dyDescent="0.35">
      <c r="A328" s="5" t="s">
        <v>2229</v>
      </c>
      <c r="B328" s="5" t="s">
        <v>660</v>
      </c>
      <c r="C328" s="5" t="s">
        <v>990</v>
      </c>
      <c r="D328" s="5" t="s">
        <v>1513</v>
      </c>
      <c r="E328" s="5" t="s">
        <v>3228</v>
      </c>
      <c r="F328" s="58">
        <v>1212957.5900000001</v>
      </c>
      <c r="G328" s="5" t="s">
        <v>1653</v>
      </c>
      <c r="H328" s="5" t="s">
        <v>993</v>
      </c>
      <c r="I328" s="59">
        <v>0.3</v>
      </c>
      <c r="J328" s="5" t="s">
        <v>994</v>
      </c>
      <c r="K328" s="5" t="s">
        <v>995</v>
      </c>
      <c r="L328" s="5" t="s">
        <v>996</v>
      </c>
      <c r="M328" s="5">
        <v>9</v>
      </c>
      <c r="N328" s="5" t="str">
        <f t="shared" si="5"/>
        <v>Sep</v>
      </c>
    </row>
    <row r="329" spans="1:14" x14ac:dyDescent="0.35">
      <c r="A329" s="5" t="s">
        <v>2626</v>
      </c>
      <c r="B329" s="5" t="s">
        <v>240</v>
      </c>
      <c r="C329" s="5" t="s">
        <v>990</v>
      </c>
      <c r="D329" s="5" t="s">
        <v>1656</v>
      </c>
      <c r="E329" s="5" t="s">
        <v>2627</v>
      </c>
      <c r="F329" s="58">
        <v>225892.86</v>
      </c>
      <c r="G329" s="5" t="s">
        <v>1657</v>
      </c>
      <c r="H329" s="5" t="s">
        <v>993</v>
      </c>
      <c r="I329" s="60">
        <v>1</v>
      </c>
      <c r="J329" s="5" t="s">
        <v>994</v>
      </c>
      <c r="K329" s="5" t="s">
        <v>995</v>
      </c>
      <c r="L329" s="5" t="s">
        <v>996</v>
      </c>
      <c r="M329" s="5">
        <v>7</v>
      </c>
      <c r="N329" s="5" t="str">
        <f t="shared" si="5"/>
        <v>Jul</v>
      </c>
    </row>
    <row r="330" spans="1:14" x14ac:dyDescent="0.35">
      <c r="A330" s="5" t="s">
        <v>2911</v>
      </c>
      <c r="B330" s="5" t="s">
        <v>2912</v>
      </c>
      <c r="C330" s="5" t="s">
        <v>990</v>
      </c>
      <c r="D330" s="5" t="s">
        <v>2780</v>
      </c>
      <c r="E330" s="5" t="s">
        <v>2913</v>
      </c>
      <c r="F330" s="58">
        <v>43750</v>
      </c>
      <c r="G330" s="5" t="s">
        <v>2781</v>
      </c>
      <c r="H330" s="5" t="s">
        <v>993</v>
      </c>
      <c r="I330" s="60">
        <v>1</v>
      </c>
      <c r="J330" s="5" t="s">
        <v>994</v>
      </c>
      <c r="K330" s="5" t="s">
        <v>995</v>
      </c>
      <c r="L330" s="5" t="s">
        <v>996</v>
      </c>
      <c r="M330" s="5">
        <v>7</v>
      </c>
      <c r="N330" s="5" t="str">
        <f t="shared" si="5"/>
        <v>Jul</v>
      </c>
    </row>
    <row r="331" spans="1:14" x14ac:dyDescent="0.35">
      <c r="A331" s="5" t="s">
        <v>2628</v>
      </c>
      <c r="B331" s="5" t="s">
        <v>2629</v>
      </c>
      <c r="C331" s="5" t="s">
        <v>990</v>
      </c>
      <c r="D331" s="5" t="s">
        <v>2391</v>
      </c>
      <c r="E331" s="5" t="s">
        <v>2630</v>
      </c>
      <c r="F331" s="58">
        <v>126000</v>
      </c>
      <c r="G331" s="5" t="s">
        <v>2392</v>
      </c>
      <c r="H331" s="5" t="s">
        <v>993</v>
      </c>
      <c r="I331" s="60">
        <v>1</v>
      </c>
      <c r="J331" s="5" t="s">
        <v>994</v>
      </c>
      <c r="K331" s="5" t="s">
        <v>995</v>
      </c>
      <c r="L331" s="5" t="s">
        <v>996</v>
      </c>
      <c r="M331" s="5">
        <v>6</v>
      </c>
      <c r="N331" s="5" t="str">
        <f t="shared" si="5"/>
        <v>Jun</v>
      </c>
    </row>
    <row r="332" spans="1:14" x14ac:dyDescent="0.35">
      <c r="A332" s="5" t="s">
        <v>2631</v>
      </c>
      <c r="B332" s="5" t="s">
        <v>2632</v>
      </c>
      <c r="C332" s="5" t="s">
        <v>990</v>
      </c>
      <c r="D332" s="5" t="s">
        <v>2394</v>
      </c>
      <c r="E332" s="5" t="s">
        <v>3253</v>
      </c>
      <c r="F332" s="58">
        <v>1113392.8600000001</v>
      </c>
      <c r="G332" s="5" t="s">
        <v>2021</v>
      </c>
      <c r="H332" s="5" t="s">
        <v>993</v>
      </c>
      <c r="I332" s="59">
        <v>0.28999999999999998</v>
      </c>
      <c r="J332" s="5" t="s">
        <v>994</v>
      </c>
      <c r="K332" s="5" t="s">
        <v>995</v>
      </c>
      <c r="L332" s="5" t="s">
        <v>996</v>
      </c>
      <c r="M332" s="5">
        <v>8</v>
      </c>
      <c r="N332" s="5" t="str">
        <f t="shared" si="5"/>
        <v>Aug</v>
      </c>
    </row>
    <row r="333" spans="1:14" x14ac:dyDescent="0.35">
      <c r="A333" s="5" t="s">
        <v>2631</v>
      </c>
      <c r="B333" s="5" t="s">
        <v>2632</v>
      </c>
      <c r="C333" s="5" t="s">
        <v>990</v>
      </c>
      <c r="D333" s="5" t="s">
        <v>2111</v>
      </c>
      <c r="E333" s="5" t="s">
        <v>2633</v>
      </c>
      <c r="F333" s="58">
        <v>205357.14</v>
      </c>
      <c r="G333" s="5" t="s">
        <v>1661</v>
      </c>
      <c r="H333" s="5" t="s">
        <v>993</v>
      </c>
      <c r="I333" s="60">
        <v>1</v>
      </c>
      <c r="J333" s="5" t="s">
        <v>994</v>
      </c>
      <c r="K333" s="5" t="s">
        <v>995</v>
      </c>
      <c r="L333" s="5" t="s">
        <v>996</v>
      </c>
      <c r="M333" s="5">
        <v>6</v>
      </c>
      <c r="N333" s="5" t="str">
        <f t="shared" si="5"/>
        <v>Jun</v>
      </c>
    </row>
    <row r="334" spans="1:14" x14ac:dyDescent="0.35">
      <c r="A334" s="5" t="s">
        <v>2634</v>
      </c>
      <c r="B334" s="5" t="s">
        <v>2635</v>
      </c>
      <c r="C334" s="5" t="s">
        <v>990</v>
      </c>
      <c r="D334" s="5" t="s">
        <v>2022</v>
      </c>
      <c r="E334" s="5" t="s">
        <v>2636</v>
      </c>
      <c r="F334" s="58">
        <v>282142.86</v>
      </c>
      <c r="G334" s="5" t="s">
        <v>1663</v>
      </c>
      <c r="H334" s="5" t="s">
        <v>993</v>
      </c>
      <c r="I334" s="60">
        <v>1</v>
      </c>
      <c r="J334" s="5" t="s">
        <v>994</v>
      </c>
      <c r="K334" s="5" t="s">
        <v>995</v>
      </c>
      <c r="L334" s="5" t="s">
        <v>996</v>
      </c>
      <c r="M334" s="5">
        <v>6</v>
      </c>
      <c r="N334" s="5" t="str">
        <f t="shared" si="5"/>
        <v>Jun</v>
      </c>
    </row>
    <row r="335" spans="1:14" x14ac:dyDescent="0.35">
      <c r="A335" s="5" t="s">
        <v>3254</v>
      </c>
      <c r="B335" s="5" t="s">
        <v>3255</v>
      </c>
      <c r="C335" s="5" t="s">
        <v>990</v>
      </c>
      <c r="D335" s="5" t="s">
        <v>2024</v>
      </c>
      <c r="E335" s="5" t="s">
        <v>3256</v>
      </c>
      <c r="F335" s="58">
        <v>459821.43</v>
      </c>
      <c r="G335" s="5" t="s">
        <v>2025</v>
      </c>
      <c r="H335" s="5" t="s">
        <v>993</v>
      </c>
      <c r="I335" s="60">
        <v>1</v>
      </c>
      <c r="J335" s="5" t="s">
        <v>994</v>
      </c>
      <c r="K335" s="5" t="s">
        <v>995</v>
      </c>
      <c r="L335" s="5" t="s">
        <v>996</v>
      </c>
      <c r="M335" s="5">
        <v>8</v>
      </c>
      <c r="N335" s="5" t="str">
        <f t="shared" si="5"/>
        <v>Aug</v>
      </c>
    </row>
    <row r="336" spans="1:14" x14ac:dyDescent="0.35">
      <c r="A336" s="5" t="s">
        <v>2914</v>
      </c>
      <c r="B336" s="5" t="s">
        <v>2915</v>
      </c>
      <c r="C336" s="5" t="s">
        <v>990</v>
      </c>
      <c r="D336" s="5" t="s">
        <v>1668</v>
      </c>
      <c r="E336" s="5" t="s">
        <v>2916</v>
      </c>
      <c r="F336" s="58">
        <v>96875</v>
      </c>
      <c r="G336" s="5" t="s">
        <v>1669</v>
      </c>
      <c r="H336" s="5" t="s">
        <v>993</v>
      </c>
      <c r="I336" s="60">
        <v>1</v>
      </c>
      <c r="J336" s="5" t="s">
        <v>994</v>
      </c>
      <c r="K336" s="5" t="s">
        <v>995</v>
      </c>
      <c r="L336" s="5" t="s">
        <v>996</v>
      </c>
      <c r="M336" s="5">
        <v>7</v>
      </c>
      <c r="N336" s="5" t="str">
        <f t="shared" si="5"/>
        <v>Jul</v>
      </c>
    </row>
    <row r="337" spans="1:14" x14ac:dyDescent="0.35">
      <c r="A337" s="5" t="s">
        <v>2917</v>
      </c>
      <c r="B337" s="5" t="s">
        <v>2918</v>
      </c>
      <c r="C337" s="5" t="s">
        <v>990</v>
      </c>
      <c r="D337" s="5" t="s">
        <v>1668</v>
      </c>
      <c r="E337" s="5" t="s">
        <v>2916</v>
      </c>
      <c r="F337" s="58">
        <v>37053.57</v>
      </c>
      <c r="G337" s="5" t="s">
        <v>1670</v>
      </c>
      <c r="H337" s="5" t="s">
        <v>993</v>
      </c>
      <c r="I337" s="60">
        <v>1</v>
      </c>
      <c r="J337" s="5" t="s">
        <v>994</v>
      </c>
      <c r="K337" s="5" t="s">
        <v>995</v>
      </c>
      <c r="L337" s="5" t="s">
        <v>996</v>
      </c>
      <c r="M337" s="5">
        <v>7</v>
      </c>
      <c r="N337" s="5" t="str">
        <f t="shared" si="5"/>
        <v>Jul</v>
      </c>
    </row>
    <row r="338" spans="1:14" x14ac:dyDescent="0.35">
      <c r="A338" s="5" t="s">
        <v>2230</v>
      </c>
      <c r="B338" s="5" t="s">
        <v>1948</v>
      </c>
      <c r="C338" s="5" t="s">
        <v>990</v>
      </c>
      <c r="D338" s="5" t="s">
        <v>1673</v>
      </c>
      <c r="E338" s="5" t="s">
        <v>1949</v>
      </c>
      <c r="F338" s="58">
        <v>348214.29</v>
      </c>
      <c r="G338" s="5" t="s">
        <v>1674</v>
      </c>
      <c r="H338" s="5" t="s">
        <v>993</v>
      </c>
      <c r="I338" s="60">
        <v>1</v>
      </c>
      <c r="J338" s="5" t="s">
        <v>994</v>
      </c>
      <c r="K338" s="5" t="s">
        <v>995</v>
      </c>
      <c r="L338" s="5" t="s">
        <v>996</v>
      </c>
      <c r="M338" s="5">
        <v>4</v>
      </c>
      <c r="N338" s="5" t="str">
        <f t="shared" si="5"/>
        <v>Apr</v>
      </c>
    </row>
    <row r="339" spans="1:14" x14ac:dyDescent="0.35">
      <c r="A339" s="5" t="s">
        <v>2637</v>
      </c>
      <c r="B339" s="5" t="s">
        <v>2638</v>
      </c>
      <c r="C339" s="5" t="s">
        <v>990</v>
      </c>
      <c r="D339" s="5" t="s">
        <v>2395</v>
      </c>
      <c r="E339" s="5" t="s">
        <v>2639</v>
      </c>
      <c r="F339" s="58">
        <v>437500</v>
      </c>
      <c r="G339" s="5" t="s">
        <v>2396</v>
      </c>
      <c r="H339" s="5" t="s">
        <v>993</v>
      </c>
      <c r="I339" s="60">
        <v>1</v>
      </c>
      <c r="J339" s="5" t="s">
        <v>994</v>
      </c>
      <c r="K339" s="5" t="s">
        <v>995</v>
      </c>
      <c r="L339" s="5" t="s">
        <v>996</v>
      </c>
      <c r="M339" s="5">
        <v>6</v>
      </c>
      <c r="N339" s="5" t="str">
        <f t="shared" si="5"/>
        <v>Jun</v>
      </c>
    </row>
    <row r="340" spans="1:14" x14ac:dyDescent="0.35">
      <c r="A340" s="5" t="s">
        <v>2231</v>
      </c>
      <c r="B340" s="5" t="s">
        <v>952</v>
      </c>
      <c r="C340" s="5" t="s">
        <v>990</v>
      </c>
      <c r="D340" s="5" t="s">
        <v>1679</v>
      </c>
      <c r="E340" s="5" t="s">
        <v>1950</v>
      </c>
      <c r="F340" s="58">
        <v>285714.28999999998</v>
      </c>
      <c r="G340" s="5" t="s">
        <v>1680</v>
      </c>
      <c r="H340" s="5" t="s">
        <v>993</v>
      </c>
      <c r="I340" s="60">
        <v>1</v>
      </c>
      <c r="J340" s="5" t="s">
        <v>994</v>
      </c>
      <c r="K340" s="5" t="s">
        <v>995</v>
      </c>
      <c r="L340" s="5" t="s">
        <v>996</v>
      </c>
      <c r="M340" s="5">
        <v>4</v>
      </c>
      <c r="N340" s="5" t="str">
        <f t="shared" si="5"/>
        <v>Apr</v>
      </c>
    </row>
    <row r="341" spans="1:14" x14ac:dyDescent="0.35">
      <c r="A341" s="5" t="s">
        <v>2231</v>
      </c>
      <c r="B341" s="5" t="s">
        <v>952</v>
      </c>
      <c r="C341" s="5" t="s">
        <v>990</v>
      </c>
      <c r="D341" s="5" t="s">
        <v>2232</v>
      </c>
      <c r="E341" s="5" t="s">
        <v>2233</v>
      </c>
      <c r="F341" s="58">
        <v>357142.86</v>
      </c>
      <c r="G341" s="5" t="s">
        <v>2234</v>
      </c>
      <c r="H341" s="5" t="s">
        <v>993</v>
      </c>
      <c r="I341" s="60">
        <v>1</v>
      </c>
      <c r="J341" s="5" t="s">
        <v>994</v>
      </c>
      <c r="K341" s="5" t="s">
        <v>995</v>
      </c>
      <c r="L341" s="5" t="s">
        <v>996</v>
      </c>
      <c r="M341" s="5">
        <v>5</v>
      </c>
      <c r="N341" s="5" t="str">
        <f t="shared" si="5"/>
        <v>May</v>
      </c>
    </row>
    <row r="342" spans="1:14" x14ac:dyDescent="0.35">
      <c r="A342" s="5" t="s">
        <v>2231</v>
      </c>
      <c r="B342" s="5" t="s">
        <v>952</v>
      </c>
      <c r="C342" s="5" t="s">
        <v>990</v>
      </c>
      <c r="D342" s="5" t="s">
        <v>2402</v>
      </c>
      <c r="E342" s="5" t="s">
        <v>2919</v>
      </c>
      <c r="F342" s="58">
        <v>638392.86</v>
      </c>
      <c r="G342" s="5" t="s">
        <v>2403</v>
      </c>
      <c r="H342" s="5" t="s">
        <v>993</v>
      </c>
      <c r="I342" s="59">
        <v>0.55000000000000004</v>
      </c>
      <c r="J342" s="5" t="s">
        <v>994</v>
      </c>
      <c r="K342" s="5" t="s">
        <v>995</v>
      </c>
      <c r="L342" s="5" t="s">
        <v>996</v>
      </c>
      <c r="M342" s="5">
        <v>8</v>
      </c>
      <c r="N342" s="5" t="str">
        <f t="shared" si="5"/>
        <v>Aug</v>
      </c>
    </row>
    <row r="343" spans="1:14" x14ac:dyDescent="0.35">
      <c r="A343" s="5" t="s">
        <v>2640</v>
      </c>
      <c r="B343" s="5" t="s">
        <v>768</v>
      </c>
      <c r="C343" s="5" t="s">
        <v>990</v>
      </c>
      <c r="D343" s="5" t="s">
        <v>2404</v>
      </c>
      <c r="E343" s="5" t="s">
        <v>2641</v>
      </c>
      <c r="F343" s="58">
        <v>1517857.14</v>
      </c>
      <c r="G343" s="5" t="s">
        <v>2405</v>
      </c>
      <c r="H343" s="5" t="s">
        <v>993</v>
      </c>
      <c r="I343" s="60">
        <v>1</v>
      </c>
      <c r="J343" s="5" t="s">
        <v>994</v>
      </c>
      <c r="K343" s="5" t="s">
        <v>995</v>
      </c>
      <c r="L343" s="5" t="s">
        <v>996</v>
      </c>
      <c r="M343" s="5">
        <v>6</v>
      </c>
      <c r="N343" s="5" t="str">
        <f t="shared" si="5"/>
        <v>Jun</v>
      </c>
    </row>
    <row r="344" spans="1:14" x14ac:dyDescent="0.35">
      <c r="A344" s="5" t="s">
        <v>3257</v>
      </c>
      <c r="B344" s="5" t="s">
        <v>775</v>
      </c>
      <c r="C344" s="5" t="s">
        <v>990</v>
      </c>
      <c r="D344" s="5" t="s">
        <v>2794</v>
      </c>
      <c r="E344" s="5" t="s">
        <v>3258</v>
      </c>
      <c r="F344" s="58">
        <v>1401785.71</v>
      </c>
      <c r="G344" s="5" t="s">
        <v>2793</v>
      </c>
      <c r="H344" s="5" t="s">
        <v>993</v>
      </c>
      <c r="I344" s="60">
        <v>1</v>
      </c>
      <c r="J344" s="5" t="s">
        <v>994</v>
      </c>
      <c r="K344" s="5" t="s">
        <v>995</v>
      </c>
      <c r="L344" s="5" t="s">
        <v>996</v>
      </c>
      <c r="M344" s="5">
        <v>9</v>
      </c>
      <c r="N344" s="5" t="str">
        <f t="shared" si="5"/>
        <v>Sep</v>
      </c>
    </row>
    <row r="345" spans="1:14" x14ac:dyDescent="0.35">
      <c r="A345" s="5" t="s">
        <v>2235</v>
      </c>
      <c r="B345" s="5" t="s">
        <v>783</v>
      </c>
      <c r="C345" s="5" t="s">
        <v>990</v>
      </c>
      <c r="D345" s="5" t="s">
        <v>1683</v>
      </c>
      <c r="E345" s="5" t="s">
        <v>1951</v>
      </c>
      <c r="F345" s="58">
        <v>982142.86</v>
      </c>
      <c r="G345" s="5" t="s">
        <v>1684</v>
      </c>
      <c r="H345" s="5" t="s">
        <v>993</v>
      </c>
      <c r="I345" s="60">
        <v>1</v>
      </c>
      <c r="J345" s="5" t="s">
        <v>994</v>
      </c>
      <c r="K345" s="5" t="s">
        <v>995</v>
      </c>
      <c r="L345" s="5" t="s">
        <v>996</v>
      </c>
      <c r="M345" s="5">
        <v>4</v>
      </c>
      <c r="N345" s="5" t="str">
        <f t="shared" si="5"/>
        <v>Apr</v>
      </c>
    </row>
    <row r="346" spans="1:14" x14ac:dyDescent="0.35">
      <c r="A346" s="5" t="s">
        <v>2236</v>
      </c>
      <c r="B346" s="5" t="s">
        <v>2237</v>
      </c>
      <c r="C346" s="5" t="s">
        <v>990</v>
      </c>
      <c r="D346" s="5" t="s">
        <v>1688</v>
      </c>
      <c r="E346" s="5" t="s">
        <v>2238</v>
      </c>
      <c r="F346" s="58">
        <v>98214.29</v>
      </c>
      <c r="G346" s="5" t="s">
        <v>1689</v>
      </c>
      <c r="H346" s="5" t="s">
        <v>993</v>
      </c>
      <c r="I346" s="60">
        <v>1</v>
      </c>
      <c r="J346" s="5" t="s">
        <v>994</v>
      </c>
      <c r="K346" s="5" t="s">
        <v>995</v>
      </c>
      <c r="L346" s="5" t="s">
        <v>996</v>
      </c>
      <c r="M346" s="5">
        <v>5</v>
      </c>
      <c r="N346" s="5" t="str">
        <f t="shared" si="5"/>
        <v>May</v>
      </c>
    </row>
    <row r="347" spans="1:14" x14ac:dyDescent="0.35">
      <c r="A347" s="5" t="s">
        <v>2236</v>
      </c>
      <c r="B347" s="5" t="s">
        <v>2237</v>
      </c>
      <c r="C347" s="5" t="s">
        <v>990</v>
      </c>
      <c r="D347" s="5" t="s">
        <v>1690</v>
      </c>
      <c r="E347" s="5" t="s">
        <v>2239</v>
      </c>
      <c r="F347" s="58">
        <v>312500</v>
      </c>
      <c r="G347" s="5" t="s">
        <v>1691</v>
      </c>
      <c r="H347" s="5" t="s">
        <v>993</v>
      </c>
      <c r="I347" s="60">
        <v>1</v>
      </c>
      <c r="J347" s="5" t="s">
        <v>994</v>
      </c>
      <c r="K347" s="5" t="s">
        <v>995</v>
      </c>
      <c r="L347" s="5" t="s">
        <v>996</v>
      </c>
      <c r="M347" s="5">
        <v>5</v>
      </c>
      <c r="N347" s="5" t="str">
        <f t="shared" si="5"/>
        <v>May</v>
      </c>
    </row>
    <row r="348" spans="1:14" x14ac:dyDescent="0.35">
      <c r="A348" s="5" t="s">
        <v>2240</v>
      </c>
      <c r="B348" s="5" t="s">
        <v>815</v>
      </c>
      <c r="C348" s="5" t="s">
        <v>990</v>
      </c>
      <c r="D348" s="5" t="s">
        <v>1696</v>
      </c>
      <c r="E348" s="5" t="s">
        <v>1952</v>
      </c>
      <c r="F348" s="58">
        <v>750000</v>
      </c>
      <c r="G348" s="5" t="s">
        <v>1697</v>
      </c>
      <c r="H348" s="5" t="s">
        <v>993</v>
      </c>
      <c r="I348" s="59">
        <v>0.3</v>
      </c>
      <c r="J348" s="5" t="s">
        <v>994</v>
      </c>
      <c r="K348" s="5" t="s">
        <v>995</v>
      </c>
      <c r="L348" s="5" t="s">
        <v>996</v>
      </c>
      <c r="M348" s="5">
        <v>4</v>
      </c>
      <c r="N348" s="5" t="str">
        <f t="shared" si="5"/>
        <v>Apr</v>
      </c>
    </row>
    <row r="349" spans="1:14" x14ac:dyDescent="0.35">
      <c r="A349" s="5" t="s">
        <v>2240</v>
      </c>
      <c r="B349" s="5" t="s">
        <v>815</v>
      </c>
      <c r="C349" s="5" t="s">
        <v>990</v>
      </c>
      <c r="D349" s="5" t="s">
        <v>1696</v>
      </c>
      <c r="E349" s="5" t="s">
        <v>2081</v>
      </c>
      <c r="F349" s="58">
        <v>-750000</v>
      </c>
      <c r="G349" s="5" t="s">
        <v>1697</v>
      </c>
      <c r="H349" s="5" t="s">
        <v>993</v>
      </c>
      <c r="I349" s="59">
        <v>-0.3</v>
      </c>
      <c r="J349" s="5" t="s">
        <v>994</v>
      </c>
      <c r="K349" s="5" t="s">
        <v>995</v>
      </c>
      <c r="L349" s="5" t="s">
        <v>996</v>
      </c>
      <c r="M349" s="5">
        <v>4</v>
      </c>
      <c r="N349" s="5" t="str">
        <f t="shared" si="5"/>
        <v>Apr</v>
      </c>
    </row>
    <row r="350" spans="1:14" x14ac:dyDescent="0.35">
      <c r="A350" s="5" t="s">
        <v>2642</v>
      </c>
      <c r="B350" s="5" t="s">
        <v>881</v>
      </c>
      <c r="C350" s="5" t="s">
        <v>990</v>
      </c>
      <c r="D350" s="5" t="s">
        <v>2409</v>
      </c>
      <c r="E350" s="5" t="s">
        <v>2643</v>
      </c>
      <c r="F350" s="58">
        <v>2232142.86</v>
      </c>
      <c r="G350" s="5" t="s">
        <v>2408</v>
      </c>
      <c r="H350" s="5" t="s">
        <v>993</v>
      </c>
      <c r="I350" s="60">
        <v>1</v>
      </c>
      <c r="J350" s="5" t="s">
        <v>994</v>
      </c>
      <c r="K350" s="5" t="s">
        <v>995</v>
      </c>
      <c r="L350" s="5" t="s">
        <v>996</v>
      </c>
      <c r="M350" s="5">
        <v>6</v>
      </c>
      <c r="N350" s="5" t="str">
        <f t="shared" si="5"/>
        <v>Jun</v>
      </c>
    </row>
    <row r="351" spans="1:14" x14ac:dyDescent="0.35">
      <c r="A351" s="5" t="s">
        <v>2241</v>
      </c>
      <c r="B351" s="5" t="s">
        <v>639</v>
      </c>
      <c r="C351" s="5" t="s">
        <v>990</v>
      </c>
      <c r="D351" s="5" t="s">
        <v>2242</v>
      </c>
      <c r="E351" s="5" t="s">
        <v>2243</v>
      </c>
      <c r="F351" s="58">
        <v>12897.32</v>
      </c>
      <c r="G351" s="5" t="s">
        <v>2244</v>
      </c>
      <c r="H351" s="5" t="s">
        <v>993</v>
      </c>
      <c r="I351" s="60">
        <v>9</v>
      </c>
      <c r="J351" s="5" t="s">
        <v>994</v>
      </c>
      <c r="K351" s="5" t="s">
        <v>995</v>
      </c>
      <c r="L351" s="5" t="s">
        <v>996</v>
      </c>
      <c r="M351" s="5">
        <v>6</v>
      </c>
      <c r="N351" s="5" t="str">
        <f t="shared" si="5"/>
        <v>Jun</v>
      </c>
    </row>
    <row r="352" spans="1:14" x14ac:dyDescent="0.35">
      <c r="A352" s="5" t="s">
        <v>2241</v>
      </c>
      <c r="B352" s="5" t="s">
        <v>639</v>
      </c>
      <c r="C352" s="5" t="s">
        <v>990</v>
      </c>
      <c r="D352" s="5" t="s">
        <v>2242</v>
      </c>
      <c r="E352" s="5" t="s">
        <v>2243</v>
      </c>
      <c r="F352" s="58">
        <v>2885.71</v>
      </c>
      <c r="G352" s="5" t="s">
        <v>2245</v>
      </c>
      <c r="H352" s="5" t="s">
        <v>993</v>
      </c>
      <c r="I352" s="60">
        <v>4</v>
      </c>
      <c r="J352" s="5" t="s">
        <v>994</v>
      </c>
      <c r="K352" s="5" t="s">
        <v>995</v>
      </c>
      <c r="L352" s="5" t="s">
        <v>996</v>
      </c>
      <c r="M352" s="5">
        <v>6</v>
      </c>
      <c r="N352" s="5" t="str">
        <f t="shared" si="5"/>
        <v>Jun</v>
      </c>
    </row>
    <row r="353" spans="1:14" x14ac:dyDescent="0.35">
      <c r="A353" s="5" t="s">
        <v>2241</v>
      </c>
      <c r="B353" s="5" t="s">
        <v>639</v>
      </c>
      <c r="C353" s="5" t="s">
        <v>990</v>
      </c>
      <c r="D353" s="5" t="s">
        <v>2242</v>
      </c>
      <c r="E353" s="5" t="s">
        <v>2243</v>
      </c>
      <c r="F353" s="58">
        <v>312.5</v>
      </c>
      <c r="G353" s="5" t="s">
        <v>2246</v>
      </c>
      <c r="H353" s="5" t="s">
        <v>993</v>
      </c>
      <c r="I353" s="60">
        <v>1</v>
      </c>
      <c r="J353" s="5" t="s">
        <v>994</v>
      </c>
      <c r="K353" s="5" t="s">
        <v>995</v>
      </c>
      <c r="L353" s="5" t="s">
        <v>996</v>
      </c>
      <c r="M353" s="5">
        <v>6</v>
      </c>
      <c r="N353" s="5" t="str">
        <f t="shared" si="5"/>
        <v>Jun</v>
      </c>
    </row>
    <row r="354" spans="1:14" x14ac:dyDescent="0.35">
      <c r="A354" s="5" t="s">
        <v>2241</v>
      </c>
      <c r="B354" s="5" t="s">
        <v>639</v>
      </c>
      <c r="C354" s="5" t="s">
        <v>990</v>
      </c>
      <c r="D354" s="5" t="s">
        <v>2242</v>
      </c>
      <c r="E354" s="5" t="s">
        <v>2243</v>
      </c>
      <c r="F354" s="58">
        <v>513.39</v>
      </c>
      <c r="G354" s="5" t="s">
        <v>2247</v>
      </c>
      <c r="H354" s="5" t="s">
        <v>993</v>
      </c>
      <c r="I354" s="60">
        <v>1</v>
      </c>
      <c r="J354" s="5" t="s">
        <v>994</v>
      </c>
      <c r="K354" s="5" t="s">
        <v>995</v>
      </c>
      <c r="L354" s="5" t="s">
        <v>996</v>
      </c>
      <c r="M354" s="5">
        <v>6</v>
      </c>
      <c r="N354" s="5" t="str">
        <f t="shared" si="5"/>
        <v>Jun</v>
      </c>
    </row>
    <row r="355" spans="1:14" x14ac:dyDescent="0.35">
      <c r="A355" s="5" t="s">
        <v>2241</v>
      </c>
      <c r="B355" s="5" t="s">
        <v>639</v>
      </c>
      <c r="C355" s="5" t="s">
        <v>990</v>
      </c>
      <c r="D355" s="5" t="s">
        <v>2429</v>
      </c>
      <c r="E355" s="5" t="s">
        <v>2523</v>
      </c>
      <c r="F355" s="58">
        <v>-47250</v>
      </c>
      <c r="G355" s="5" t="s">
        <v>2424</v>
      </c>
      <c r="H355" s="5" t="s">
        <v>993</v>
      </c>
      <c r="I355" s="60">
        <v>-7</v>
      </c>
      <c r="J355" s="5" t="s">
        <v>994</v>
      </c>
      <c r="K355" s="5" t="s">
        <v>995</v>
      </c>
      <c r="L355" s="5" t="s">
        <v>996</v>
      </c>
      <c r="M355" s="5">
        <v>6</v>
      </c>
      <c r="N355" s="5" t="str">
        <f t="shared" si="5"/>
        <v>Jun</v>
      </c>
    </row>
    <row r="356" spans="1:14" x14ac:dyDescent="0.35">
      <c r="A356" s="5" t="s">
        <v>2241</v>
      </c>
      <c r="B356" s="5" t="s">
        <v>639</v>
      </c>
      <c r="C356" s="5" t="s">
        <v>990</v>
      </c>
      <c r="D356" s="5" t="s">
        <v>2429</v>
      </c>
      <c r="E356" s="5" t="s">
        <v>2524</v>
      </c>
      <c r="F356" s="58">
        <v>-4050</v>
      </c>
      <c r="G356" s="5" t="s">
        <v>2430</v>
      </c>
      <c r="H356" s="5" t="s">
        <v>993</v>
      </c>
      <c r="I356" s="60">
        <v>-1</v>
      </c>
      <c r="J356" s="5" t="s">
        <v>994</v>
      </c>
      <c r="K356" s="5" t="s">
        <v>995</v>
      </c>
      <c r="L356" s="5" t="s">
        <v>996</v>
      </c>
      <c r="M356" s="5">
        <v>6</v>
      </c>
      <c r="N356" s="5" t="str">
        <f t="shared" si="5"/>
        <v>Jun</v>
      </c>
    </row>
    <row r="357" spans="1:14" x14ac:dyDescent="0.35">
      <c r="A357" s="5" t="s">
        <v>2241</v>
      </c>
      <c r="B357" s="5" t="s">
        <v>639</v>
      </c>
      <c r="C357" s="5" t="s">
        <v>990</v>
      </c>
      <c r="D357" s="5" t="s">
        <v>2429</v>
      </c>
      <c r="E357" s="5" t="s">
        <v>2521</v>
      </c>
      <c r="F357" s="58">
        <v>47250</v>
      </c>
      <c r="G357" s="5" t="s">
        <v>2424</v>
      </c>
      <c r="H357" s="5" t="s">
        <v>993</v>
      </c>
      <c r="I357" s="60">
        <v>7</v>
      </c>
      <c r="J357" s="5" t="s">
        <v>994</v>
      </c>
      <c r="K357" s="5" t="s">
        <v>995</v>
      </c>
      <c r="L357" s="5" t="s">
        <v>996</v>
      </c>
      <c r="M357" s="5">
        <v>6</v>
      </c>
      <c r="N357" s="5" t="str">
        <f t="shared" si="5"/>
        <v>Jun</v>
      </c>
    </row>
    <row r="358" spans="1:14" x14ac:dyDescent="0.35">
      <c r="A358" s="5" t="s">
        <v>2241</v>
      </c>
      <c r="B358" s="5" t="s">
        <v>639</v>
      </c>
      <c r="C358" s="5" t="s">
        <v>990</v>
      </c>
      <c r="D358" s="5" t="s">
        <v>2429</v>
      </c>
      <c r="E358" s="5" t="s">
        <v>2521</v>
      </c>
      <c r="F358" s="58">
        <v>4050</v>
      </c>
      <c r="G358" s="5" t="s">
        <v>2430</v>
      </c>
      <c r="H358" s="5" t="s">
        <v>993</v>
      </c>
      <c r="I358" s="60">
        <v>1</v>
      </c>
      <c r="J358" s="5" t="s">
        <v>994</v>
      </c>
      <c r="K358" s="5" t="s">
        <v>995</v>
      </c>
      <c r="L358" s="5" t="s">
        <v>996</v>
      </c>
      <c r="M358" s="5">
        <v>6</v>
      </c>
      <c r="N358" s="5" t="str">
        <f t="shared" si="5"/>
        <v>Jun</v>
      </c>
    </row>
    <row r="359" spans="1:14" x14ac:dyDescent="0.35">
      <c r="A359" s="5" t="s">
        <v>2241</v>
      </c>
      <c r="B359" s="5" t="s">
        <v>639</v>
      </c>
      <c r="C359" s="5" t="s">
        <v>990</v>
      </c>
      <c r="D359" s="5" t="s">
        <v>2428</v>
      </c>
      <c r="E359" s="5" t="s">
        <v>2522</v>
      </c>
      <c r="F359" s="58">
        <v>16071.43</v>
      </c>
      <c r="G359" s="5" t="s">
        <v>2411</v>
      </c>
      <c r="H359" s="5" t="s">
        <v>993</v>
      </c>
      <c r="I359" s="60">
        <v>1</v>
      </c>
      <c r="J359" s="5" t="s">
        <v>994</v>
      </c>
      <c r="K359" s="5" t="s">
        <v>995</v>
      </c>
      <c r="L359" s="5" t="s">
        <v>996</v>
      </c>
      <c r="M359" s="5">
        <v>6</v>
      </c>
      <c r="N359" s="5" t="str">
        <f t="shared" si="5"/>
        <v>Jun</v>
      </c>
    </row>
    <row r="360" spans="1:14" x14ac:dyDescent="0.35">
      <c r="A360" s="5" t="s">
        <v>2241</v>
      </c>
      <c r="B360" s="5" t="s">
        <v>639</v>
      </c>
      <c r="C360" s="5" t="s">
        <v>990</v>
      </c>
      <c r="D360" s="5" t="s">
        <v>2428</v>
      </c>
      <c r="E360" s="5" t="s">
        <v>2522</v>
      </c>
      <c r="F360" s="58">
        <v>910.71</v>
      </c>
      <c r="G360" s="5" t="s">
        <v>2413</v>
      </c>
      <c r="H360" s="5" t="s">
        <v>993</v>
      </c>
      <c r="I360" s="60">
        <v>3</v>
      </c>
      <c r="J360" s="5" t="s">
        <v>994</v>
      </c>
      <c r="K360" s="5" t="s">
        <v>995</v>
      </c>
      <c r="L360" s="5" t="s">
        <v>996</v>
      </c>
      <c r="M360" s="5">
        <v>6</v>
      </c>
      <c r="N360" s="5" t="str">
        <f t="shared" si="5"/>
        <v>Jun</v>
      </c>
    </row>
    <row r="361" spans="1:14" x14ac:dyDescent="0.35">
      <c r="A361" s="5" t="s">
        <v>2241</v>
      </c>
      <c r="B361" s="5" t="s">
        <v>639</v>
      </c>
      <c r="C361" s="5" t="s">
        <v>990</v>
      </c>
      <c r="D361" s="5" t="s">
        <v>2428</v>
      </c>
      <c r="E361" s="5" t="s">
        <v>2522</v>
      </c>
      <c r="F361" s="58">
        <v>937.5</v>
      </c>
      <c r="G361" s="5" t="s">
        <v>2415</v>
      </c>
      <c r="H361" s="5" t="s">
        <v>993</v>
      </c>
      <c r="I361" s="60">
        <v>3</v>
      </c>
      <c r="J361" s="5" t="s">
        <v>994</v>
      </c>
      <c r="K361" s="5" t="s">
        <v>995</v>
      </c>
      <c r="L361" s="5" t="s">
        <v>996</v>
      </c>
      <c r="M361" s="5">
        <v>6</v>
      </c>
      <c r="N361" s="5" t="str">
        <f t="shared" si="5"/>
        <v>Jun</v>
      </c>
    </row>
    <row r="362" spans="1:14" x14ac:dyDescent="0.35">
      <c r="A362" s="5" t="s">
        <v>2241</v>
      </c>
      <c r="B362" s="5" t="s">
        <v>639</v>
      </c>
      <c r="C362" s="5" t="s">
        <v>990</v>
      </c>
      <c r="D362" s="5" t="s">
        <v>2428</v>
      </c>
      <c r="E362" s="5" t="s">
        <v>2522</v>
      </c>
      <c r="F362" s="58">
        <v>14067.86</v>
      </c>
      <c r="G362" s="5" t="s">
        <v>2416</v>
      </c>
      <c r="H362" s="5" t="s">
        <v>993</v>
      </c>
      <c r="I362" s="60">
        <v>3</v>
      </c>
      <c r="J362" s="5" t="s">
        <v>994</v>
      </c>
      <c r="K362" s="5" t="s">
        <v>995</v>
      </c>
      <c r="L362" s="5" t="s">
        <v>996</v>
      </c>
      <c r="M362" s="5">
        <v>6</v>
      </c>
      <c r="N362" s="5" t="str">
        <f t="shared" si="5"/>
        <v>Jun</v>
      </c>
    </row>
    <row r="363" spans="1:14" x14ac:dyDescent="0.35">
      <c r="A363" s="5" t="s">
        <v>2241</v>
      </c>
      <c r="B363" s="5" t="s">
        <v>639</v>
      </c>
      <c r="C363" s="5" t="s">
        <v>990</v>
      </c>
      <c r="D363" s="5" t="s">
        <v>2429</v>
      </c>
      <c r="E363" s="5" t="s">
        <v>2525</v>
      </c>
      <c r="F363" s="58">
        <v>47250</v>
      </c>
      <c r="G363" s="5" t="s">
        <v>2424</v>
      </c>
      <c r="H363" s="5" t="s">
        <v>993</v>
      </c>
      <c r="I363" s="60">
        <v>7</v>
      </c>
      <c r="J363" s="5" t="s">
        <v>994</v>
      </c>
      <c r="K363" s="5" t="s">
        <v>995</v>
      </c>
      <c r="L363" s="5" t="s">
        <v>996</v>
      </c>
      <c r="M363" s="5">
        <v>6</v>
      </c>
      <c r="N363" s="5" t="str">
        <f t="shared" si="5"/>
        <v>Jun</v>
      </c>
    </row>
    <row r="364" spans="1:14" x14ac:dyDescent="0.35">
      <c r="A364" s="5" t="s">
        <v>2241</v>
      </c>
      <c r="B364" s="5" t="s">
        <v>639</v>
      </c>
      <c r="C364" s="5" t="s">
        <v>990</v>
      </c>
      <c r="D364" s="5" t="s">
        <v>2429</v>
      </c>
      <c r="E364" s="5" t="s">
        <v>2525</v>
      </c>
      <c r="F364" s="58">
        <v>4050</v>
      </c>
      <c r="G364" s="5" t="s">
        <v>2430</v>
      </c>
      <c r="H364" s="5" t="s">
        <v>993</v>
      </c>
      <c r="I364" s="60">
        <v>1</v>
      </c>
      <c r="J364" s="5" t="s">
        <v>994</v>
      </c>
      <c r="K364" s="5" t="s">
        <v>995</v>
      </c>
      <c r="L364" s="5" t="s">
        <v>996</v>
      </c>
      <c r="M364" s="5">
        <v>6</v>
      </c>
      <c r="N364" s="5" t="str">
        <f t="shared" si="5"/>
        <v>Jun</v>
      </c>
    </row>
    <row r="365" spans="1:14" x14ac:dyDescent="0.35">
      <c r="A365" s="5" t="s">
        <v>2241</v>
      </c>
      <c r="B365" s="5" t="s">
        <v>639</v>
      </c>
      <c r="C365" s="5" t="s">
        <v>990</v>
      </c>
      <c r="D365" s="5" t="s">
        <v>2508</v>
      </c>
      <c r="E365" s="5" t="s">
        <v>3112</v>
      </c>
      <c r="F365" s="58">
        <v>16071.43</v>
      </c>
      <c r="G365" s="5" t="s">
        <v>2427</v>
      </c>
      <c r="H365" s="5" t="s">
        <v>993</v>
      </c>
      <c r="I365" s="60">
        <v>1</v>
      </c>
      <c r="J365" s="5" t="s">
        <v>994</v>
      </c>
      <c r="K365" s="5" t="s">
        <v>995</v>
      </c>
      <c r="L365" s="5" t="s">
        <v>996</v>
      </c>
      <c r="M365" s="5">
        <v>8</v>
      </c>
      <c r="N365" s="5" t="str">
        <f t="shared" si="5"/>
        <v>Aug</v>
      </c>
    </row>
    <row r="366" spans="1:14" x14ac:dyDescent="0.35">
      <c r="A366" s="5" t="s">
        <v>2241</v>
      </c>
      <c r="B366" s="5" t="s">
        <v>639</v>
      </c>
      <c r="C366" s="5" t="s">
        <v>990</v>
      </c>
      <c r="D366" s="5" t="s">
        <v>2242</v>
      </c>
      <c r="E366" s="5" t="s">
        <v>2248</v>
      </c>
      <c r="F366" s="58">
        <v>0.01</v>
      </c>
      <c r="G366" s="5" t="s">
        <v>2244</v>
      </c>
      <c r="H366" s="5" t="s">
        <v>2242</v>
      </c>
      <c r="I366" s="60">
        <v>0</v>
      </c>
      <c r="J366" s="5" t="s">
        <v>1019</v>
      </c>
      <c r="K366" s="5" t="s">
        <v>1554</v>
      </c>
      <c r="L366" s="5" t="s">
        <v>2249</v>
      </c>
      <c r="M366" s="5">
        <v>6</v>
      </c>
      <c r="N366" s="5" t="str">
        <f t="shared" si="5"/>
        <v>Jun</v>
      </c>
    </row>
    <row r="367" spans="1:14" x14ac:dyDescent="0.35">
      <c r="A367" s="5" t="s">
        <v>2241</v>
      </c>
      <c r="B367" s="5" t="s">
        <v>639</v>
      </c>
      <c r="C367" s="5" t="s">
        <v>990</v>
      </c>
      <c r="D367" s="5" t="s">
        <v>993</v>
      </c>
      <c r="E367" s="5" t="s">
        <v>2082</v>
      </c>
      <c r="F367" s="58">
        <v>107.14</v>
      </c>
      <c r="G367" s="5" t="s">
        <v>993</v>
      </c>
      <c r="H367" s="5" t="s">
        <v>993</v>
      </c>
      <c r="I367" s="59">
        <v>0</v>
      </c>
      <c r="J367" s="5" t="s">
        <v>994</v>
      </c>
      <c r="K367" s="5" t="s">
        <v>1009</v>
      </c>
      <c r="L367" s="5" t="s">
        <v>1010</v>
      </c>
      <c r="M367" s="5">
        <v>4</v>
      </c>
      <c r="N367" s="5" t="str">
        <f t="shared" si="5"/>
        <v>Apr</v>
      </c>
    </row>
    <row r="368" spans="1:14" x14ac:dyDescent="0.35">
      <c r="A368" s="5" t="s">
        <v>2241</v>
      </c>
      <c r="B368" s="5" t="s">
        <v>639</v>
      </c>
      <c r="C368" s="5" t="s">
        <v>990</v>
      </c>
      <c r="D368" s="5" t="s">
        <v>993</v>
      </c>
      <c r="E368" s="5" t="s">
        <v>2082</v>
      </c>
      <c r="F368" s="58">
        <v>89.29</v>
      </c>
      <c r="G368" s="5" t="s">
        <v>993</v>
      </c>
      <c r="H368" s="5" t="s">
        <v>993</v>
      </c>
      <c r="I368" s="59">
        <v>0</v>
      </c>
      <c r="J368" s="5" t="s">
        <v>994</v>
      </c>
      <c r="K368" s="5" t="s">
        <v>1009</v>
      </c>
      <c r="L368" s="5" t="s">
        <v>1010</v>
      </c>
      <c r="M368" s="5">
        <v>4</v>
      </c>
      <c r="N368" s="5" t="str">
        <f t="shared" si="5"/>
        <v>Apr</v>
      </c>
    </row>
    <row r="369" spans="1:14" x14ac:dyDescent="0.35">
      <c r="A369" s="5" t="s">
        <v>2241</v>
      </c>
      <c r="B369" s="5" t="s">
        <v>639</v>
      </c>
      <c r="C369" s="5" t="s">
        <v>990</v>
      </c>
      <c r="D369" s="5" t="s">
        <v>993</v>
      </c>
      <c r="E369" s="5" t="s">
        <v>2082</v>
      </c>
      <c r="F369" s="58">
        <v>348.21</v>
      </c>
      <c r="G369" s="5" t="s">
        <v>993</v>
      </c>
      <c r="H369" s="5" t="s">
        <v>993</v>
      </c>
      <c r="I369" s="59">
        <v>0</v>
      </c>
      <c r="J369" s="5" t="s">
        <v>994</v>
      </c>
      <c r="K369" s="5" t="s">
        <v>1009</v>
      </c>
      <c r="L369" s="5" t="s">
        <v>1010</v>
      </c>
      <c r="M369" s="5">
        <v>4</v>
      </c>
      <c r="N369" s="5" t="str">
        <f t="shared" si="5"/>
        <v>Apr</v>
      </c>
    </row>
    <row r="370" spans="1:14" x14ac:dyDescent="0.35">
      <c r="A370" s="5" t="s">
        <v>2241</v>
      </c>
      <c r="B370" s="5" t="s">
        <v>639</v>
      </c>
      <c r="C370" s="5" t="s">
        <v>990</v>
      </c>
      <c r="D370" s="5" t="s">
        <v>993</v>
      </c>
      <c r="E370" s="5" t="s">
        <v>2082</v>
      </c>
      <c r="F370" s="58">
        <v>3660.71</v>
      </c>
      <c r="G370" s="5" t="s">
        <v>993</v>
      </c>
      <c r="H370" s="5" t="s">
        <v>993</v>
      </c>
      <c r="I370" s="59">
        <v>0</v>
      </c>
      <c r="J370" s="5" t="s">
        <v>994</v>
      </c>
      <c r="K370" s="5" t="s">
        <v>1009</v>
      </c>
      <c r="L370" s="5" t="s">
        <v>1010</v>
      </c>
      <c r="M370" s="5">
        <v>4</v>
      </c>
      <c r="N370" s="5" t="str">
        <f t="shared" si="5"/>
        <v>Apr</v>
      </c>
    </row>
    <row r="371" spans="1:14" x14ac:dyDescent="0.35">
      <c r="A371" s="5" t="s">
        <v>2241</v>
      </c>
      <c r="B371" s="5" t="s">
        <v>639</v>
      </c>
      <c r="C371" s="5" t="s">
        <v>990</v>
      </c>
      <c r="D371" s="5" t="s">
        <v>993</v>
      </c>
      <c r="E371" s="5" t="s">
        <v>2082</v>
      </c>
      <c r="F371" s="58">
        <v>500</v>
      </c>
      <c r="G371" s="5" t="s">
        <v>993</v>
      </c>
      <c r="H371" s="5" t="s">
        <v>993</v>
      </c>
      <c r="I371" s="59">
        <v>0</v>
      </c>
      <c r="J371" s="5" t="s">
        <v>994</v>
      </c>
      <c r="K371" s="5" t="s">
        <v>1009</v>
      </c>
      <c r="L371" s="5" t="s">
        <v>1010</v>
      </c>
      <c r="M371" s="5">
        <v>4</v>
      </c>
      <c r="N371" s="5" t="str">
        <f t="shared" si="5"/>
        <v>Apr</v>
      </c>
    </row>
    <row r="372" spans="1:14" x14ac:dyDescent="0.35">
      <c r="A372" s="5" t="s">
        <v>2241</v>
      </c>
      <c r="B372" s="5" t="s">
        <v>639</v>
      </c>
      <c r="C372" s="5" t="s">
        <v>990</v>
      </c>
      <c r="D372" s="5" t="s">
        <v>993</v>
      </c>
      <c r="E372" s="5" t="s">
        <v>2082</v>
      </c>
      <c r="F372" s="58">
        <v>1035.71</v>
      </c>
      <c r="G372" s="5" t="s">
        <v>993</v>
      </c>
      <c r="H372" s="5" t="s">
        <v>993</v>
      </c>
      <c r="I372" s="59">
        <v>0</v>
      </c>
      <c r="J372" s="5" t="s">
        <v>994</v>
      </c>
      <c r="K372" s="5" t="s">
        <v>1009</v>
      </c>
      <c r="L372" s="5" t="s">
        <v>1010</v>
      </c>
      <c r="M372" s="5">
        <v>4</v>
      </c>
      <c r="N372" s="5" t="str">
        <f t="shared" si="5"/>
        <v>Apr</v>
      </c>
    </row>
    <row r="373" spans="1:14" x14ac:dyDescent="0.35">
      <c r="A373" s="5" t="s">
        <v>2241</v>
      </c>
      <c r="B373" s="5" t="s">
        <v>639</v>
      </c>
      <c r="C373" s="5" t="s">
        <v>990</v>
      </c>
      <c r="D373" s="5" t="s">
        <v>993</v>
      </c>
      <c r="E373" s="5" t="s">
        <v>2082</v>
      </c>
      <c r="F373" s="58">
        <v>4258.93</v>
      </c>
      <c r="G373" s="5" t="s">
        <v>993</v>
      </c>
      <c r="H373" s="5" t="s">
        <v>993</v>
      </c>
      <c r="I373" s="59">
        <v>0</v>
      </c>
      <c r="J373" s="5" t="s">
        <v>994</v>
      </c>
      <c r="K373" s="5" t="s">
        <v>1009</v>
      </c>
      <c r="L373" s="5" t="s">
        <v>1010</v>
      </c>
      <c r="M373" s="5">
        <v>4</v>
      </c>
      <c r="N373" s="5" t="str">
        <f t="shared" si="5"/>
        <v>Apr</v>
      </c>
    </row>
    <row r="374" spans="1:14" x14ac:dyDescent="0.35">
      <c r="A374" s="5" t="s">
        <v>2241</v>
      </c>
      <c r="B374" s="5" t="s">
        <v>639</v>
      </c>
      <c r="C374" s="5" t="s">
        <v>990</v>
      </c>
      <c r="D374" s="5" t="s">
        <v>993</v>
      </c>
      <c r="E374" s="5" t="s">
        <v>2082</v>
      </c>
      <c r="F374" s="58">
        <v>321.43</v>
      </c>
      <c r="G374" s="5" t="s">
        <v>993</v>
      </c>
      <c r="H374" s="5" t="s">
        <v>993</v>
      </c>
      <c r="I374" s="59">
        <v>0</v>
      </c>
      <c r="J374" s="5" t="s">
        <v>994</v>
      </c>
      <c r="K374" s="5" t="s">
        <v>1009</v>
      </c>
      <c r="L374" s="5" t="s">
        <v>1010</v>
      </c>
      <c r="M374" s="5">
        <v>4</v>
      </c>
      <c r="N374" s="5" t="str">
        <f t="shared" si="5"/>
        <v>Apr</v>
      </c>
    </row>
    <row r="375" spans="1:14" x14ac:dyDescent="0.35">
      <c r="A375" s="5" t="s">
        <v>2241</v>
      </c>
      <c r="B375" s="5" t="s">
        <v>639</v>
      </c>
      <c r="C375" s="5" t="s">
        <v>990</v>
      </c>
      <c r="D375" s="5" t="s">
        <v>993</v>
      </c>
      <c r="E375" s="5" t="s">
        <v>2082</v>
      </c>
      <c r="F375" s="58">
        <v>0.01</v>
      </c>
      <c r="G375" s="5" t="s">
        <v>993</v>
      </c>
      <c r="H375" s="5" t="s">
        <v>993</v>
      </c>
      <c r="I375" s="59">
        <v>0</v>
      </c>
      <c r="J375" s="5" t="s">
        <v>994</v>
      </c>
      <c r="K375" s="5" t="s">
        <v>1009</v>
      </c>
      <c r="L375" s="5" t="s">
        <v>1010</v>
      </c>
      <c r="M375" s="5">
        <v>4</v>
      </c>
      <c r="N375" s="5" t="str">
        <f t="shared" si="5"/>
        <v>Apr</v>
      </c>
    </row>
    <row r="376" spans="1:14" x14ac:dyDescent="0.35">
      <c r="A376" s="5" t="s">
        <v>2241</v>
      </c>
      <c r="B376" s="5" t="s">
        <v>639</v>
      </c>
      <c r="C376" s="5" t="s">
        <v>990</v>
      </c>
      <c r="D376" s="5" t="s">
        <v>993</v>
      </c>
      <c r="E376" s="5" t="s">
        <v>2082</v>
      </c>
      <c r="F376" s="58">
        <v>156750</v>
      </c>
      <c r="G376" s="5" t="s">
        <v>993</v>
      </c>
      <c r="H376" s="5" t="s">
        <v>993</v>
      </c>
      <c r="I376" s="59">
        <v>0</v>
      </c>
      <c r="J376" s="5" t="s">
        <v>994</v>
      </c>
      <c r="K376" s="5" t="s">
        <v>1009</v>
      </c>
      <c r="L376" s="5" t="s">
        <v>1010</v>
      </c>
      <c r="M376" s="5">
        <v>4</v>
      </c>
      <c r="N376" s="5" t="str">
        <f t="shared" si="5"/>
        <v>Apr</v>
      </c>
    </row>
    <row r="377" spans="1:14" x14ac:dyDescent="0.35">
      <c r="A377" s="5" t="s">
        <v>2920</v>
      </c>
      <c r="B377" s="5" t="s">
        <v>1834</v>
      </c>
      <c r="C377" s="5" t="s">
        <v>990</v>
      </c>
      <c r="D377" s="5" t="s">
        <v>2034</v>
      </c>
      <c r="E377" s="5" t="s">
        <v>2921</v>
      </c>
      <c r="F377" s="58">
        <v>144642.85999999999</v>
      </c>
      <c r="G377" s="5" t="s">
        <v>2035</v>
      </c>
      <c r="H377" s="5" t="s">
        <v>993</v>
      </c>
      <c r="I377" s="59">
        <v>0.9</v>
      </c>
      <c r="J377" s="5" t="s">
        <v>994</v>
      </c>
      <c r="K377" s="5" t="s">
        <v>995</v>
      </c>
      <c r="L377" s="5" t="s">
        <v>996</v>
      </c>
      <c r="M377" s="5">
        <v>7</v>
      </c>
      <c r="N377" s="5" t="str">
        <f t="shared" si="5"/>
        <v>Jul</v>
      </c>
    </row>
    <row r="378" spans="1:14" x14ac:dyDescent="0.35">
      <c r="A378" s="5" t="s">
        <v>2644</v>
      </c>
      <c r="B378" s="5" t="s">
        <v>1841</v>
      </c>
      <c r="C378" s="5" t="s">
        <v>990</v>
      </c>
      <c r="D378" s="5" t="s">
        <v>2437</v>
      </c>
      <c r="E378" s="5" t="s">
        <v>2645</v>
      </c>
      <c r="F378" s="58">
        <v>1250000</v>
      </c>
      <c r="G378" s="5" t="s">
        <v>2038</v>
      </c>
      <c r="H378" s="5" t="s">
        <v>2646</v>
      </c>
      <c r="I378" s="59">
        <v>0.4</v>
      </c>
      <c r="J378" s="5" t="s">
        <v>994</v>
      </c>
      <c r="K378" s="5" t="s">
        <v>995</v>
      </c>
      <c r="L378" s="5" t="s">
        <v>996</v>
      </c>
      <c r="M378" s="5">
        <v>6</v>
      </c>
      <c r="N378" s="5" t="str">
        <f t="shared" si="5"/>
        <v>Jun</v>
      </c>
    </row>
    <row r="379" spans="1:14" x14ac:dyDescent="0.35">
      <c r="A379" s="5" t="s">
        <v>2644</v>
      </c>
      <c r="B379" s="5" t="s">
        <v>1841</v>
      </c>
      <c r="C379" s="5" t="s">
        <v>990</v>
      </c>
      <c r="D379" s="5" t="s">
        <v>2437</v>
      </c>
      <c r="E379" s="5" t="s">
        <v>2647</v>
      </c>
      <c r="F379" s="58">
        <v>-1250000</v>
      </c>
      <c r="G379" s="5" t="s">
        <v>2038</v>
      </c>
      <c r="H379" s="5" t="s">
        <v>2646</v>
      </c>
      <c r="I379" s="59">
        <v>-0.4</v>
      </c>
      <c r="J379" s="5" t="s">
        <v>994</v>
      </c>
      <c r="K379" s="5" t="s">
        <v>995</v>
      </c>
      <c r="L379" s="5" t="s">
        <v>996</v>
      </c>
      <c r="M379" s="5">
        <v>7</v>
      </c>
      <c r="N379" s="5" t="str">
        <f t="shared" si="5"/>
        <v>Jul</v>
      </c>
    </row>
    <row r="380" spans="1:14" x14ac:dyDescent="0.35">
      <c r="A380" s="5" t="s">
        <v>2644</v>
      </c>
      <c r="B380" s="5" t="s">
        <v>1841</v>
      </c>
      <c r="C380" s="5" t="s">
        <v>990</v>
      </c>
      <c r="D380" s="5" t="s">
        <v>2437</v>
      </c>
      <c r="E380" s="5" t="s">
        <v>2648</v>
      </c>
      <c r="F380" s="58">
        <v>1250000</v>
      </c>
      <c r="G380" s="5" t="s">
        <v>2038</v>
      </c>
      <c r="H380" s="5" t="s">
        <v>2646</v>
      </c>
      <c r="I380" s="59">
        <v>0.4</v>
      </c>
      <c r="J380" s="5" t="s">
        <v>994</v>
      </c>
      <c r="K380" s="5" t="s">
        <v>995</v>
      </c>
      <c r="L380" s="5" t="s">
        <v>996</v>
      </c>
      <c r="M380" s="5">
        <v>7</v>
      </c>
      <c r="N380" s="5" t="str">
        <f t="shared" si="5"/>
        <v>Jul</v>
      </c>
    </row>
    <row r="381" spans="1:14" x14ac:dyDescent="0.35">
      <c r="A381" s="5" t="s">
        <v>2644</v>
      </c>
      <c r="B381" s="5" t="s">
        <v>1841</v>
      </c>
      <c r="C381" s="5" t="s">
        <v>990</v>
      </c>
      <c r="D381" s="5" t="s">
        <v>2797</v>
      </c>
      <c r="E381" s="5" t="s">
        <v>3259</v>
      </c>
      <c r="F381" s="58">
        <v>172857.14</v>
      </c>
      <c r="G381" s="5" t="s">
        <v>2436</v>
      </c>
      <c r="H381" s="5" t="s">
        <v>993</v>
      </c>
      <c r="I381" s="59">
        <v>0.2</v>
      </c>
      <c r="J381" s="5" t="s">
        <v>994</v>
      </c>
      <c r="K381" s="5" t="s">
        <v>995</v>
      </c>
      <c r="L381" s="5" t="s">
        <v>996</v>
      </c>
      <c r="M381" s="5">
        <v>8</v>
      </c>
      <c r="N381" s="5" t="str">
        <f t="shared" si="5"/>
        <v>Aug</v>
      </c>
    </row>
    <row r="382" spans="1:14" x14ac:dyDescent="0.35">
      <c r="A382" s="5" t="s">
        <v>2649</v>
      </c>
      <c r="B382" s="5" t="s">
        <v>1847</v>
      </c>
      <c r="C382" s="5" t="s">
        <v>990</v>
      </c>
      <c r="D382" s="5" t="s">
        <v>2511</v>
      </c>
      <c r="E382" s="5" t="s">
        <v>2650</v>
      </c>
      <c r="F382" s="58">
        <v>218750</v>
      </c>
      <c r="G382" s="5" t="s">
        <v>2512</v>
      </c>
      <c r="H382" s="5" t="s">
        <v>993</v>
      </c>
      <c r="I382" s="60">
        <v>1</v>
      </c>
      <c r="J382" s="5" t="s">
        <v>994</v>
      </c>
      <c r="K382" s="5" t="s">
        <v>995</v>
      </c>
      <c r="L382" s="5" t="s">
        <v>996</v>
      </c>
      <c r="M382" s="5">
        <v>6</v>
      </c>
      <c r="N382" s="5" t="str">
        <f t="shared" si="5"/>
        <v>Jun</v>
      </c>
    </row>
    <row r="383" spans="1:14" x14ac:dyDescent="0.35">
      <c r="A383" s="5" t="s">
        <v>2922</v>
      </c>
      <c r="B383" s="5" t="s">
        <v>2923</v>
      </c>
      <c r="C383" s="5" t="s">
        <v>990</v>
      </c>
      <c r="D383" s="5" t="s">
        <v>2851</v>
      </c>
      <c r="E383" s="5" t="s">
        <v>2924</v>
      </c>
      <c r="F383" s="58">
        <v>755142.86</v>
      </c>
      <c r="G383" s="5" t="s">
        <v>2799</v>
      </c>
      <c r="H383" s="5" t="s">
        <v>993</v>
      </c>
      <c r="I383" s="60">
        <v>1</v>
      </c>
      <c r="J383" s="5" t="s">
        <v>994</v>
      </c>
      <c r="K383" s="5" t="s">
        <v>995</v>
      </c>
      <c r="L383" s="5" t="s">
        <v>996</v>
      </c>
      <c r="M383" s="5">
        <v>8</v>
      </c>
      <c r="N383" s="5" t="str">
        <f t="shared" si="5"/>
        <v>Aug</v>
      </c>
    </row>
    <row r="384" spans="1:14" x14ac:dyDescent="0.35">
      <c r="A384" s="5" t="s">
        <v>2922</v>
      </c>
      <c r="B384" s="5" t="s">
        <v>2923</v>
      </c>
      <c r="C384" s="5" t="s">
        <v>990</v>
      </c>
      <c r="D384" s="5" t="s">
        <v>2851</v>
      </c>
      <c r="E384" s="5" t="s">
        <v>2924</v>
      </c>
      <c r="F384" s="58">
        <v>755142.85</v>
      </c>
      <c r="G384" s="5" t="s">
        <v>2800</v>
      </c>
      <c r="H384" s="5" t="s">
        <v>993</v>
      </c>
      <c r="I384" s="60">
        <v>1</v>
      </c>
      <c r="J384" s="5" t="s">
        <v>994</v>
      </c>
      <c r="K384" s="5" t="s">
        <v>995</v>
      </c>
      <c r="L384" s="5" t="s">
        <v>996</v>
      </c>
      <c r="M384" s="5">
        <v>8</v>
      </c>
      <c r="N384" s="5" t="str">
        <f t="shared" si="5"/>
        <v>Aug</v>
      </c>
    </row>
    <row r="385" spans="1:14" x14ac:dyDescent="0.35">
      <c r="A385" s="5" t="s">
        <v>2922</v>
      </c>
      <c r="B385" s="5" t="s">
        <v>2923</v>
      </c>
      <c r="C385" s="5" t="s">
        <v>990</v>
      </c>
      <c r="D385" s="5" t="s">
        <v>2851</v>
      </c>
      <c r="E385" s="5" t="s">
        <v>2924</v>
      </c>
      <c r="F385" s="58">
        <v>350000</v>
      </c>
      <c r="G385" s="5" t="s">
        <v>2801</v>
      </c>
      <c r="H385" s="5" t="s">
        <v>993</v>
      </c>
      <c r="I385" s="60">
        <v>1</v>
      </c>
      <c r="J385" s="5" t="s">
        <v>994</v>
      </c>
      <c r="K385" s="5" t="s">
        <v>995</v>
      </c>
      <c r="L385" s="5" t="s">
        <v>996</v>
      </c>
      <c r="M385" s="5">
        <v>8</v>
      </c>
      <c r="N385" s="5" t="str">
        <f t="shared" si="5"/>
        <v>Aug</v>
      </c>
    </row>
    <row r="386" spans="1:14" x14ac:dyDescent="0.35">
      <c r="A386" s="5" t="s">
        <v>2922</v>
      </c>
      <c r="B386" s="5" t="s">
        <v>2923</v>
      </c>
      <c r="C386" s="5" t="s">
        <v>990</v>
      </c>
      <c r="D386" s="5" t="s">
        <v>2851</v>
      </c>
      <c r="E386" s="5" t="s">
        <v>2924</v>
      </c>
      <c r="F386" s="58">
        <v>350000</v>
      </c>
      <c r="G386" s="5" t="s">
        <v>2802</v>
      </c>
      <c r="H386" s="5" t="s">
        <v>993</v>
      </c>
      <c r="I386" s="60">
        <v>1</v>
      </c>
      <c r="J386" s="5" t="s">
        <v>994</v>
      </c>
      <c r="K386" s="5" t="s">
        <v>995</v>
      </c>
      <c r="L386" s="5" t="s">
        <v>996</v>
      </c>
      <c r="M386" s="5">
        <v>8</v>
      </c>
      <c r="N386" s="5" t="str">
        <f t="shared" si="5"/>
        <v>Aug</v>
      </c>
    </row>
    <row r="387" spans="1:14" x14ac:dyDescent="0.35">
      <c r="A387" s="5" t="s">
        <v>2922</v>
      </c>
      <c r="B387" s="5" t="s">
        <v>2923</v>
      </c>
      <c r="C387" s="5" t="s">
        <v>990</v>
      </c>
      <c r="D387" s="5" t="s">
        <v>2851</v>
      </c>
      <c r="E387" s="5" t="s">
        <v>2924</v>
      </c>
      <c r="F387" s="58">
        <v>379000.01</v>
      </c>
      <c r="G387" s="5" t="s">
        <v>2803</v>
      </c>
      <c r="H387" s="5" t="s">
        <v>993</v>
      </c>
      <c r="I387" s="60">
        <v>1</v>
      </c>
      <c r="J387" s="5" t="s">
        <v>994</v>
      </c>
      <c r="K387" s="5" t="s">
        <v>995</v>
      </c>
      <c r="L387" s="5" t="s">
        <v>996</v>
      </c>
      <c r="M387" s="5">
        <v>8</v>
      </c>
      <c r="N387" s="5" t="str">
        <f t="shared" si="5"/>
        <v>Aug</v>
      </c>
    </row>
    <row r="388" spans="1:14" x14ac:dyDescent="0.35">
      <c r="A388" s="5" t="s">
        <v>2922</v>
      </c>
      <c r="B388" s="5" t="s">
        <v>2923</v>
      </c>
      <c r="C388" s="5" t="s">
        <v>990</v>
      </c>
      <c r="D388" s="5" t="s">
        <v>2851</v>
      </c>
      <c r="E388" s="5" t="s">
        <v>3260</v>
      </c>
      <c r="F388" s="58">
        <v>-0.01</v>
      </c>
      <c r="G388" s="5" t="s">
        <v>2803</v>
      </c>
      <c r="H388" s="5" t="s">
        <v>2851</v>
      </c>
      <c r="I388" s="60">
        <v>0</v>
      </c>
      <c r="J388" s="5" t="s">
        <v>994</v>
      </c>
      <c r="K388" s="5" t="s">
        <v>995</v>
      </c>
      <c r="L388" s="5" t="s">
        <v>996</v>
      </c>
      <c r="M388" s="5">
        <v>8</v>
      </c>
      <c r="N388" s="5" t="str">
        <f t="shared" ref="N388:N451" si="6">_xlfn.XLOOKUP(M388,$Q$3:$Q$14,$R$3:$R$14)</f>
        <v>Aug</v>
      </c>
    </row>
    <row r="389" spans="1:14" x14ac:dyDescent="0.35">
      <c r="A389" s="5" t="s">
        <v>2250</v>
      </c>
      <c r="B389" s="5" t="s">
        <v>1851</v>
      </c>
      <c r="C389" s="5" t="s">
        <v>990</v>
      </c>
      <c r="D389" s="5" t="s">
        <v>993</v>
      </c>
      <c r="E389" s="5" t="s">
        <v>1953</v>
      </c>
      <c r="F389" s="58">
        <v>31972.240000000002</v>
      </c>
      <c r="G389" s="5" t="s">
        <v>993</v>
      </c>
      <c r="H389" s="5" t="s">
        <v>993</v>
      </c>
      <c r="I389" s="59">
        <v>0</v>
      </c>
      <c r="J389" s="5" t="s">
        <v>1019</v>
      </c>
      <c r="K389" s="5" t="s">
        <v>1954</v>
      </c>
      <c r="L389" s="5" t="s">
        <v>1955</v>
      </c>
      <c r="M389" s="5">
        <v>4</v>
      </c>
      <c r="N389" s="5" t="str">
        <f t="shared" si="6"/>
        <v>Apr</v>
      </c>
    </row>
    <row r="390" spans="1:14" x14ac:dyDescent="0.35">
      <c r="A390" s="5" t="s">
        <v>2250</v>
      </c>
      <c r="B390" s="5" t="s">
        <v>1851</v>
      </c>
      <c r="C390" s="5" t="s">
        <v>990</v>
      </c>
      <c r="D390" s="5" t="s">
        <v>1956</v>
      </c>
      <c r="E390" s="5" t="s">
        <v>2651</v>
      </c>
      <c r="F390" s="58">
        <v>212053.57</v>
      </c>
      <c r="G390" s="5" t="s">
        <v>1958</v>
      </c>
      <c r="H390" s="5" t="s">
        <v>1959</v>
      </c>
      <c r="I390" s="59">
        <v>0.5</v>
      </c>
      <c r="J390" s="5" t="s">
        <v>994</v>
      </c>
      <c r="K390" s="5" t="s">
        <v>995</v>
      </c>
      <c r="L390" s="5" t="s">
        <v>996</v>
      </c>
      <c r="M390" s="5">
        <v>6</v>
      </c>
      <c r="N390" s="5" t="str">
        <f t="shared" si="6"/>
        <v>Jun</v>
      </c>
    </row>
    <row r="391" spans="1:14" x14ac:dyDescent="0.35">
      <c r="A391" s="5" t="s">
        <v>2250</v>
      </c>
      <c r="B391" s="5" t="s">
        <v>1851</v>
      </c>
      <c r="C391" s="5" t="s">
        <v>990</v>
      </c>
      <c r="D391" s="5" t="s">
        <v>1956</v>
      </c>
      <c r="E391" s="5" t="s">
        <v>1957</v>
      </c>
      <c r="F391" s="58">
        <v>212053.57</v>
      </c>
      <c r="G391" s="5" t="s">
        <v>1958</v>
      </c>
      <c r="H391" s="5" t="s">
        <v>1959</v>
      </c>
      <c r="I391" s="59">
        <v>0.5</v>
      </c>
      <c r="J391" s="5" t="s">
        <v>994</v>
      </c>
      <c r="K391" s="5" t="s">
        <v>995</v>
      </c>
      <c r="L391" s="5" t="s">
        <v>996</v>
      </c>
      <c r="M391" s="5">
        <v>4</v>
      </c>
      <c r="N391" s="5" t="str">
        <f t="shared" si="6"/>
        <v>Apr</v>
      </c>
    </row>
    <row r="392" spans="1:14" x14ac:dyDescent="0.35">
      <c r="A392" s="5" t="s">
        <v>2250</v>
      </c>
      <c r="B392" s="5" t="s">
        <v>1851</v>
      </c>
      <c r="C392" s="5" t="s">
        <v>990</v>
      </c>
      <c r="D392" s="5" t="s">
        <v>2054</v>
      </c>
      <c r="E392" s="5" t="s">
        <v>2654</v>
      </c>
      <c r="F392" s="58">
        <v>357142.86</v>
      </c>
      <c r="G392" s="5" t="s">
        <v>2051</v>
      </c>
      <c r="H392" s="5" t="s">
        <v>2655</v>
      </c>
      <c r="I392" s="60">
        <v>1</v>
      </c>
      <c r="J392" s="5" t="s">
        <v>994</v>
      </c>
      <c r="K392" s="5" t="s">
        <v>995</v>
      </c>
      <c r="L392" s="5" t="s">
        <v>996</v>
      </c>
      <c r="M392" s="5">
        <v>7</v>
      </c>
      <c r="N392" s="5" t="str">
        <f t="shared" si="6"/>
        <v>Jul</v>
      </c>
    </row>
    <row r="393" spans="1:14" x14ac:dyDescent="0.35">
      <c r="A393" s="5" t="s">
        <v>2250</v>
      </c>
      <c r="B393" s="5" t="s">
        <v>1851</v>
      </c>
      <c r="C393" s="5" t="s">
        <v>990</v>
      </c>
      <c r="D393" s="5" t="s">
        <v>2052</v>
      </c>
      <c r="E393" s="5" t="s">
        <v>2652</v>
      </c>
      <c r="F393" s="58">
        <v>732142.86</v>
      </c>
      <c r="G393" s="5" t="s">
        <v>2046</v>
      </c>
      <c r="H393" s="5" t="s">
        <v>2653</v>
      </c>
      <c r="I393" s="60">
        <v>1</v>
      </c>
      <c r="J393" s="5" t="s">
        <v>994</v>
      </c>
      <c r="K393" s="5" t="s">
        <v>995</v>
      </c>
      <c r="L393" s="5" t="s">
        <v>996</v>
      </c>
      <c r="M393" s="5">
        <v>7</v>
      </c>
      <c r="N393" s="5" t="str">
        <f t="shared" si="6"/>
        <v>Jul</v>
      </c>
    </row>
    <row r="394" spans="1:14" x14ac:dyDescent="0.35">
      <c r="A394" s="5" t="s">
        <v>2250</v>
      </c>
      <c r="B394" s="5" t="s">
        <v>1851</v>
      </c>
      <c r="C394" s="5" t="s">
        <v>990</v>
      </c>
      <c r="D394" s="5" t="s">
        <v>993</v>
      </c>
      <c r="E394" s="5" t="s">
        <v>2083</v>
      </c>
      <c r="F394" s="58">
        <v>-244025.81</v>
      </c>
      <c r="G394" s="5" t="s">
        <v>993</v>
      </c>
      <c r="H394" s="5" t="s">
        <v>2084</v>
      </c>
      <c r="I394" s="59">
        <v>0</v>
      </c>
      <c r="J394" s="5" t="s">
        <v>994</v>
      </c>
      <c r="K394" s="5" t="s">
        <v>2085</v>
      </c>
      <c r="L394" s="5" t="s">
        <v>2086</v>
      </c>
      <c r="M394" s="5">
        <v>4</v>
      </c>
      <c r="N394" s="5" t="str">
        <f t="shared" si="6"/>
        <v>Apr</v>
      </c>
    </row>
    <row r="395" spans="1:14" x14ac:dyDescent="0.35">
      <c r="A395" s="5" t="s">
        <v>2513</v>
      </c>
      <c r="B395" s="5" t="s">
        <v>2072</v>
      </c>
      <c r="C395" s="5" t="s">
        <v>990</v>
      </c>
      <c r="D395" s="5" t="s">
        <v>2447</v>
      </c>
      <c r="E395" s="5" t="s">
        <v>2526</v>
      </c>
      <c r="F395" s="58">
        <v>462678.57</v>
      </c>
      <c r="G395" s="5" t="s">
        <v>2448</v>
      </c>
      <c r="H395" s="5" t="s">
        <v>993</v>
      </c>
      <c r="I395" s="60">
        <v>1</v>
      </c>
      <c r="J395" s="5" t="s">
        <v>994</v>
      </c>
      <c r="K395" s="5" t="s">
        <v>995</v>
      </c>
      <c r="L395" s="5" t="s">
        <v>996</v>
      </c>
      <c r="M395" s="5">
        <v>6</v>
      </c>
      <c r="N395" s="5" t="str">
        <f t="shared" si="6"/>
        <v>Jun</v>
      </c>
    </row>
    <row r="396" spans="1:14" x14ac:dyDescent="0.35">
      <c r="A396" s="5" t="s">
        <v>2513</v>
      </c>
      <c r="B396" s="5" t="s">
        <v>2072</v>
      </c>
      <c r="C396" s="5" t="s">
        <v>990</v>
      </c>
      <c r="D396" s="5" t="s">
        <v>2449</v>
      </c>
      <c r="E396" s="5" t="s">
        <v>3261</v>
      </c>
      <c r="F396" s="58">
        <v>758035.71</v>
      </c>
      <c r="G396" s="5" t="s">
        <v>2450</v>
      </c>
      <c r="H396" s="5" t="s">
        <v>993</v>
      </c>
      <c r="I396" s="60">
        <v>1</v>
      </c>
      <c r="J396" s="5" t="s">
        <v>994</v>
      </c>
      <c r="K396" s="5" t="s">
        <v>995</v>
      </c>
      <c r="L396" s="5" t="s">
        <v>996</v>
      </c>
      <c r="M396" s="5">
        <v>8</v>
      </c>
      <c r="N396" s="5" t="str">
        <f t="shared" si="6"/>
        <v>Aug</v>
      </c>
    </row>
    <row r="397" spans="1:14" x14ac:dyDescent="0.35">
      <c r="A397" s="5" t="s">
        <v>2513</v>
      </c>
      <c r="B397" s="5" t="s">
        <v>2072</v>
      </c>
      <c r="C397" s="5" t="s">
        <v>990</v>
      </c>
      <c r="D397" s="5" t="s">
        <v>3061</v>
      </c>
      <c r="E397" s="5" t="s">
        <v>3262</v>
      </c>
      <c r="F397" s="58">
        <v>267857.14</v>
      </c>
      <c r="G397" s="5" t="s">
        <v>3062</v>
      </c>
      <c r="H397" s="5" t="s">
        <v>993</v>
      </c>
      <c r="I397" s="60">
        <v>1</v>
      </c>
      <c r="J397" s="5" t="s">
        <v>994</v>
      </c>
      <c r="K397" s="5" t="s">
        <v>995</v>
      </c>
      <c r="L397" s="5" t="s">
        <v>996</v>
      </c>
      <c r="M397" s="5">
        <v>9</v>
      </c>
      <c r="N397" s="5" t="str">
        <f t="shared" si="6"/>
        <v>Sep</v>
      </c>
    </row>
    <row r="398" spans="1:14" x14ac:dyDescent="0.35">
      <c r="A398" s="5" t="s">
        <v>2513</v>
      </c>
      <c r="B398" s="5" t="s">
        <v>2072</v>
      </c>
      <c r="C398" s="5" t="s">
        <v>990</v>
      </c>
      <c r="D398" s="5" t="s">
        <v>3060</v>
      </c>
      <c r="E398" s="5" t="s">
        <v>3263</v>
      </c>
      <c r="F398" s="58">
        <v>102678.57</v>
      </c>
      <c r="G398" s="5" t="s">
        <v>2452</v>
      </c>
      <c r="H398" s="5" t="s">
        <v>993</v>
      </c>
      <c r="I398" s="60">
        <v>1</v>
      </c>
      <c r="J398" s="5" t="s">
        <v>994</v>
      </c>
      <c r="K398" s="5" t="s">
        <v>995</v>
      </c>
      <c r="L398" s="5" t="s">
        <v>996</v>
      </c>
      <c r="M398" s="5">
        <v>8</v>
      </c>
      <c r="N398" s="5" t="str">
        <f t="shared" si="6"/>
        <v>Aug</v>
      </c>
    </row>
    <row r="399" spans="1:14" x14ac:dyDescent="0.35">
      <c r="A399" s="5" t="s">
        <v>2513</v>
      </c>
      <c r="B399" s="5" t="s">
        <v>2072</v>
      </c>
      <c r="C399" s="5" t="s">
        <v>990</v>
      </c>
      <c r="D399" s="5" t="s">
        <v>2451</v>
      </c>
      <c r="E399" s="5" t="s">
        <v>3264</v>
      </c>
      <c r="F399" s="58">
        <v>250000</v>
      </c>
      <c r="G399" s="5" t="s">
        <v>2452</v>
      </c>
      <c r="H399" s="5" t="s">
        <v>993</v>
      </c>
      <c r="I399" s="60">
        <v>1</v>
      </c>
      <c r="J399" s="5" t="s">
        <v>994</v>
      </c>
      <c r="K399" s="5" t="s">
        <v>995</v>
      </c>
      <c r="L399" s="5" t="s">
        <v>996</v>
      </c>
      <c r="M399" s="5">
        <v>8</v>
      </c>
      <c r="N399" s="5" t="str">
        <f t="shared" si="6"/>
        <v>Aug</v>
      </c>
    </row>
    <row r="400" spans="1:14" x14ac:dyDescent="0.35">
      <c r="A400" s="5" t="s">
        <v>2656</v>
      </c>
      <c r="B400" s="5" t="s">
        <v>1851</v>
      </c>
      <c r="C400" s="5" t="s">
        <v>990</v>
      </c>
      <c r="D400" s="5" t="s">
        <v>2514</v>
      </c>
      <c r="E400" s="5" t="s">
        <v>2661</v>
      </c>
      <c r="F400" s="58">
        <v>-0.01</v>
      </c>
      <c r="G400" s="5" t="s">
        <v>2456</v>
      </c>
      <c r="H400" s="5" t="s">
        <v>2662</v>
      </c>
      <c r="I400" s="60">
        <v>0</v>
      </c>
      <c r="J400" s="5" t="s">
        <v>994</v>
      </c>
      <c r="K400" s="5" t="s">
        <v>995</v>
      </c>
      <c r="L400" s="5" t="s">
        <v>996</v>
      </c>
      <c r="M400" s="5">
        <v>6</v>
      </c>
      <c r="N400" s="5" t="str">
        <f t="shared" si="6"/>
        <v>Jun</v>
      </c>
    </row>
    <row r="401" spans="1:14" x14ac:dyDescent="0.35">
      <c r="A401" s="5" t="s">
        <v>2656</v>
      </c>
      <c r="B401" s="5" t="s">
        <v>1851</v>
      </c>
      <c r="C401" s="5" t="s">
        <v>990</v>
      </c>
      <c r="D401" s="5" t="s">
        <v>2514</v>
      </c>
      <c r="E401" s="5" t="s">
        <v>2657</v>
      </c>
      <c r="F401" s="58">
        <v>189732.15</v>
      </c>
      <c r="G401" s="5" t="s">
        <v>2456</v>
      </c>
      <c r="H401" s="5" t="s">
        <v>2658</v>
      </c>
      <c r="I401" s="59">
        <v>0.5</v>
      </c>
      <c r="J401" s="5" t="s">
        <v>994</v>
      </c>
      <c r="K401" s="5" t="s">
        <v>995</v>
      </c>
      <c r="L401" s="5" t="s">
        <v>996</v>
      </c>
      <c r="M401" s="5">
        <v>6</v>
      </c>
      <c r="N401" s="5" t="str">
        <f t="shared" si="6"/>
        <v>Jun</v>
      </c>
    </row>
    <row r="402" spans="1:14" x14ac:dyDescent="0.35">
      <c r="A402" s="5" t="s">
        <v>2656</v>
      </c>
      <c r="B402" s="5" t="s">
        <v>1851</v>
      </c>
      <c r="C402" s="5" t="s">
        <v>990</v>
      </c>
      <c r="D402" s="5" t="s">
        <v>2457</v>
      </c>
      <c r="E402" s="5" t="s">
        <v>2659</v>
      </c>
      <c r="F402" s="58">
        <v>348214.29</v>
      </c>
      <c r="G402" s="5" t="s">
        <v>2454</v>
      </c>
      <c r="H402" s="5" t="s">
        <v>2660</v>
      </c>
      <c r="I402" s="59">
        <v>0.3</v>
      </c>
      <c r="J402" s="5" t="s">
        <v>994</v>
      </c>
      <c r="K402" s="5" t="s">
        <v>995</v>
      </c>
      <c r="L402" s="5" t="s">
        <v>996</v>
      </c>
      <c r="M402" s="5">
        <v>6</v>
      </c>
      <c r="N402" s="5" t="str">
        <f t="shared" si="6"/>
        <v>Jun</v>
      </c>
    </row>
    <row r="403" spans="1:14" x14ac:dyDescent="0.35">
      <c r="A403" s="5" t="s">
        <v>2656</v>
      </c>
      <c r="B403" s="5" t="s">
        <v>1851</v>
      </c>
      <c r="C403" s="5" t="s">
        <v>990</v>
      </c>
      <c r="D403" s="5" t="s">
        <v>2457</v>
      </c>
      <c r="E403" s="5" t="s">
        <v>3265</v>
      </c>
      <c r="F403" s="58">
        <v>696428.57</v>
      </c>
      <c r="G403" s="5" t="s">
        <v>2454</v>
      </c>
      <c r="H403" s="5" t="s">
        <v>3266</v>
      </c>
      <c r="I403" s="59">
        <v>0.6</v>
      </c>
      <c r="J403" s="5" t="s">
        <v>994</v>
      </c>
      <c r="K403" s="5" t="s">
        <v>995</v>
      </c>
      <c r="L403" s="5" t="s">
        <v>996</v>
      </c>
      <c r="M403" s="5">
        <v>8</v>
      </c>
      <c r="N403" s="5" t="str">
        <f t="shared" si="6"/>
        <v>Aug</v>
      </c>
    </row>
    <row r="404" spans="1:14" x14ac:dyDescent="0.35">
      <c r="A404" s="5" t="s">
        <v>2656</v>
      </c>
      <c r="B404" s="5" t="s">
        <v>1851</v>
      </c>
      <c r="C404" s="5" t="s">
        <v>990</v>
      </c>
      <c r="D404" s="5" t="s">
        <v>2457</v>
      </c>
      <c r="E404" s="5" t="s">
        <v>3267</v>
      </c>
      <c r="F404" s="58">
        <v>116071.43</v>
      </c>
      <c r="G404" s="5" t="s">
        <v>2454</v>
      </c>
      <c r="H404" s="5" t="s">
        <v>3266</v>
      </c>
      <c r="I404" s="59">
        <v>0.1</v>
      </c>
      <c r="J404" s="5" t="s">
        <v>994</v>
      </c>
      <c r="K404" s="5" t="s">
        <v>995</v>
      </c>
      <c r="L404" s="5" t="s">
        <v>996</v>
      </c>
      <c r="M404" s="5">
        <v>9</v>
      </c>
      <c r="N404" s="5" t="str">
        <f t="shared" si="6"/>
        <v>Sep</v>
      </c>
    </row>
    <row r="405" spans="1:14" x14ac:dyDescent="0.35">
      <c r="A405" s="5" t="s">
        <v>2656</v>
      </c>
      <c r="B405" s="5" t="s">
        <v>1851</v>
      </c>
      <c r="C405" s="5" t="s">
        <v>990</v>
      </c>
      <c r="D405" s="5" t="s">
        <v>2514</v>
      </c>
      <c r="E405" s="5" t="s">
        <v>3268</v>
      </c>
      <c r="F405" s="58">
        <v>189732.15</v>
      </c>
      <c r="G405" s="5" t="s">
        <v>2456</v>
      </c>
      <c r="H405" s="5" t="s">
        <v>2658</v>
      </c>
      <c r="I405" s="59">
        <v>0.5</v>
      </c>
      <c r="J405" s="5" t="s">
        <v>994</v>
      </c>
      <c r="K405" s="5" t="s">
        <v>995</v>
      </c>
      <c r="L405" s="5" t="s">
        <v>996</v>
      </c>
      <c r="M405" s="5">
        <v>9</v>
      </c>
      <c r="N405" s="5" t="str">
        <f t="shared" si="6"/>
        <v>Sep</v>
      </c>
    </row>
    <row r="406" spans="1:14" x14ac:dyDescent="0.35">
      <c r="A406" s="5" t="s">
        <v>2656</v>
      </c>
      <c r="B406" s="5" t="s">
        <v>1851</v>
      </c>
      <c r="C406" s="5" t="s">
        <v>990</v>
      </c>
      <c r="D406" s="5" t="s">
        <v>2514</v>
      </c>
      <c r="E406" s="5" t="s">
        <v>3269</v>
      </c>
      <c r="F406" s="58">
        <v>-0.01</v>
      </c>
      <c r="G406" s="5" t="s">
        <v>2456</v>
      </c>
      <c r="H406" s="5" t="s">
        <v>2514</v>
      </c>
      <c r="I406" s="60">
        <v>0</v>
      </c>
      <c r="J406" s="5" t="s">
        <v>994</v>
      </c>
      <c r="K406" s="5" t="s">
        <v>995</v>
      </c>
      <c r="L406" s="5" t="s">
        <v>996</v>
      </c>
      <c r="M406" s="5">
        <v>9</v>
      </c>
      <c r="N406" s="5" t="str">
        <f t="shared" si="6"/>
        <v>Sep</v>
      </c>
    </row>
    <row r="407" spans="1:14" x14ac:dyDescent="0.35">
      <c r="A407" s="5" t="s">
        <v>2656</v>
      </c>
      <c r="B407" s="5" t="s">
        <v>1851</v>
      </c>
      <c r="C407" s="5" t="s">
        <v>990</v>
      </c>
      <c r="D407" s="5" t="s">
        <v>2925</v>
      </c>
      <c r="E407" s="5" t="s">
        <v>2926</v>
      </c>
      <c r="F407" s="58">
        <v>23617.39</v>
      </c>
      <c r="G407" s="5" t="s">
        <v>2856</v>
      </c>
      <c r="H407" s="5" t="s">
        <v>2927</v>
      </c>
      <c r="I407" s="59">
        <v>0.63800000000000001</v>
      </c>
      <c r="J407" s="5" t="s">
        <v>994</v>
      </c>
      <c r="K407" s="5" t="s">
        <v>995</v>
      </c>
      <c r="L407" s="5" t="s">
        <v>996</v>
      </c>
      <c r="M407" s="5">
        <v>8</v>
      </c>
      <c r="N407" s="5" t="str">
        <f t="shared" si="6"/>
        <v>Aug</v>
      </c>
    </row>
    <row r="408" spans="1:14" x14ac:dyDescent="0.35">
      <c r="A408" s="5" t="s">
        <v>3270</v>
      </c>
      <c r="B408" s="5" t="s">
        <v>3271</v>
      </c>
      <c r="C408" s="5" t="s">
        <v>990</v>
      </c>
      <c r="D408" s="5" t="s">
        <v>2822</v>
      </c>
      <c r="E408" s="5" t="s">
        <v>3272</v>
      </c>
      <c r="F408" s="58">
        <v>507526.58</v>
      </c>
      <c r="G408" s="5" t="s">
        <v>2823</v>
      </c>
      <c r="H408" s="5" t="s">
        <v>993</v>
      </c>
      <c r="I408" s="60">
        <v>1</v>
      </c>
      <c r="J408" s="5" t="s">
        <v>994</v>
      </c>
      <c r="K408" s="5" t="s">
        <v>995</v>
      </c>
      <c r="L408" s="5" t="s">
        <v>996</v>
      </c>
      <c r="M408" s="5">
        <v>8</v>
      </c>
      <c r="N408" s="5" t="str">
        <f t="shared" si="6"/>
        <v>Aug</v>
      </c>
    </row>
    <row r="409" spans="1:14" x14ac:dyDescent="0.35">
      <c r="A409" s="5" t="s">
        <v>3270</v>
      </c>
      <c r="B409" s="5" t="s">
        <v>3271</v>
      </c>
      <c r="C409" s="5" t="s">
        <v>990</v>
      </c>
      <c r="D409" s="5" t="s">
        <v>2822</v>
      </c>
      <c r="E409" s="5" t="s">
        <v>3272</v>
      </c>
      <c r="F409" s="58">
        <v>1521371.14</v>
      </c>
      <c r="G409" s="5" t="s">
        <v>2824</v>
      </c>
      <c r="H409" s="5" t="s">
        <v>993</v>
      </c>
      <c r="I409" s="60">
        <v>1</v>
      </c>
      <c r="J409" s="5" t="s">
        <v>994</v>
      </c>
      <c r="K409" s="5" t="s">
        <v>995</v>
      </c>
      <c r="L409" s="5" t="s">
        <v>996</v>
      </c>
      <c r="M409" s="5">
        <v>8</v>
      </c>
      <c r="N409" s="5" t="str">
        <f t="shared" si="6"/>
        <v>Aug</v>
      </c>
    </row>
    <row r="410" spans="1:14" x14ac:dyDescent="0.35">
      <c r="A410" s="5" t="s">
        <v>2251</v>
      </c>
      <c r="B410" s="5" t="s">
        <v>960</v>
      </c>
      <c r="C410" s="5" t="s">
        <v>990</v>
      </c>
      <c r="D410" s="5" t="s">
        <v>1244</v>
      </c>
      <c r="E410" s="5" t="s">
        <v>1245</v>
      </c>
      <c r="F410" s="58">
        <v>250000</v>
      </c>
      <c r="G410" s="5" t="s">
        <v>1246</v>
      </c>
      <c r="H410" s="5" t="s">
        <v>993</v>
      </c>
      <c r="I410" s="59">
        <v>0.1</v>
      </c>
      <c r="J410" s="5" t="s">
        <v>994</v>
      </c>
      <c r="K410" s="5" t="s">
        <v>995</v>
      </c>
      <c r="L410" s="5" t="s">
        <v>996</v>
      </c>
      <c r="M410" s="5">
        <v>1</v>
      </c>
      <c r="N410" s="5" t="str">
        <f t="shared" si="6"/>
        <v>Jan</v>
      </c>
    </row>
    <row r="411" spans="1:14" x14ac:dyDescent="0.35">
      <c r="A411" s="5" t="s">
        <v>2252</v>
      </c>
      <c r="B411" s="5" t="s">
        <v>966</v>
      </c>
      <c r="C411" s="5" t="s">
        <v>990</v>
      </c>
      <c r="D411" s="5" t="s">
        <v>1247</v>
      </c>
      <c r="E411" s="5" t="s">
        <v>1248</v>
      </c>
      <c r="F411" s="58">
        <v>100000</v>
      </c>
      <c r="G411" s="5" t="s">
        <v>1249</v>
      </c>
      <c r="H411" s="5" t="s">
        <v>993</v>
      </c>
      <c r="I411" s="59">
        <v>0.1</v>
      </c>
      <c r="J411" s="5" t="s">
        <v>994</v>
      </c>
      <c r="K411" s="5" t="s">
        <v>995</v>
      </c>
      <c r="L411" s="5" t="s">
        <v>996</v>
      </c>
      <c r="M411" s="5">
        <v>1</v>
      </c>
      <c r="N411" s="5" t="str">
        <f t="shared" si="6"/>
        <v>Jan</v>
      </c>
    </row>
    <row r="412" spans="1:14" x14ac:dyDescent="0.35">
      <c r="A412" s="5" t="s">
        <v>3113</v>
      </c>
      <c r="B412" s="5" t="s">
        <v>967</v>
      </c>
      <c r="C412" s="5" t="s">
        <v>990</v>
      </c>
      <c r="D412" s="5" t="s">
        <v>1733</v>
      </c>
      <c r="E412" s="5" t="s">
        <v>3114</v>
      </c>
      <c r="F412" s="58">
        <v>181440</v>
      </c>
      <c r="G412" s="5" t="s">
        <v>1734</v>
      </c>
      <c r="H412" s="5" t="s">
        <v>993</v>
      </c>
      <c r="I412" s="59">
        <v>0.5</v>
      </c>
      <c r="J412" s="5" t="s">
        <v>994</v>
      </c>
      <c r="K412" s="5" t="s">
        <v>995</v>
      </c>
      <c r="L412" s="5" t="s">
        <v>996</v>
      </c>
      <c r="M412" s="5">
        <v>8</v>
      </c>
      <c r="N412" s="5" t="str">
        <f t="shared" si="6"/>
        <v>Aug</v>
      </c>
    </row>
    <row r="413" spans="1:14" x14ac:dyDescent="0.35">
      <c r="A413" s="5" t="s">
        <v>2253</v>
      </c>
      <c r="B413" s="5" t="s">
        <v>968</v>
      </c>
      <c r="C413" s="5" t="s">
        <v>990</v>
      </c>
      <c r="D413" s="5" t="s">
        <v>1250</v>
      </c>
      <c r="E413" s="5" t="s">
        <v>1251</v>
      </c>
      <c r="F413" s="58">
        <v>17321.43</v>
      </c>
      <c r="G413" s="5" t="s">
        <v>1252</v>
      </c>
      <c r="H413" s="5" t="s">
        <v>993</v>
      </c>
      <c r="I413" s="60">
        <v>1</v>
      </c>
      <c r="J413" s="5" t="s">
        <v>994</v>
      </c>
      <c r="K413" s="5" t="s">
        <v>995</v>
      </c>
      <c r="L413" s="5" t="s">
        <v>996</v>
      </c>
      <c r="M413" s="5">
        <v>1</v>
      </c>
      <c r="N413" s="5" t="str">
        <f t="shared" si="6"/>
        <v>Jan</v>
      </c>
    </row>
    <row r="414" spans="1:14" x14ac:dyDescent="0.35">
      <c r="A414" s="5" t="s">
        <v>2253</v>
      </c>
      <c r="B414" s="5" t="s">
        <v>968</v>
      </c>
      <c r="C414" s="5" t="s">
        <v>990</v>
      </c>
      <c r="D414" s="5" t="s">
        <v>1250</v>
      </c>
      <c r="E414" s="5" t="s">
        <v>1251</v>
      </c>
      <c r="F414" s="58">
        <v>3482.14</v>
      </c>
      <c r="G414" s="5" t="s">
        <v>1253</v>
      </c>
      <c r="H414" s="5" t="s">
        <v>993</v>
      </c>
      <c r="I414" s="60">
        <v>1</v>
      </c>
      <c r="J414" s="5" t="s">
        <v>994</v>
      </c>
      <c r="K414" s="5" t="s">
        <v>995</v>
      </c>
      <c r="L414" s="5" t="s">
        <v>996</v>
      </c>
      <c r="M414" s="5">
        <v>1</v>
      </c>
      <c r="N414" s="5" t="str">
        <f t="shared" si="6"/>
        <v>Jan</v>
      </c>
    </row>
    <row r="415" spans="1:14" x14ac:dyDescent="0.35">
      <c r="A415" s="5" t="s">
        <v>2253</v>
      </c>
      <c r="B415" s="5" t="s">
        <v>968</v>
      </c>
      <c r="C415" s="5" t="s">
        <v>990</v>
      </c>
      <c r="D415" s="5" t="s">
        <v>1250</v>
      </c>
      <c r="E415" s="5" t="s">
        <v>1251</v>
      </c>
      <c r="F415" s="58">
        <v>10431.25</v>
      </c>
      <c r="G415" s="5" t="s">
        <v>1254</v>
      </c>
      <c r="H415" s="5" t="s">
        <v>993</v>
      </c>
      <c r="I415" s="60">
        <v>1</v>
      </c>
      <c r="J415" s="5" t="s">
        <v>994</v>
      </c>
      <c r="K415" s="5" t="s">
        <v>995</v>
      </c>
      <c r="L415" s="5" t="s">
        <v>996</v>
      </c>
      <c r="M415" s="5">
        <v>1</v>
      </c>
      <c r="N415" s="5" t="str">
        <f t="shared" si="6"/>
        <v>Jan</v>
      </c>
    </row>
    <row r="416" spans="1:14" x14ac:dyDescent="0.35">
      <c r="A416" s="5" t="s">
        <v>2253</v>
      </c>
      <c r="B416" s="5" t="s">
        <v>968</v>
      </c>
      <c r="C416" s="5" t="s">
        <v>990</v>
      </c>
      <c r="D416" s="5" t="s">
        <v>1250</v>
      </c>
      <c r="E416" s="5" t="s">
        <v>1251</v>
      </c>
      <c r="F416" s="58">
        <v>1364.29</v>
      </c>
      <c r="G416" s="5" t="s">
        <v>1255</v>
      </c>
      <c r="H416" s="5" t="s">
        <v>993</v>
      </c>
      <c r="I416" s="60">
        <v>1</v>
      </c>
      <c r="J416" s="5" t="s">
        <v>994</v>
      </c>
      <c r="K416" s="5" t="s">
        <v>995</v>
      </c>
      <c r="L416" s="5" t="s">
        <v>996</v>
      </c>
      <c r="M416" s="5">
        <v>1</v>
      </c>
      <c r="N416" s="5" t="str">
        <f t="shared" si="6"/>
        <v>Jan</v>
      </c>
    </row>
    <row r="417" spans="1:14" x14ac:dyDescent="0.35">
      <c r="A417" s="5" t="s">
        <v>2253</v>
      </c>
      <c r="B417" s="5" t="s">
        <v>968</v>
      </c>
      <c r="C417" s="5" t="s">
        <v>990</v>
      </c>
      <c r="D417" s="5" t="s">
        <v>1256</v>
      </c>
      <c r="E417" s="5" t="s">
        <v>1257</v>
      </c>
      <c r="F417" s="58">
        <v>25714.29</v>
      </c>
      <c r="G417" s="5" t="s">
        <v>1258</v>
      </c>
      <c r="H417" s="5" t="s">
        <v>993</v>
      </c>
      <c r="I417" s="60">
        <v>1</v>
      </c>
      <c r="J417" s="5" t="s">
        <v>994</v>
      </c>
      <c r="K417" s="5" t="s">
        <v>995</v>
      </c>
      <c r="L417" s="5" t="s">
        <v>996</v>
      </c>
      <c r="M417" s="5">
        <v>1</v>
      </c>
      <c r="N417" s="5" t="str">
        <f t="shared" si="6"/>
        <v>Jan</v>
      </c>
    </row>
    <row r="418" spans="1:14" x14ac:dyDescent="0.35">
      <c r="A418" s="5" t="s">
        <v>2253</v>
      </c>
      <c r="B418" s="5" t="s">
        <v>968</v>
      </c>
      <c r="C418" s="5" t="s">
        <v>990</v>
      </c>
      <c r="D418" s="5" t="s">
        <v>1256</v>
      </c>
      <c r="E418" s="5" t="s">
        <v>1257</v>
      </c>
      <c r="F418" s="58">
        <v>803.57</v>
      </c>
      <c r="G418" s="5" t="s">
        <v>1259</v>
      </c>
      <c r="H418" s="5" t="s">
        <v>993</v>
      </c>
      <c r="I418" s="60">
        <v>1</v>
      </c>
      <c r="J418" s="5" t="s">
        <v>994</v>
      </c>
      <c r="K418" s="5" t="s">
        <v>995</v>
      </c>
      <c r="L418" s="5" t="s">
        <v>996</v>
      </c>
      <c r="M418" s="5">
        <v>1</v>
      </c>
      <c r="N418" s="5" t="str">
        <f t="shared" si="6"/>
        <v>Jan</v>
      </c>
    </row>
    <row r="419" spans="1:14" x14ac:dyDescent="0.35">
      <c r="A419" s="5" t="s">
        <v>2253</v>
      </c>
      <c r="B419" s="5" t="s">
        <v>968</v>
      </c>
      <c r="C419" s="5" t="s">
        <v>990</v>
      </c>
      <c r="D419" s="5" t="s">
        <v>1256</v>
      </c>
      <c r="E419" s="5" t="s">
        <v>1257</v>
      </c>
      <c r="F419" s="58">
        <v>3794.64</v>
      </c>
      <c r="G419" s="5" t="s">
        <v>1260</v>
      </c>
      <c r="H419" s="5" t="s">
        <v>993</v>
      </c>
      <c r="I419" s="60">
        <v>1</v>
      </c>
      <c r="J419" s="5" t="s">
        <v>994</v>
      </c>
      <c r="K419" s="5" t="s">
        <v>995</v>
      </c>
      <c r="L419" s="5" t="s">
        <v>996</v>
      </c>
      <c r="M419" s="5">
        <v>1</v>
      </c>
      <c r="N419" s="5" t="str">
        <f t="shared" si="6"/>
        <v>Jan</v>
      </c>
    </row>
    <row r="420" spans="1:14" x14ac:dyDescent="0.35">
      <c r="A420" s="5" t="s">
        <v>2253</v>
      </c>
      <c r="B420" s="5" t="s">
        <v>968</v>
      </c>
      <c r="C420" s="5" t="s">
        <v>990</v>
      </c>
      <c r="D420" s="5" t="s">
        <v>1269</v>
      </c>
      <c r="E420" s="5" t="s">
        <v>1270</v>
      </c>
      <c r="F420" s="58">
        <v>5625</v>
      </c>
      <c r="G420" s="5" t="s">
        <v>1271</v>
      </c>
      <c r="H420" s="5" t="s">
        <v>993</v>
      </c>
      <c r="I420" s="60">
        <v>1</v>
      </c>
      <c r="J420" s="5" t="s">
        <v>994</v>
      </c>
      <c r="K420" s="5" t="s">
        <v>995</v>
      </c>
      <c r="L420" s="5" t="s">
        <v>996</v>
      </c>
      <c r="M420" s="5">
        <v>3</v>
      </c>
      <c r="N420" s="5" t="str">
        <f t="shared" si="6"/>
        <v>Mar</v>
      </c>
    </row>
    <row r="421" spans="1:14" x14ac:dyDescent="0.35">
      <c r="A421" s="5" t="s">
        <v>2253</v>
      </c>
      <c r="B421" s="5" t="s">
        <v>968</v>
      </c>
      <c r="C421" s="5" t="s">
        <v>990</v>
      </c>
      <c r="D421" s="5" t="s">
        <v>1266</v>
      </c>
      <c r="E421" s="5" t="s">
        <v>1960</v>
      </c>
      <c r="F421" s="58">
        <v>-6428571.4299999997</v>
      </c>
      <c r="G421" s="5" t="s">
        <v>1268</v>
      </c>
      <c r="H421" s="5" t="s">
        <v>993</v>
      </c>
      <c r="I421" s="60">
        <v>-1</v>
      </c>
      <c r="J421" s="5" t="s">
        <v>994</v>
      </c>
      <c r="K421" s="5" t="s">
        <v>995</v>
      </c>
      <c r="L421" s="5" t="s">
        <v>996</v>
      </c>
      <c r="M421" s="5">
        <v>4</v>
      </c>
      <c r="N421" s="5" t="str">
        <f t="shared" si="6"/>
        <v>Apr</v>
      </c>
    </row>
    <row r="422" spans="1:14" x14ac:dyDescent="0.35">
      <c r="A422" s="5" t="s">
        <v>2253</v>
      </c>
      <c r="B422" s="5" t="s">
        <v>968</v>
      </c>
      <c r="C422" s="5" t="s">
        <v>990</v>
      </c>
      <c r="D422" s="5" t="s">
        <v>1266</v>
      </c>
      <c r="E422" s="5" t="s">
        <v>1964</v>
      </c>
      <c r="F422" s="58">
        <v>-2571428.5699999998</v>
      </c>
      <c r="G422" s="5" t="s">
        <v>1268</v>
      </c>
      <c r="H422" s="5" t="s">
        <v>993</v>
      </c>
      <c r="I422" s="59">
        <v>-0.4</v>
      </c>
      <c r="J422" s="5" t="s">
        <v>994</v>
      </c>
      <c r="K422" s="5" t="s">
        <v>995</v>
      </c>
      <c r="L422" s="5" t="s">
        <v>996</v>
      </c>
      <c r="M422" s="5">
        <v>4</v>
      </c>
      <c r="N422" s="5" t="str">
        <f t="shared" si="6"/>
        <v>Apr</v>
      </c>
    </row>
    <row r="423" spans="1:14" x14ac:dyDescent="0.35">
      <c r="A423" s="5" t="s">
        <v>2253</v>
      </c>
      <c r="B423" s="5" t="s">
        <v>968</v>
      </c>
      <c r="C423" s="5" t="s">
        <v>990</v>
      </c>
      <c r="D423" s="5" t="s">
        <v>1266</v>
      </c>
      <c r="E423" s="5" t="s">
        <v>1961</v>
      </c>
      <c r="F423" s="58">
        <v>1928571.43</v>
      </c>
      <c r="G423" s="5" t="s">
        <v>1268</v>
      </c>
      <c r="H423" s="5" t="s">
        <v>993</v>
      </c>
      <c r="I423" s="59">
        <v>0.3</v>
      </c>
      <c r="J423" s="5" t="s">
        <v>994</v>
      </c>
      <c r="K423" s="5" t="s">
        <v>995</v>
      </c>
      <c r="L423" s="5" t="s">
        <v>996</v>
      </c>
      <c r="M423" s="5">
        <v>4</v>
      </c>
      <c r="N423" s="5" t="str">
        <f t="shared" si="6"/>
        <v>Apr</v>
      </c>
    </row>
    <row r="424" spans="1:14" x14ac:dyDescent="0.35">
      <c r="A424" s="5" t="s">
        <v>2253</v>
      </c>
      <c r="B424" s="5" t="s">
        <v>968</v>
      </c>
      <c r="C424" s="5" t="s">
        <v>990</v>
      </c>
      <c r="D424" s="5" t="s">
        <v>1266</v>
      </c>
      <c r="E424" s="5" t="s">
        <v>1962</v>
      </c>
      <c r="F424" s="58">
        <v>1928571.43</v>
      </c>
      <c r="G424" s="5" t="s">
        <v>1268</v>
      </c>
      <c r="H424" s="5" t="s">
        <v>993</v>
      </c>
      <c r="I424" s="59">
        <v>0.3</v>
      </c>
      <c r="J424" s="5" t="s">
        <v>994</v>
      </c>
      <c r="K424" s="5" t="s">
        <v>995</v>
      </c>
      <c r="L424" s="5" t="s">
        <v>996</v>
      </c>
      <c r="M424" s="5">
        <v>4</v>
      </c>
      <c r="N424" s="5" t="str">
        <f t="shared" si="6"/>
        <v>Apr</v>
      </c>
    </row>
    <row r="425" spans="1:14" x14ac:dyDescent="0.35">
      <c r="A425" s="5" t="s">
        <v>2253</v>
      </c>
      <c r="B425" s="5" t="s">
        <v>968</v>
      </c>
      <c r="C425" s="5" t="s">
        <v>990</v>
      </c>
      <c r="D425" s="5" t="s">
        <v>1266</v>
      </c>
      <c r="E425" s="5" t="s">
        <v>1965</v>
      </c>
      <c r="F425" s="58">
        <v>2571428.5699999998</v>
      </c>
      <c r="G425" s="5" t="s">
        <v>1268</v>
      </c>
      <c r="H425" s="5" t="s">
        <v>993</v>
      </c>
      <c r="I425" s="59">
        <v>0.4</v>
      </c>
      <c r="J425" s="5" t="s">
        <v>994</v>
      </c>
      <c r="K425" s="5" t="s">
        <v>995</v>
      </c>
      <c r="L425" s="5" t="s">
        <v>996</v>
      </c>
      <c r="M425" s="5">
        <v>4</v>
      </c>
      <c r="N425" s="5" t="str">
        <f t="shared" si="6"/>
        <v>Apr</v>
      </c>
    </row>
    <row r="426" spans="1:14" x14ac:dyDescent="0.35">
      <c r="A426" s="5" t="s">
        <v>2253</v>
      </c>
      <c r="B426" s="5" t="s">
        <v>968</v>
      </c>
      <c r="C426" s="5" t="s">
        <v>990</v>
      </c>
      <c r="D426" s="5" t="s">
        <v>1250</v>
      </c>
      <c r="E426" s="5" t="s">
        <v>1264</v>
      </c>
      <c r="F426" s="58">
        <v>-21.35</v>
      </c>
      <c r="G426" s="5" t="s">
        <v>1252</v>
      </c>
      <c r="H426" s="5" t="s">
        <v>1265</v>
      </c>
      <c r="I426" s="60">
        <v>0</v>
      </c>
      <c r="J426" s="5" t="s">
        <v>994</v>
      </c>
      <c r="K426" s="5" t="s">
        <v>995</v>
      </c>
      <c r="L426" s="5" t="s">
        <v>996</v>
      </c>
      <c r="M426" s="5">
        <v>1</v>
      </c>
      <c r="N426" s="5" t="str">
        <f t="shared" si="6"/>
        <v>Jan</v>
      </c>
    </row>
    <row r="427" spans="1:14" x14ac:dyDescent="0.35">
      <c r="A427" s="5" t="s">
        <v>2253</v>
      </c>
      <c r="B427" s="5" t="s">
        <v>968</v>
      </c>
      <c r="C427" s="5" t="s">
        <v>990</v>
      </c>
      <c r="D427" s="5" t="s">
        <v>1250</v>
      </c>
      <c r="E427" s="5" t="s">
        <v>1264</v>
      </c>
      <c r="F427" s="58">
        <v>-4.29</v>
      </c>
      <c r="G427" s="5" t="s">
        <v>1253</v>
      </c>
      <c r="H427" s="5" t="s">
        <v>1265</v>
      </c>
      <c r="I427" s="60">
        <v>0</v>
      </c>
      <c r="J427" s="5" t="s">
        <v>994</v>
      </c>
      <c r="K427" s="5" t="s">
        <v>995</v>
      </c>
      <c r="L427" s="5" t="s">
        <v>996</v>
      </c>
      <c r="M427" s="5">
        <v>1</v>
      </c>
      <c r="N427" s="5" t="str">
        <f t="shared" si="6"/>
        <v>Jan</v>
      </c>
    </row>
    <row r="428" spans="1:14" x14ac:dyDescent="0.35">
      <c r="A428" s="5" t="s">
        <v>2253</v>
      </c>
      <c r="B428" s="5" t="s">
        <v>968</v>
      </c>
      <c r="C428" s="5" t="s">
        <v>990</v>
      </c>
      <c r="D428" s="5" t="s">
        <v>1250</v>
      </c>
      <c r="E428" s="5" t="s">
        <v>1264</v>
      </c>
      <c r="F428" s="58">
        <v>-12.86</v>
      </c>
      <c r="G428" s="5" t="s">
        <v>1254</v>
      </c>
      <c r="H428" s="5" t="s">
        <v>1265</v>
      </c>
      <c r="I428" s="60">
        <v>0</v>
      </c>
      <c r="J428" s="5" t="s">
        <v>994</v>
      </c>
      <c r="K428" s="5" t="s">
        <v>995</v>
      </c>
      <c r="L428" s="5" t="s">
        <v>996</v>
      </c>
      <c r="M428" s="5">
        <v>1</v>
      </c>
      <c r="N428" s="5" t="str">
        <f t="shared" si="6"/>
        <v>Jan</v>
      </c>
    </row>
    <row r="429" spans="1:14" x14ac:dyDescent="0.35">
      <c r="A429" s="5" t="s">
        <v>2253</v>
      </c>
      <c r="B429" s="5" t="s">
        <v>968</v>
      </c>
      <c r="C429" s="5" t="s">
        <v>990</v>
      </c>
      <c r="D429" s="5" t="s">
        <v>1250</v>
      </c>
      <c r="E429" s="5" t="s">
        <v>1264</v>
      </c>
      <c r="F429" s="58">
        <v>-1.68</v>
      </c>
      <c r="G429" s="5" t="s">
        <v>1255</v>
      </c>
      <c r="H429" s="5" t="s">
        <v>1265</v>
      </c>
      <c r="I429" s="60">
        <v>0</v>
      </c>
      <c r="J429" s="5" t="s">
        <v>994</v>
      </c>
      <c r="K429" s="5" t="s">
        <v>995</v>
      </c>
      <c r="L429" s="5" t="s">
        <v>996</v>
      </c>
      <c r="M429" s="5">
        <v>1</v>
      </c>
      <c r="N429" s="5" t="str">
        <f t="shared" si="6"/>
        <v>Jan</v>
      </c>
    </row>
    <row r="430" spans="1:14" x14ac:dyDescent="0.35">
      <c r="A430" s="5" t="s">
        <v>2253</v>
      </c>
      <c r="B430" s="5" t="s">
        <v>968</v>
      </c>
      <c r="C430" s="5" t="s">
        <v>990</v>
      </c>
      <c r="D430" s="5" t="s">
        <v>1261</v>
      </c>
      <c r="E430" s="5" t="s">
        <v>1262</v>
      </c>
      <c r="F430" s="58">
        <v>4325</v>
      </c>
      <c r="G430" s="5" t="s">
        <v>1263</v>
      </c>
      <c r="H430" s="5" t="s">
        <v>993</v>
      </c>
      <c r="I430" s="60">
        <v>1</v>
      </c>
      <c r="J430" s="5" t="s">
        <v>994</v>
      </c>
      <c r="K430" s="5" t="s">
        <v>995</v>
      </c>
      <c r="L430" s="5" t="s">
        <v>996</v>
      </c>
      <c r="M430" s="5">
        <v>1</v>
      </c>
      <c r="N430" s="5" t="str">
        <f t="shared" si="6"/>
        <v>Jan</v>
      </c>
    </row>
    <row r="431" spans="1:14" x14ac:dyDescent="0.35">
      <c r="A431" s="5" t="s">
        <v>2253</v>
      </c>
      <c r="B431" s="5" t="s">
        <v>968</v>
      </c>
      <c r="C431" s="5" t="s">
        <v>990</v>
      </c>
      <c r="D431" s="5" t="s">
        <v>1266</v>
      </c>
      <c r="E431" s="5" t="s">
        <v>1274</v>
      </c>
      <c r="F431" s="58">
        <v>-6428571.4299999997</v>
      </c>
      <c r="G431" s="5" t="s">
        <v>1268</v>
      </c>
      <c r="H431" s="5" t="s">
        <v>993</v>
      </c>
      <c r="I431" s="60">
        <v>-1</v>
      </c>
      <c r="J431" s="5" t="s">
        <v>994</v>
      </c>
      <c r="K431" s="5" t="s">
        <v>995</v>
      </c>
      <c r="L431" s="5" t="s">
        <v>996</v>
      </c>
      <c r="M431" s="5">
        <v>3</v>
      </c>
      <c r="N431" s="5" t="str">
        <f t="shared" si="6"/>
        <v>Mar</v>
      </c>
    </row>
    <row r="432" spans="1:14" x14ac:dyDescent="0.35">
      <c r="A432" s="5" t="s">
        <v>2253</v>
      </c>
      <c r="B432" s="5" t="s">
        <v>968</v>
      </c>
      <c r="C432" s="5" t="s">
        <v>990</v>
      </c>
      <c r="D432" s="5" t="s">
        <v>1269</v>
      </c>
      <c r="E432" s="5" t="s">
        <v>1270</v>
      </c>
      <c r="F432" s="58">
        <v>5357.14</v>
      </c>
      <c r="G432" s="5" t="s">
        <v>1272</v>
      </c>
      <c r="H432" s="5" t="s">
        <v>993</v>
      </c>
      <c r="I432" s="60">
        <v>6</v>
      </c>
      <c r="J432" s="5" t="s">
        <v>994</v>
      </c>
      <c r="K432" s="5" t="s">
        <v>995</v>
      </c>
      <c r="L432" s="5" t="s">
        <v>996</v>
      </c>
      <c r="M432" s="5">
        <v>3</v>
      </c>
      <c r="N432" s="5" t="str">
        <f t="shared" si="6"/>
        <v>Mar</v>
      </c>
    </row>
    <row r="433" spans="1:14" x14ac:dyDescent="0.35">
      <c r="A433" s="5" t="s">
        <v>2253</v>
      </c>
      <c r="B433" s="5" t="s">
        <v>968</v>
      </c>
      <c r="C433" s="5" t="s">
        <v>990</v>
      </c>
      <c r="D433" s="5" t="s">
        <v>1269</v>
      </c>
      <c r="E433" s="5" t="s">
        <v>1270</v>
      </c>
      <c r="F433" s="58">
        <v>1785.71</v>
      </c>
      <c r="G433" s="5" t="s">
        <v>1273</v>
      </c>
      <c r="H433" s="5" t="s">
        <v>993</v>
      </c>
      <c r="I433" s="60">
        <v>1</v>
      </c>
      <c r="J433" s="5" t="s">
        <v>994</v>
      </c>
      <c r="K433" s="5" t="s">
        <v>995</v>
      </c>
      <c r="L433" s="5" t="s">
        <v>996</v>
      </c>
      <c r="M433" s="5">
        <v>3</v>
      </c>
      <c r="N433" s="5" t="str">
        <f t="shared" si="6"/>
        <v>Mar</v>
      </c>
    </row>
    <row r="434" spans="1:14" x14ac:dyDescent="0.35">
      <c r="A434" s="5" t="s">
        <v>2253</v>
      </c>
      <c r="B434" s="5" t="s">
        <v>968</v>
      </c>
      <c r="C434" s="5" t="s">
        <v>990</v>
      </c>
      <c r="D434" s="5" t="s">
        <v>1266</v>
      </c>
      <c r="E434" s="5" t="s">
        <v>1275</v>
      </c>
      <c r="F434" s="58">
        <v>6428571.4299999997</v>
      </c>
      <c r="G434" s="5" t="s">
        <v>1268</v>
      </c>
      <c r="H434" s="5" t="s">
        <v>993</v>
      </c>
      <c r="I434" s="60">
        <v>1</v>
      </c>
      <c r="J434" s="5" t="s">
        <v>994</v>
      </c>
      <c r="K434" s="5" t="s">
        <v>995</v>
      </c>
      <c r="L434" s="5" t="s">
        <v>996</v>
      </c>
      <c r="M434" s="5">
        <v>3</v>
      </c>
      <c r="N434" s="5" t="str">
        <f t="shared" si="6"/>
        <v>Mar</v>
      </c>
    </row>
    <row r="435" spans="1:14" x14ac:dyDescent="0.35">
      <c r="A435" s="5" t="s">
        <v>2253</v>
      </c>
      <c r="B435" s="5" t="s">
        <v>968</v>
      </c>
      <c r="C435" s="5" t="s">
        <v>990</v>
      </c>
      <c r="D435" s="5" t="s">
        <v>1266</v>
      </c>
      <c r="E435" s="5" t="s">
        <v>1963</v>
      </c>
      <c r="F435" s="58">
        <v>2571428.5699999998</v>
      </c>
      <c r="G435" s="5" t="s">
        <v>1268</v>
      </c>
      <c r="H435" s="5" t="s">
        <v>993</v>
      </c>
      <c r="I435" s="59">
        <v>0.4</v>
      </c>
      <c r="J435" s="5" t="s">
        <v>994</v>
      </c>
      <c r="K435" s="5" t="s">
        <v>995</v>
      </c>
      <c r="L435" s="5" t="s">
        <v>996</v>
      </c>
      <c r="M435" s="5">
        <v>4</v>
      </c>
      <c r="N435" s="5" t="str">
        <f t="shared" si="6"/>
        <v>Apr</v>
      </c>
    </row>
    <row r="436" spans="1:14" x14ac:dyDescent="0.35">
      <c r="A436" s="5" t="s">
        <v>2253</v>
      </c>
      <c r="B436" s="5" t="s">
        <v>968</v>
      </c>
      <c r="C436" s="5" t="s">
        <v>990</v>
      </c>
      <c r="D436" s="5" t="s">
        <v>1748</v>
      </c>
      <c r="E436" s="5" t="s">
        <v>2663</v>
      </c>
      <c r="F436" s="58">
        <v>178571.43</v>
      </c>
      <c r="G436" s="5" t="s">
        <v>1749</v>
      </c>
      <c r="H436" s="5" t="s">
        <v>993</v>
      </c>
      <c r="I436" s="60">
        <v>1</v>
      </c>
      <c r="J436" s="5" t="s">
        <v>994</v>
      </c>
      <c r="K436" s="5" t="s">
        <v>995</v>
      </c>
      <c r="L436" s="5" t="s">
        <v>996</v>
      </c>
      <c r="M436" s="5">
        <v>6</v>
      </c>
      <c r="N436" s="5" t="str">
        <f t="shared" si="6"/>
        <v>Jun</v>
      </c>
    </row>
    <row r="437" spans="1:14" x14ac:dyDescent="0.35">
      <c r="A437" s="5" t="s">
        <v>2253</v>
      </c>
      <c r="B437" s="5" t="s">
        <v>968</v>
      </c>
      <c r="C437" s="5" t="s">
        <v>990</v>
      </c>
      <c r="D437" s="5" t="s">
        <v>2464</v>
      </c>
      <c r="E437" s="5" t="s">
        <v>2664</v>
      </c>
      <c r="F437" s="58">
        <v>2633.93</v>
      </c>
      <c r="G437" s="5" t="s">
        <v>2465</v>
      </c>
      <c r="H437" s="5" t="s">
        <v>993</v>
      </c>
      <c r="I437" s="60">
        <v>1</v>
      </c>
      <c r="J437" s="5" t="s">
        <v>994</v>
      </c>
      <c r="K437" s="5" t="s">
        <v>995</v>
      </c>
      <c r="L437" s="5" t="s">
        <v>996</v>
      </c>
      <c r="M437" s="5">
        <v>6</v>
      </c>
      <c r="N437" s="5" t="str">
        <f t="shared" si="6"/>
        <v>Jun</v>
      </c>
    </row>
    <row r="438" spans="1:14" x14ac:dyDescent="0.35">
      <c r="A438" s="5" t="s">
        <v>2253</v>
      </c>
      <c r="B438" s="5" t="s">
        <v>968</v>
      </c>
      <c r="C438" s="5" t="s">
        <v>990</v>
      </c>
      <c r="D438" s="5" t="s">
        <v>2464</v>
      </c>
      <c r="E438" s="5" t="s">
        <v>2664</v>
      </c>
      <c r="F438" s="58">
        <v>2053.5700000000002</v>
      </c>
      <c r="G438" s="5" t="s">
        <v>2515</v>
      </c>
      <c r="H438" s="5" t="s">
        <v>993</v>
      </c>
      <c r="I438" s="60">
        <v>1</v>
      </c>
      <c r="J438" s="5" t="s">
        <v>994</v>
      </c>
      <c r="K438" s="5" t="s">
        <v>995</v>
      </c>
      <c r="L438" s="5" t="s">
        <v>996</v>
      </c>
      <c r="M438" s="5">
        <v>6</v>
      </c>
      <c r="N438" s="5" t="str">
        <f t="shared" si="6"/>
        <v>Jun</v>
      </c>
    </row>
    <row r="439" spans="1:14" x14ac:dyDescent="0.35">
      <c r="A439" s="5" t="s">
        <v>2253</v>
      </c>
      <c r="B439" s="5" t="s">
        <v>968</v>
      </c>
      <c r="C439" s="5" t="s">
        <v>990</v>
      </c>
      <c r="D439" s="5" t="s">
        <v>2254</v>
      </c>
      <c r="E439" s="5" t="s">
        <v>2255</v>
      </c>
      <c r="F439" s="58">
        <v>58035.71</v>
      </c>
      <c r="G439" s="5" t="s">
        <v>2256</v>
      </c>
      <c r="H439" s="5" t="s">
        <v>993</v>
      </c>
      <c r="I439" s="60">
        <v>1</v>
      </c>
      <c r="J439" s="5" t="s">
        <v>994</v>
      </c>
      <c r="K439" s="5" t="s">
        <v>995</v>
      </c>
      <c r="L439" s="5" t="s">
        <v>996</v>
      </c>
      <c r="M439" s="5">
        <v>5</v>
      </c>
      <c r="N439" s="5" t="str">
        <f t="shared" si="6"/>
        <v>May</v>
      </c>
    </row>
    <row r="440" spans="1:14" x14ac:dyDescent="0.35">
      <c r="A440" s="5" t="s">
        <v>2253</v>
      </c>
      <c r="B440" s="5" t="s">
        <v>968</v>
      </c>
      <c r="C440" s="5" t="s">
        <v>990</v>
      </c>
      <c r="D440" s="5" t="s">
        <v>1266</v>
      </c>
      <c r="E440" s="5" t="s">
        <v>1267</v>
      </c>
      <c r="F440" s="58">
        <v>6428571.4299999997</v>
      </c>
      <c r="G440" s="5" t="s">
        <v>1268</v>
      </c>
      <c r="H440" s="5" t="s">
        <v>993</v>
      </c>
      <c r="I440" s="60">
        <v>1</v>
      </c>
      <c r="J440" s="5" t="s">
        <v>994</v>
      </c>
      <c r="K440" s="5" t="s">
        <v>995</v>
      </c>
      <c r="L440" s="5" t="s">
        <v>996</v>
      </c>
      <c r="M440" s="5">
        <v>2</v>
      </c>
      <c r="N440" s="5" t="str">
        <f t="shared" si="6"/>
        <v>Feb</v>
      </c>
    </row>
    <row r="441" spans="1:14" x14ac:dyDescent="0.35">
      <c r="A441" s="5" t="s">
        <v>2257</v>
      </c>
      <c r="B441" s="5" t="s">
        <v>1276</v>
      </c>
      <c r="C441" s="5" t="s">
        <v>990</v>
      </c>
      <c r="D441" s="5" t="s">
        <v>1277</v>
      </c>
      <c r="E441" s="5" t="s">
        <v>1278</v>
      </c>
      <c r="F441" s="58">
        <v>209000</v>
      </c>
      <c r="G441" s="5" t="s">
        <v>1279</v>
      </c>
      <c r="H441" s="5" t="s">
        <v>993</v>
      </c>
      <c r="I441" s="60">
        <v>1</v>
      </c>
      <c r="J441" s="5" t="s">
        <v>994</v>
      </c>
      <c r="K441" s="5" t="s">
        <v>995</v>
      </c>
      <c r="L441" s="5" t="s">
        <v>996</v>
      </c>
      <c r="M441" s="5">
        <v>1</v>
      </c>
      <c r="N441" s="5" t="str">
        <f t="shared" si="6"/>
        <v>Jan</v>
      </c>
    </row>
    <row r="442" spans="1:14" x14ac:dyDescent="0.35">
      <c r="A442" s="5" t="s">
        <v>2258</v>
      </c>
      <c r="B442" s="5" t="s">
        <v>4</v>
      </c>
      <c r="C442" s="5" t="s">
        <v>990</v>
      </c>
      <c r="D442" s="5" t="s">
        <v>1280</v>
      </c>
      <c r="E442" s="5" t="s">
        <v>1281</v>
      </c>
      <c r="F442" s="58">
        <v>1828571.43</v>
      </c>
      <c r="G442" s="5" t="s">
        <v>1282</v>
      </c>
      <c r="H442" s="5" t="s">
        <v>993</v>
      </c>
      <c r="I442" s="60">
        <v>1</v>
      </c>
      <c r="J442" s="5" t="s">
        <v>994</v>
      </c>
      <c r="K442" s="5" t="s">
        <v>995</v>
      </c>
      <c r="L442" s="5" t="s">
        <v>996</v>
      </c>
      <c r="M442" s="5">
        <v>2</v>
      </c>
      <c r="N442" s="5" t="str">
        <f t="shared" si="6"/>
        <v>Feb</v>
      </c>
    </row>
    <row r="443" spans="1:14" x14ac:dyDescent="0.35">
      <c r="A443" s="5" t="s">
        <v>2259</v>
      </c>
      <c r="B443" s="5" t="s">
        <v>59</v>
      </c>
      <c r="C443" s="5" t="s">
        <v>990</v>
      </c>
      <c r="D443" s="5" t="s">
        <v>1283</v>
      </c>
      <c r="E443" s="5" t="s">
        <v>1284</v>
      </c>
      <c r="F443" s="58">
        <v>138392.85999999999</v>
      </c>
      <c r="G443" s="5" t="s">
        <v>1285</v>
      </c>
      <c r="H443" s="5" t="s">
        <v>993</v>
      </c>
      <c r="I443" s="60">
        <v>1</v>
      </c>
      <c r="J443" s="5" t="s">
        <v>994</v>
      </c>
      <c r="K443" s="5" t="s">
        <v>995</v>
      </c>
      <c r="L443" s="5" t="s">
        <v>996</v>
      </c>
      <c r="M443" s="5">
        <v>2</v>
      </c>
      <c r="N443" s="5" t="str">
        <f t="shared" si="6"/>
        <v>Feb</v>
      </c>
    </row>
    <row r="444" spans="1:14" x14ac:dyDescent="0.35">
      <c r="A444" s="5" t="s">
        <v>2260</v>
      </c>
      <c r="B444" s="5" t="s">
        <v>742</v>
      </c>
      <c r="C444" s="5" t="s">
        <v>990</v>
      </c>
      <c r="D444" s="5" t="s">
        <v>1757</v>
      </c>
      <c r="E444" s="5" t="s">
        <v>2261</v>
      </c>
      <c r="F444" s="58">
        <v>13705357.140000001</v>
      </c>
      <c r="G444" s="5" t="s">
        <v>1758</v>
      </c>
      <c r="H444" s="5" t="s">
        <v>993</v>
      </c>
      <c r="I444" s="60">
        <v>1</v>
      </c>
      <c r="J444" s="5" t="s">
        <v>994</v>
      </c>
      <c r="K444" s="5" t="s">
        <v>995</v>
      </c>
      <c r="L444" s="5" t="s">
        <v>996</v>
      </c>
      <c r="M444" s="5">
        <v>5</v>
      </c>
      <c r="N444" s="5" t="str">
        <f t="shared" si="6"/>
        <v>May</v>
      </c>
    </row>
    <row r="445" spans="1:14" x14ac:dyDescent="0.35">
      <c r="A445" s="5" t="s">
        <v>2262</v>
      </c>
      <c r="B445" s="5" t="s">
        <v>748</v>
      </c>
      <c r="C445" s="5" t="s">
        <v>990</v>
      </c>
      <c r="D445" s="5" t="s">
        <v>1762</v>
      </c>
      <c r="E445" s="5" t="s">
        <v>1966</v>
      </c>
      <c r="F445" s="58">
        <v>128571.43</v>
      </c>
      <c r="G445" s="5" t="s">
        <v>1763</v>
      </c>
      <c r="H445" s="5" t="s">
        <v>993</v>
      </c>
      <c r="I445" s="60">
        <v>4</v>
      </c>
      <c r="J445" s="5" t="s">
        <v>994</v>
      </c>
      <c r="K445" s="5" t="s">
        <v>995</v>
      </c>
      <c r="L445" s="5" t="s">
        <v>996</v>
      </c>
      <c r="M445" s="5">
        <v>4</v>
      </c>
      <c r="N445" s="5" t="str">
        <f t="shared" si="6"/>
        <v>Apr</v>
      </c>
    </row>
    <row r="446" spans="1:14" x14ac:dyDescent="0.35">
      <c r="A446" s="5" t="s">
        <v>2263</v>
      </c>
      <c r="B446" s="5" t="s">
        <v>1794</v>
      </c>
      <c r="C446" s="5" t="s">
        <v>990</v>
      </c>
      <c r="D446" s="5" t="s">
        <v>1768</v>
      </c>
      <c r="E446" s="5" t="s">
        <v>2264</v>
      </c>
      <c r="F446" s="58">
        <v>12678.57</v>
      </c>
      <c r="G446" s="5" t="s">
        <v>1771</v>
      </c>
      <c r="H446" s="5" t="s">
        <v>993</v>
      </c>
      <c r="I446" s="60">
        <v>1</v>
      </c>
      <c r="J446" s="5" t="s">
        <v>994</v>
      </c>
      <c r="K446" s="5" t="s">
        <v>995</v>
      </c>
      <c r="L446" s="5" t="s">
        <v>996</v>
      </c>
      <c r="M446" s="5">
        <v>5</v>
      </c>
      <c r="N446" s="5" t="str">
        <f t="shared" si="6"/>
        <v>May</v>
      </c>
    </row>
    <row r="447" spans="1:14" x14ac:dyDescent="0.35">
      <c r="A447" s="5" t="s">
        <v>2263</v>
      </c>
      <c r="B447" s="5" t="s">
        <v>1794</v>
      </c>
      <c r="C447" s="5" t="s">
        <v>990</v>
      </c>
      <c r="D447" s="5" t="s">
        <v>1768</v>
      </c>
      <c r="E447" s="5" t="s">
        <v>2264</v>
      </c>
      <c r="F447" s="58">
        <v>674107.14</v>
      </c>
      <c r="G447" s="5" t="s">
        <v>1769</v>
      </c>
      <c r="H447" s="5" t="s">
        <v>993</v>
      </c>
      <c r="I447" s="60">
        <v>1</v>
      </c>
      <c r="J447" s="5" t="s">
        <v>994</v>
      </c>
      <c r="K447" s="5" t="s">
        <v>995</v>
      </c>
      <c r="L447" s="5" t="s">
        <v>996</v>
      </c>
      <c r="M447" s="5">
        <v>5</v>
      </c>
      <c r="N447" s="5" t="str">
        <f t="shared" si="6"/>
        <v>May</v>
      </c>
    </row>
    <row r="448" spans="1:14" x14ac:dyDescent="0.35">
      <c r="A448" s="5" t="s">
        <v>3273</v>
      </c>
      <c r="B448" s="5" t="s">
        <v>818</v>
      </c>
      <c r="C448" s="5" t="s">
        <v>990</v>
      </c>
      <c r="D448" s="5" t="s">
        <v>3144</v>
      </c>
      <c r="E448" s="5" t="s">
        <v>3274</v>
      </c>
      <c r="F448" s="58">
        <v>12256.7</v>
      </c>
      <c r="G448" s="5" t="s">
        <v>3086</v>
      </c>
      <c r="H448" s="5" t="s">
        <v>993</v>
      </c>
      <c r="I448" s="60">
        <v>50</v>
      </c>
      <c r="J448" s="5" t="s">
        <v>994</v>
      </c>
      <c r="K448" s="5" t="s">
        <v>995</v>
      </c>
      <c r="L448" s="5" t="s">
        <v>996</v>
      </c>
      <c r="M448" s="5">
        <v>8</v>
      </c>
      <c r="N448" s="5" t="str">
        <f t="shared" si="6"/>
        <v>Aug</v>
      </c>
    </row>
    <row r="449" spans="1:14" x14ac:dyDescent="0.35">
      <c r="A449" s="5" t="s">
        <v>2265</v>
      </c>
      <c r="B449" s="5" t="s">
        <v>800</v>
      </c>
      <c r="C449" s="5" t="s">
        <v>990</v>
      </c>
      <c r="D449" s="5" t="s">
        <v>1782</v>
      </c>
      <c r="E449" s="5" t="s">
        <v>2266</v>
      </c>
      <c r="F449" s="58">
        <v>80357.14</v>
      </c>
      <c r="G449" s="5" t="s">
        <v>1783</v>
      </c>
      <c r="H449" s="5" t="s">
        <v>993</v>
      </c>
      <c r="I449" s="60">
        <v>1</v>
      </c>
      <c r="J449" s="5" t="s">
        <v>994</v>
      </c>
      <c r="K449" s="5" t="s">
        <v>995</v>
      </c>
      <c r="L449" s="5" t="s">
        <v>996</v>
      </c>
      <c r="M449" s="5">
        <v>5</v>
      </c>
      <c r="N449" s="5" t="str">
        <f t="shared" si="6"/>
        <v>May</v>
      </c>
    </row>
    <row r="450" spans="1:14" x14ac:dyDescent="0.35">
      <c r="A450" s="5" t="s">
        <v>2267</v>
      </c>
      <c r="B450" s="5" t="s">
        <v>809</v>
      </c>
      <c r="C450" s="5" t="s">
        <v>990</v>
      </c>
      <c r="D450" s="5" t="s">
        <v>2062</v>
      </c>
      <c r="E450" s="5" t="s">
        <v>2268</v>
      </c>
      <c r="F450" s="58">
        <v>167857.14</v>
      </c>
      <c r="G450" s="5" t="s">
        <v>2063</v>
      </c>
      <c r="H450" s="5" t="s">
        <v>993</v>
      </c>
      <c r="I450" s="60">
        <v>2</v>
      </c>
      <c r="J450" s="5" t="s">
        <v>994</v>
      </c>
      <c r="K450" s="5" t="s">
        <v>995</v>
      </c>
      <c r="L450" s="5" t="s">
        <v>996</v>
      </c>
      <c r="M450" s="5">
        <v>5</v>
      </c>
      <c r="N450" s="5" t="str">
        <f t="shared" si="6"/>
        <v>May</v>
      </c>
    </row>
    <row r="451" spans="1:14" x14ac:dyDescent="0.35">
      <c r="A451" s="5" t="s">
        <v>2269</v>
      </c>
      <c r="B451" s="5" t="s">
        <v>975</v>
      </c>
      <c r="C451" s="5" t="s">
        <v>990</v>
      </c>
      <c r="D451" s="5" t="s">
        <v>2065</v>
      </c>
      <c r="E451" s="5" t="s">
        <v>2270</v>
      </c>
      <c r="F451" s="58">
        <v>1069642.8600000001</v>
      </c>
      <c r="G451" s="5" t="s">
        <v>2066</v>
      </c>
      <c r="H451" s="5" t="s">
        <v>993</v>
      </c>
      <c r="I451" s="60">
        <v>1</v>
      </c>
      <c r="J451" s="5" t="s">
        <v>994</v>
      </c>
      <c r="K451" s="5" t="s">
        <v>995</v>
      </c>
      <c r="L451" s="5" t="s">
        <v>996</v>
      </c>
      <c r="M451" s="5">
        <v>5</v>
      </c>
      <c r="N451" s="5" t="str">
        <f t="shared" si="6"/>
        <v>May</v>
      </c>
    </row>
    <row r="452" spans="1:14" x14ac:dyDescent="0.35">
      <c r="A452" s="5" t="s">
        <v>2665</v>
      </c>
      <c r="B452" s="5" t="s">
        <v>901</v>
      </c>
      <c r="C452" s="5" t="s">
        <v>990</v>
      </c>
      <c r="D452" s="5" t="s">
        <v>2068</v>
      </c>
      <c r="E452" s="5" t="s">
        <v>2666</v>
      </c>
      <c r="F452" s="58">
        <v>775000</v>
      </c>
      <c r="G452" s="5" t="s">
        <v>2069</v>
      </c>
      <c r="H452" s="5" t="s">
        <v>993</v>
      </c>
      <c r="I452" s="60">
        <v>1</v>
      </c>
      <c r="J452" s="5" t="s">
        <v>994</v>
      </c>
      <c r="K452" s="5" t="s">
        <v>995</v>
      </c>
      <c r="L452" s="5" t="s">
        <v>996</v>
      </c>
      <c r="M452" s="5">
        <v>6</v>
      </c>
      <c r="N452" s="5" t="str">
        <f t="shared" ref="N452:N468" si="7">_xlfn.XLOOKUP(M452,$Q$3:$Q$14,$R$3:$R$14)</f>
        <v>Jun</v>
      </c>
    </row>
    <row r="453" spans="1:14" x14ac:dyDescent="0.35">
      <c r="A453" s="5" t="s">
        <v>2271</v>
      </c>
      <c r="B453" s="5" t="s">
        <v>1825</v>
      </c>
      <c r="C453" s="5" t="s">
        <v>990</v>
      </c>
      <c r="D453" s="5" t="s">
        <v>993</v>
      </c>
      <c r="E453" s="5" t="s">
        <v>2272</v>
      </c>
      <c r="F453" s="58">
        <v>12491.08</v>
      </c>
      <c r="G453" s="5" t="s">
        <v>993</v>
      </c>
      <c r="H453" s="5" t="s">
        <v>2184</v>
      </c>
      <c r="I453" s="59">
        <v>0</v>
      </c>
      <c r="J453" s="5" t="s">
        <v>994</v>
      </c>
      <c r="K453" s="5" t="s">
        <v>1295</v>
      </c>
      <c r="L453" s="5" t="s">
        <v>990</v>
      </c>
      <c r="M453" s="5">
        <v>5</v>
      </c>
      <c r="N453" s="5" t="str">
        <f t="shared" si="7"/>
        <v>May</v>
      </c>
    </row>
    <row r="454" spans="1:14" x14ac:dyDescent="0.35">
      <c r="A454" s="5" t="s">
        <v>2667</v>
      </c>
      <c r="B454" s="5" t="s">
        <v>2122</v>
      </c>
      <c r="C454" s="5" t="s">
        <v>990</v>
      </c>
      <c r="D454" s="5" t="s">
        <v>2473</v>
      </c>
      <c r="E454" s="5" t="s">
        <v>2668</v>
      </c>
      <c r="F454" s="58">
        <v>1400000</v>
      </c>
      <c r="G454" s="5" t="s">
        <v>2148</v>
      </c>
      <c r="H454" s="5" t="s">
        <v>993</v>
      </c>
      <c r="I454" s="60">
        <v>1</v>
      </c>
      <c r="J454" s="5" t="s">
        <v>994</v>
      </c>
      <c r="K454" s="5" t="s">
        <v>995</v>
      </c>
      <c r="L454" s="5" t="s">
        <v>996</v>
      </c>
      <c r="M454" s="5">
        <v>6</v>
      </c>
      <c r="N454" s="5" t="str">
        <f t="shared" si="7"/>
        <v>Jun</v>
      </c>
    </row>
    <row r="455" spans="1:14" x14ac:dyDescent="0.35">
      <c r="A455" s="5" t="s">
        <v>2928</v>
      </c>
      <c r="B455" s="5" t="s">
        <v>2589</v>
      </c>
      <c r="C455" s="5" t="s">
        <v>990</v>
      </c>
      <c r="D455" s="5" t="s">
        <v>2857</v>
      </c>
      <c r="E455" s="5" t="s">
        <v>2929</v>
      </c>
      <c r="F455" s="58">
        <v>2669642.86</v>
      </c>
      <c r="G455" s="5" t="s">
        <v>2829</v>
      </c>
      <c r="H455" s="5" t="s">
        <v>993</v>
      </c>
      <c r="I455" s="60">
        <v>1</v>
      </c>
      <c r="J455" s="5" t="s">
        <v>994</v>
      </c>
      <c r="K455" s="5" t="s">
        <v>995</v>
      </c>
      <c r="L455" s="5" t="s">
        <v>996</v>
      </c>
      <c r="M455" s="5">
        <v>8</v>
      </c>
      <c r="N455" s="5" t="str">
        <f t="shared" si="7"/>
        <v>Aug</v>
      </c>
    </row>
    <row r="456" spans="1:14" x14ac:dyDescent="0.35">
      <c r="A456" s="5" t="s">
        <v>2930</v>
      </c>
      <c r="B456" s="5" t="s">
        <v>2127</v>
      </c>
      <c r="C456" s="5" t="s">
        <v>990</v>
      </c>
      <c r="D456" s="5" t="s">
        <v>2482</v>
      </c>
      <c r="E456" s="5" t="s">
        <v>2931</v>
      </c>
      <c r="F456" s="58">
        <v>775000</v>
      </c>
      <c r="G456" s="5" t="s">
        <v>2069</v>
      </c>
      <c r="H456" s="5" t="s">
        <v>993</v>
      </c>
      <c r="I456" s="60">
        <v>1</v>
      </c>
      <c r="J456" s="5" t="s">
        <v>994</v>
      </c>
      <c r="K456" s="5" t="s">
        <v>995</v>
      </c>
      <c r="L456" s="5" t="s">
        <v>996</v>
      </c>
      <c r="M456" s="5">
        <v>7</v>
      </c>
      <c r="N456" s="5" t="str">
        <f t="shared" si="7"/>
        <v>Jul</v>
      </c>
    </row>
    <row r="457" spans="1:14" x14ac:dyDescent="0.35">
      <c r="A457" s="5" t="s">
        <v>2273</v>
      </c>
      <c r="B457" s="5" t="s">
        <v>2132</v>
      </c>
      <c r="C457" s="5" t="s">
        <v>990</v>
      </c>
      <c r="D457" s="5" t="s">
        <v>2274</v>
      </c>
      <c r="E457" s="5" t="s">
        <v>2275</v>
      </c>
      <c r="F457" s="58">
        <v>26785.71</v>
      </c>
      <c r="G457" s="5" t="s">
        <v>2276</v>
      </c>
      <c r="H457" s="5" t="s">
        <v>993</v>
      </c>
      <c r="I457" s="60">
        <v>6</v>
      </c>
      <c r="J457" s="5" t="s">
        <v>994</v>
      </c>
      <c r="K457" s="5" t="s">
        <v>995</v>
      </c>
      <c r="L457" s="5" t="s">
        <v>996</v>
      </c>
      <c r="M457" s="5">
        <v>6</v>
      </c>
      <c r="N457" s="5" t="str">
        <f t="shared" si="7"/>
        <v>Jun</v>
      </c>
    </row>
    <row r="458" spans="1:14" x14ac:dyDescent="0.35">
      <c r="A458" s="5" t="s">
        <v>2273</v>
      </c>
      <c r="B458" s="5" t="s">
        <v>2132</v>
      </c>
      <c r="C458" s="5" t="s">
        <v>990</v>
      </c>
      <c r="D458" s="5" t="s">
        <v>2830</v>
      </c>
      <c r="E458" s="5" t="s">
        <v>2932</v>
      </c>
      <c r="F458" s="58">
        <v>16071.43</v>
      </c>
      <c r="G458" s="5" t="s">
        <v>2831</v>
      </c>
      <c r="H458" s="5" t="s">
        <v>993</v>
      </c>
      <c r="I458" s="60">
        <v>2</v>
      </c>
      <c r="J458" s="5" t="s">
        <v>994</v>
      </c>
      <c r="K458" s="5" t="s">
        <v>995</v>
      </c>
      <c r="L458" s="5" t="s">
        <v>996</v>
      </c>
      <c r="M458" s="5">
        <v>8</v>
      </c>
      <c r="N458" s="5" t="str">
        <f t="shared" si="7"/>
        <v>Aug</v>
      </c>
    </row>
    <row r="459" spans="1:14" x14ac:dyDescent="0.35">
      <c r="A459" s="5" t="s">
        <v>2273</v>
      </c>
      <c r="B459" s="5" t="s">
        <v>2132</v>
      </c>
      <c r="C459" s="5" t="s">
        <v>990</v>
      </c>
      <c r="D459" s="5" t="s">
        <v>2830</v>
      </c>
      <c r="E459" s="5" t="s">
        <v>2932</v>
      </c>
      <c r="F459" s="58">
        <v>4321.43</v>
      </c>
      <c r="G459" s="5" t="s">
        <v>2519</v>
      </c>
      <c r="H459" s="5" t="s">
        <v>993</v>
      </c>
      <c r="I459" s="60">
        <v>4</v>
      </c>
      <c r="J459" s="5" t="s">
        <v>994</v>
      </c>
      <c r="K459" s="5" t="s">
        <v>995</v>
      </c>
      <c r="L459" s="5" t="s">
        <v>996</v>
      </c>
      <c r="M459" s="5">
        <v>8</v>
      </c>
      <c r="N459" s="5" t="str">
        <f t="shared" si="7"/>
        <v>Aug</v>
      </c>
    </row>
    <row r="460" spans="1:14" x14ac:dyDescent="0.35">
      <c r="A460" s="5" t="s">
        <v>2277</v>
      </c>
      <c r="B460" s="5" t="s">
        <v>2136</v>
      </c>
      <c r="C460" s="5" t="s">
        <v>990</v>
      </c>
      <c r="D460" s="5" t="s">
        <v>2278</v>
      </c>
      <c r="E460" s="5" t="s">
        <v>2279</v>
      </c>
      <c r="F460" s="58">
        <v>2800</v>
      </c>
      <c r="G460" s="5" t="s">
        <v>2281</v>
      </c>
      <c r="H460" s="5" t="s">
        <v>993</v>
      </c>
      <c r="I460" s="60">
        <v>1</v>
      </c>
      <c r="J460" s="5" t="s">
        <v>994</v>
      </c>
      <c r="K460" s="5" t="s">
        <v>995</v>
      </c>
      <c r="L460" s="5" t="s">
        <v>996</v>
      </c>
      <c r="M460" s="5">
        <v>6</v>
      </c>
      <c r="N460" s="5" t="str">
        <f t="shared" si="7"/>
        <v>Jun</v>
      </c>
    </row>
    <row r="461" spans="1:14" x14ac:dyDescent="0.35">
      <c r="A461" s="5" t="s">
        <v>2277</v>
      </c>
      <c r="B461" s="5" t="s">
        <v>2136</v>
      </c>
      <c r="C461" s="5" t="s">
        <v>990</v>
      </c>
      <c r="D461" s="5" t="s">
        <v>2278</v>
      </c>
      <c r="E461" s="5" t="s">
        <v>2279</v>
      </c>
      <c r="F461" s="58">
        <v>5000</v>
      </c>
      <c r="G461" s="5" t="s">
        <v>2282</v>
      </c>
      <c r="H461" s="5" t="s">
        <v>993</v>
      </c>
      <c r="I461" s="60">
        <v>1</v>
      </c>
      <c r="J461" s="5" t="s">
        <v>994</v>
      </c>
      <c r="K461" s="5" t="s">
        <v>995</v>
      </c>
      <c r="L461" s="5" t="s">
        <v>996</v>
      </c>
      <c r="M461" s="5">
        <v>6</v>
      </c>
      <c r="N461" s="5" t="str">
        <f t="shared" si="7"/>
        <v>Jun</v>
      </c>
    </row>
    <row r="462" spans="1:14" x14ac:dyDescent="0.35">
      <c r="A462" s="5" t="s">
        <v>2277</v>
      </c>
      <c r="B462" s="5" t="s">
        <v>2136</v>
      </c>
      <c r="C462" s="5" t="s">
        <v>990</v>
      </c>
      <c r="D462" s="5" t="s">
        <v>2278</v>
      </c>
      <c r="E462" s="5" t="s">
        <v>2279</v>
      </c>
      <c r="F462" s="58">
        <v>620535.71</v>
      </c>
      <c r="G462" s="5" t="s">
        <v>2280</v>
      </c>
      <c r="H462" s="5" t="s">
        <v>993</v>
      </c>
      <c r="I462" s="60">
        <v>1</v>
      </c>
      <c r="J462" s="5" t="s">
        <v>994</v>
      </c>
      <c r="K462" s="5" t="s">
        <v>995</v>
      </c>
      <c r="L462" s="5" t="s">
        <v>996</v>
      </c>
      <c r="M462" s="5">
        <v>6</v>
      </c>
      <c r="N462" s="5" t="str">
        <f t="shared" si="7"/>
        <v>Jun</v>
      </c>
    </row>
    <row r="463" spans="1:14" x14ac:dyDescent="0.35">
      <c r="A463" s="5" t="s">
        <v>2669</v>
      </c>
      <c r="B463" s="5" t="s">
        <v>2541</v>
      </c>
      <c r="C463" s="5" t="s">
        <v>990</v>
      </c>
      <c r="D463" s="5" t="s">
        <v>2670</v>
      </c>
      <c r="E463" s="5" t="s">
        <v>2671</v>
      </c>
      <c r="F463" s="58">
        <v>62500</v>
      </c>
      <c r="G463" s="5" t="s">
        <v>2672</v>
      </c>
      <c r="H463" s="5" t="s">
        <v>993</v>
      </c>
      <c r="I463" s="60">
        <v>1</v>
      </c>
      <c r="J463" s="5" t="s">
        <v>994</v>
      </c>
      <c r="K463" s="5" t="s">
        <v>995</v>
      </c>
      <c r="L463" s="5" t="s">
        <v>996</v>
      </c>
      <c r="M463" s="5">
        <v>7</v>
      </c>
      <c r="N463" s="5" t="str">
        <f t="shared" si="7"/>
        <v>Jul</v>
      </c>
    </row>
    <row r="464" spans="1:14" x14ac:dyDescent="0.35">
      <c r="A464" s="5" t="s">
        <v>2933</v>
      </c>
      <c r="B464" s="5" t="s">
        <v>2591</v>
      </c>
      <c r="C464" s="5" t="s">
        <v>990</v>
      </c>
      <c r="D464" s="5" t="s">
        <v>2934</v>
      </c>
      <c r="E464" s="5" t="s">
        <v>2935</v>
      </c>
      <c r="F464" s="58">
        <v>169642.86</v>
      </c>
      <c r="G464" s="5" t="s">
        <v>2936</v>
      </c>
      <c r="H464" s="5" t="s">
        <v>993</v>
      </c>
      <c r="I464" s="60">
        <v>2</v>
      </c>
      <c r="J464" s="5" t="s">
        <v>994</v>
      </c>
      <c r="K464" s="5" t="s">
        <v>995</v>
      </c>
      <c r="L464" s="5" t="s">
        <v>996</v>
      </c>
      <c r="M464" s="5">
        <v>8</v>
      </c>
      <c r="N464" s="5" t="str">
        <f t="shared" si="7"/>
        <v>Aug</v>
      </c>
    </row>
    <row r="465" spans="1:14" x14ac:dyDescent="0.35">
      <c r="A465" s="5" t="s">
        <v>2937</v>
      </c>
      <c r="B465" s="5" t="s">
        <v>2859</v>
      </c>
      <c r="C465" s="5" t="s">
        <v>990</v>
      </c>
      <c r="D465" s="5" t="s">
        <v>2938</v>
      </c>
      <c r="E465" s="5" t="s">
        <v>2939</v>
      </c>
      <c r="F465" s="58">
        <v>254464.29</v>
      </c>
      <c r="G465" s="5" t="s">
        <v>2936</v>
      </c>
      <c r="H465" s="5" t="s">
        <v>993</v>
      </c>
      <c r="I465" s="60">
        <v>3</v>
      </c>
      <c r="J465" s="5" t="s">
        <v>994</v>
      </c>
      <c r="K465" s="5" t="s">
        <v>995</v>
      </c>
      <c r="L465" s="5" t="s">
        <v>996</v>
      </c>
      <c r="M465" s="5">
        <v>8</v>
      </c>
      <c r="N465" s="5" t="str">
        <f t="shared" si="7"/>
        <v>Aug</v>
      </c>
    </row>
    <row r="466" spans="1:14" x14ac:dyDescent="0.35">
      <c r="A466" s="5" t="s">
        <v>3275</v>
      </c>
      <c r="B466" s="5" t="s">
        <v>3099</v>
      </c>
      <c r="C466" s="5" t="s">
        <v>990</v>
      </c>
      <c r="D466" s="5" t="s">
        <v>3276</v>
      </c>
      <c r="E466" s="5" t="s">
        <v>3277</v>
      </c>
      <c r="F466" s="58">
        <v>1272321.43</v>
      </c>
      <c r="G466" s="5" t="s">
        <v>2936</v>
      </c>
      <c r="H466" s="5" t="s">
        <v>993</v>
      </c>
      <c r="I466" s="60">
        <v>15</v>
      </c>
      <c r="J466" s="5" t="s">
        <v>994</v>
      </c>
      <c r="K466" s="5" t="s">
        <v>995</v>
      </c>
      <c r="L466" s="5" t="s">
        <v>996</v>
      </c>
      <c r="M466" s="5">
        <v>9</v>
      </c>
      <c r="N466" s="5" t="str">
        <f t="shared" si="7"/>
        <v>Sep</v>
      </c>
    </row>
    <row r="467" spans="1:14" x14ac:dyDescent="0.35">
      <c r="A467" s="5" t="s">
        <v>3278</v>
      </c>
      <c r="B467" s="5" t="s">
        <v>3172</v>
      </c>
      <c r="C467" s="5" t="s">
        <v>990</v>
      </c>
      <c r="D467" s="5" t="s">
        <v>3279</v>
      </c>
      <c r="E467" s="5" t="s">
        <v>3280</v>
      </c>
      <c r="F467" s="58">
        <v>24633.93</v>
      </c>
      <c r="G467" s="5" t="s">
        <v>3281</v>
      </c>
      <c r="H467" s="5" t="s">
        <v>993</v>
      </c>
      <c r="I467" s="60">
        <v>2</v>
      </c>
      <c r="J467" s="5" t="s">
        <v>994</v>
      </c>
      <c r="K467" s="5" t="s">
        <v>995</v>
      </c>
      <c r="L467" s="5" t="s">
        <v>996</v>
      </c>
      <c r="M467" s="5">
        <v>9</v>
      </c>
      <c r="N467" s="5" t="str">
        <f t="shared" si="7"/>
        <v>Sep</v>
      </c>
    </row>
    <row r="468" spans="1:14" x14ac:dyDescent="0.35">
      <c r="A468" s="5" t="s">
        <v>3278</v>
      </c>
      <c r="B468" s="5" t="s">
        <v>3172</v>
      </c>
      <c r="C468" s="5" t="s">
        <v>990</v>
      </c>
      <c r="D468" s="5" t="s">
        <v>3282</v>
      </c>
      <c r="E468" s="5" t="s">
        <v>3283</v>
      </c>
      <c r="F468" s="58">
        <v>12316.96</v>
      </c>
      <c r="G468" s="5" t="s">
        <v>3284</v>
      </c>
      <c r="H468" s="5" t="s">
        <v>993</v>
      </c>
      <c r="I468" s="60">
        <v>1</v>
      </c>
      <c r="J468" s="5" t="s">
        <v>994</v>
      </c>
      <c r="K468" s="5" t="s">
        <v>995</v>
      </c>
      <c r="L468" s="5" t="s">
        <v>996</v>
      </c>
      <c r="M468" s="5">
        <v>9</v>
      </c>
      <c r="N468" s="5" t="str">
        <f t="shared" si="7"/>
        <v>Sep</v>
      </c>
    </row>
  </sheetData>
  <autoFilter ref="A2:N406" xr:uid="{6611BA9A-22DC-4EC7-A954-C2B13DAC8E3E}"/>
  <phoneticPr fontId="1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050B3-725D-448C-BB70-5E888786F086}">
  <sheetPr>
    <tabColor theme="0" tint="-0.14999847407452621"/>
  </sheetPr>
  <dimension ref="A1:N937"/>
  <sheetViews>
    <sheetView zoomScale="70" zoomScaleNormal="70" workbookViewId="0">
      <pane ySplit="2" topLeftCell="A852" activePane="bottomLeft" state="frozen"/>
      <selection pane="bottomLeft" activeCell="K1" sqref="K1"/>
    </sheetView>
  </sheetViews>
  <sheetFormatPr defaultRowHeight="14.5" x14ac:dyDescent="0.35"/>
  <cols>
    <col min="1" max="1" width="9.1796875" bestFit="1" customWidth="1"/>
    <col min="2" max="2" width="13.90625" bestFit="1" customWidth="1"/>
    <col min="3" max="3" width="15.453125" bestFit="1" customWidth="1"/>
    <col min="4" max="4" width="15.90625" bestFit="1" customWidth="1"/>
    <col min="5" max="5" width="11.453125" bestFit="1" customWidth="1"/>
    <col min="6" max="6" width="10.6328125" bestFit="1" customWidth="1"/>
    <col min="7" max="7" width="21.54296875" bestFit="1" customWidth="1"/>
    <col min="8" max="8" width="41.36328125" bestFit="1" customWidth="1"/>
    <col min="9" max="9" width="14.36328125" bestFit="1" customWidth="1"/>
    <col min="10" max="10" width="10.08984375" bestFit="1" customWidth="1"/>
    <col min="11" max="11" width="15.90625" bestFit="1" customWidth="1"/>
    <col min="12" max="12" width="8.81640625" bestFit="1" customWidth="1"/>
    <col min="13" max="13" width="13.81640625" bestFit="1" customWidth="1"/>
    <col min="14" max="14" width="15.6328125" bestFit="1" customWidth="1"/>
  </cols>
  <sheetData>
    <row r="1" spans="1:14" x14ac:dyDescent="0.35">
      <c r="K1" s="6">
        <f>SUBTOTAL(9,K3:K1048576)</f>
        <v>234128220.99999991</v>
      </c>
    </row>
    <row r="2" spans="1:14" ht="43.5" x14ac:dyDescent="0.35">
      <c r="A2" s="56" t="s">
        <v>976</v>
      </c>
      <c r="B2" s="56" t="s">
        <v>1286</v>
      </c>
      <c r="C2" s="56" t="s">
        <v>1287</v>
      </c>
      <c r="D2" s="56" t="s">
        <v>1288</v>
      </c>
      <c r="E2" s="56" t="s">
        <v>1289</v>
      </c>
      <c r="F2" s="57" t="s">
        <v>1290</v>
      </c>
      <c r="G2" s="56" t="s">
        <v>980</v>
      </c>
      <c r="H2" s="56" t="s">
        <v>1291</v>
      </c>
      <c r="I2" s="56" t="s">
        <v>1292</v>
      </c>
      <c r="J2" s="57" t="s">
        <v>1293</v>
      </c>
      <c r="K2" s="56" t="s">
        <v>981</v>
      </c>
      <c r="L2" s="56" t="s">
        <v>133</v>
      </c>
      <c r="M2" s="56" t="s">
        <v>1294</v>
      </c>
      <c r="N2" s="77" t="s">
        <v>65</v>
      </c>
    </row>
    <row r="3" spans="1:14" x14ac:dyDescent="0.35">
      <c r="A3" s="5">
        <v>10000820</v>
      </c>
      <c r="B3" s="5" t="s">
        <v>1295</v>
      </c>
      <c r="C3" s="5" t="s">
        <v>1296</v>
      </c>
      <c r="D3" s="61">
        <v>44483</v>
      </c>
      <c r="E3" s="61">
        <v>44497</v>
      </c>
      <c r="F3" s="5" t="s">
        <v>1297</v>
      </c>
      <c r="G3" s="5" t="s">
        <v>1298</v>
      </c>
      <c r="H3" s="5" t="s">
        <v>1299</v>
      </c>
      <c r="I3" s="59">
        <v>0.35</v>
      </c>
      <c r="J3" s="5" t="s">
        <v>1300</v>
      </c>
      <c r="K3" s="58">
        <v>278125</v>
      </c>
      <c r="L3" s="5" t="s">
        <v>1301</v>
      </c>
      <c r="M3" s="5" t="s">
        <v>1302</v>
      </c>
      <c r="N3" t="str">
        <f>_xlfn.XLOOKUP(A3,Monitoring!A:A,Monitoring!D:D)</f>
        <v>ESTATES</v>
      </c>
    </row>
    <row r="4" spans="1:14" x14ac:dyDescent="0.35">
      <c r="A4" s="5">
        <v>10001021</v>
      </c>
      <c r="B4" s="5" t="s">
        <v>1295</v>
      </c>
      <c r="C4" s="5" t="s">
        <v>1296</v>
      </c>
      <c r="D4" s="61">
        <v>44776</v>
      </c>
      <c r="E4" s="61">
        <v>44790</v>
      </c>
      <c r="F4" s="5" t="s">
        <v>1297</v>
      </c>
      <c r="G4" s="5" t="s">
        <v>1303</v>
      </c>
      <c r="H4" s="5" t="s">
        <v>1304</v>
      </c>
      <c r="I4" s="59">
        <v>0.157</v>
      </c>
      <c r="J4" s="5" t="s">
        <v>1300</v>
      </c>
      <c r="K4" s="58">
        <v>3224107.14</v>
      </c>
      <c r="L4" s="5" t="s">
        <v>1305</v>
      </c>
      <c r="M4" s="5" t="s">
        <v>1306</v>
      </c>
      <c r="N4" t="str">
        <f>_xlfn.XLOOKUP(A4,Monitoring!A:A,Monitoring!D:D)</f>
        <v>ESTATES</v>
      </c>
    </row>
    <row r="5" spans="1:14" x14ac:dyDescent="0.35">
      <c r="A5" s="5">
        <v>10001021</v>
      </c>
      <c r="B5" s="5" t="s">
        <v>1295</v>
      </c>
      <c r="C5" s="5" t="s">
        <v>1296</v>
      </c>
      <c r="D5" s="61">
        <v>45847</v>
      </c>
      <c r="E5" s="61">
        <v>45861</v>
      </c>
      <c r="F5" s="5" t="s">
        <v>1297</v>
      </c>
      <c r="G5" s="5" t="s">
        <v>1307</v>
      </c>
      <c r="H5" s="5" t="s">
        <v>1308</v>
      </c>
      <c r="I5" s="60">
        <v>1</v>
      </c>
      <c r="J5" s="5" t="s">
        <v>1300</v>
      </c>
      <c r="K5" s="58">
        <v>1160714.29</v>
      </c>
      <c r="L5" s="5" t="s">
        <v>1309</v>
      </c>
      <c r="M5" s="5" t="s">
        <v>1310</v>
      </c>
      <c r="N5" t="str">
        <f>_xlfn.XLOOKUP(A5,Monitoring!A:A,Monitoring!D:D)</f>
        <v>ESTATES</v>
      </c>
    </row>
    <row r="6" spans="1:14" x14ac:dyDescent="0.35">
      <c r="A6" s="5">
        <v>10001021</v>
      </c>
      <c r="B6" s="5" t="s">
        <v>1295</v>
      </c>
      <c r="C6" s="5" t="s">
        <v>1296</v>
      </c>
      <c r="D6" s="61">
        <v>45357</v>
      </c>
      <c r="E6" s="61">
        <v>45341</v>
      </c>
      <c r="F6" s="5" t="s">
        <v>1297</v>
      </c>
      <c r="G6" s="5" t="s">
        <v>1311</v>
      </c>
      <c r="H6" s="5" t="s">
        <v>1312</v>
      </c>
      <c r="I6" s="59">
        <v>0.1</v>
      </c>
      <c r="J6" s="5" t="s">
        <v>1300</v>
      </c>
      <c r="K6" s="58">
        <v>441964.29</v>
      </c>
      <c r="L6" s="5" t="s">
        <v>1313</v>
      </c>
      <c r="M6" s="5" t="s">
        <v>1306</v>
      </c>
      <c r="N6" t="str">
        <f>_xlfn.XLOOKUP(A6,Monitoring!A:A,Monitoring!D:D)</f>
        <v>ESTATES</v>
      </c>
    </row>
    <row r="7" spans="1:14" x14ac:dyDescent="0.35">
      <c r="A7" s="5">
        <v>10001021</v>
      </c>
      <c r="B7" s="5" t="s">
        <v>1295</v>
      </c>
      <c r="C7" s="5" t="s">
        <v>1296</v>
      </c>
      <c r="D7" s="61">
        <v>44810</v>
      </c>
      <c r="E7" s="61">
        <v>44809</v>
      </c>
      <c r="F7" s="5" t="s">
        <v>1297</v>
      </c>
      <c r="G7" s="5" t="s">
        <v>1314</v>
      </c>
      <c r="H7" s="5" t="s">
        <v>1315</v>
      </c>
      <c r="I7" s="60">
        <v>1</v>
      </c>
      <c r="J7" s="5" t="s">
        <v>1300</v>
      </c>
      <c r="K7" s="58">
        <v>28839.29</v>
      </c>
      <c r="L7" s="5" t="s">
        <v>1316</v>
      </c>
      <c r="M7" s="5" t="s">
        <v>1317</v>
      </c>
      <c r="N7" t="str">
        <f>_xlfn.XLOOKUP(A7,Monitoring!A:A,Monitoring!D:D)</f>
        <v>ESTATES</v>
      </c>
    </row>
    <row r="8" spans="1:14" x14ac:dyDescent="0.35">
      <c r="A8" s="5">
        <v>10001072</v>
      </c>
      <c r="B8" s="5" t="s">
        <v>1295</v>
      </c>
      <c r="C8" s="5" t="s">
        <v>1318</v>
      </c>
      <c r="D8" s="61">
        <v>45159</v>
      </c>
      <c r="E8" s="61">
        <v>45163</v>
      </c>
      <c r="F8" s="5" t="s">
        <v>1297</v>
      </c>
      <c r="G8" s="5" t="s">
        <v>1319</v>
      </c>
      <c r="H8" s="5" t="s">
        <v>1320</v>
      </c>
      <c r="I8" s="60">
        <v>1</v>
      </c>
      <c r="J8" s="5" t="s">
        <v>1300</v>
      </c>
      <c r="K8" s="58">
        <v>142000</v>
      </c>
      <c r="L8" s="5" t="s">
        <v>1321</v>
      </c>
      <c r="M8" s="5" t="s">
        <v>1322</v>
      </c>
      <c r="N8" t="str">
        <f>_xlfn.XLOOKUP(A8,Monitoring!A:A,Monitoring!D:D)</f>
        <v>MALLS</v>
      </c>
    </row>
    <row r="9" spans="1:14" x14ac:dyDescent="0.35">
      <c r="A9" s="5">
        <v>10001134</v>
      </c>
      <c r="B9" s="5" t="s">
        <v>1295</v>
      </c>
      <c r="C9" s="5" t="s">
        <v>1318</v>
      </c>
      <c r="D9" s="61">
        <v>45223</v>
      </c>
      <c r="E9" s="61">
        <v>45219</v>
      </c>
      <c r="F9" s="5" t="s">
        <v>1297</v>
      </c>
      <c r="G9" s="5" t="s">
        <v>1323</v>
      </c>
      <c r="H9" s="5" t="s">
        <v>1324</v>
      </c>
      <c r="I9" s="59">
        <v>0.247</v>
      </c>
      <c r="J9" s="5" t="s">
        <v>1300</v>
      </c>
      <c r="K9" s="58">
        <v>789517.86</v>
      </c>
      <c r="L9" s="5" t="s">
        <v>1325</v>
      </c>
      <c r="M9" s="5" t="s">
        <v>1326</v>
      </c>
      <c r="N9" t="str">
        <f>_xlfn.XLOOKUP(A9,Monitoring!A:A,Monitoring!D:D)</f>
        <v>MALLS</v>
      </c>
    </row>
    <row r="10" spans="1:14" x14ac:dyDescent="0.35">
      <c r="A10" s="5">
        <v>10001136</v>
      </c>
      <c r="B10" s="5" t="s">
        <v>1295</v>
      </c>
      <c r="C10" s="5" t="s">
        <v>1296</v>
      </c>
      <c r="D10" s="61">
        <v>45245</v>
      </c>
      <c r="E10" s="61">
        <v>46022</v>
      </c>
      <c r="F10" s="5" t="s">
        <v>1297</v>
      </c>
      <c r="G10" s="5" t="s">
        <v>1327</v>
      </c>
      <c r="H10" s="5" t="s">
        <v>1328</v>
      </c>
      <c r="I10" s="60">
        <v>0</v>
      </c>
      <c r="J10" s="5" t="s">
        <v>1300</v>
      </c>
      <c r="K10" s="58">
        <v>0</v>
      </c>
      <c r="L10" s="5" t="s">
        <v>1329</v>
      </c>
      <c r="M10" s="5" t="s">
        <v>1706</v>
      </c>
      <c r="N10" t="str">
        <f>_xlfn.XLOOKUP(A10,Monitoring!A:A,Monitoring!D:D)</f>
        <v>RESIDENTIAL</v>
      </c>
    </row>
    <row r="11" spans="1:14" x14ac:dyDescent="0.35">
      <c r="A11" s="5">
        <v>10001140</v>
      </c>
      <c r="B11" s="5" t="s">
        <v>1295</v>
      </c>
      <c r="C11" s="5" t="s">
        <v>1296</v>
      </c>
      <c r="D11" s="61">
        <v>45273</v>
      </c>
      <c r="E11" s="61">
        <v>45289</v>
      </c>
      <c r="F11" s="5" t="s">
        <v>1297</v>
      </c>
      <c r="G11" s="5" t="s">
        <v>1331</v>
      </c>
      <c r="H11" s="5" t="s">
        <v>1332</v>
      </c>
      <c r="I11" s="60">
        <v>1</v>
      </c>
      <c r="J11" s="5" t="s">
        <v>1300</v>
      </c>
      <c r="K11" s="58">
        <v>232142.86</v>
      </c>
      <c r="L11" s="5" t="s">
        <v>1333</v>
      </c>
      <c r="M11" s="5" t="s">
        <v>1334</v>
      </c>
      <c r="N11" t="str">
        <f>_xlfn.XLOOKUP(A11,Monitoring!A:A,Monitoring!D:D)</f>
        <v>RESIDENTIAL</v>
      </c>
    </row>
    <row r="12" spans="1:14" x14ac:dyDescent="0.35">
      <c r="A12" s="5">
        <v>10001190</v>
      </c>
      <c r="B12" s="5" t="s">
        <v>1295</v>
      </c>
      <c r="C12" s="5" t="s">
        <v>1318</v>
      </c>
      <c r="D12" s="61">
        <v>46006</v>
      </c>
      <c r="E12" s="61">
        <v>46022</v>
      </c>
      <c r="F12" s="5" t="s">
        <v>1297</v>
      </c>
      <c r="G12" s="5" t="s">
        <v>144</v>
      </c>
      <c r="H12" s="5" t="s">
        <v>1335</v>
      </c>
      <c r="I12" s="60">
        <v>0</v>
      </c>
      <c r="J12" s="5" t="s">
        <v>1300</v>
      </c>
      <c r="K12" s="58">
        <v>0</v>
      </c>
      <c r="L12" s="5" t="s">
        <v>1336</v>
      </c>
      <c r="M12" s="5" t="s">
        <v>1339</v>
      </c>
      <c r="N12" t="str">
        <f>_xlfn.XLOOKUP(A12,Monitoring!A:A,Monitoring!D:D)</f>
        <v>OFFICES</v>
      </c>
    </row>
    <row r="13" spans="1:14" x14ac:dyDescent="0.35">
      <c r="A13" s="5">
        <v>10001220</v>
      </c>
      <c r="B13" s="5" t="s">
        <v>1295</v>
      </c>
      <c r="C13" s="5" t="s">
        <v>1296</v>
      </c>
      <c r="D13" s="61">
        <v>45790</v>
      </c>
      <c r="E13" s="61">
        <v>45790</v>
      </c>
      <c r="F13" s="5" t="s">
        <v>1297</v>
      </c>
      <c r="G13" s="5" t="s">
        <v>1337</v>
      </c>
      <c r="H13" s="5" t="s">
        <v>1338</v>
      </c>
      <c r="I13" s="59">
        <v>0.02</v>
      </c>
      <c r="J13" s="5" t="s">
        <v>1300</v>
      </c>
      <c r="K13" s="58">
        <v>99196.43</v>
      </c>
      <c r="L13" s="5" t="s">
        <v>1305</v>
      </c>
      <c r="M13" s="5" t="s">
        <v>1339</v>
      </c>
      <c r="N13" t="str">
        <f>_xlfn.XLOOKUP(A13,Monitoring!A:A,Monitoring!D:D)</f>
        <v>ESTATES</v>
      </c>
    </row>
    <row r="14" spans="1:14" x14ac:dyDescent="0.35">
      <c r="A14" s="5">
        <v>10001254</v>
      </c>
      <c r="B14" s="5" t="s">
        <v>1295</v>
      </c>
      <c r="C14" s="5" t="s">
        <v>1318</v>
      </c>
      <c r="D14" s="61">
        <v>45708</v>
      </c>
      <c r="E14" s="61">
        <v>45688</v>
      </c>
      <c r="F14" s="5" t="s">
        <v>1297</v>
      </c>
      <c r="G14" s="5" t="s">
        <v>1340</v>
      </c>
      <c r="H14" s="5" t="s">
        <v>1345</v>
      </c>
      <c r="I14" s="60">
        <v>1</v>
      </c>
      <c r="J14" s="5" t="s">
        <v>1342</v>
      </c>
      <c r="K14" s="58">
        <v>23959.82</v>
      </c>
      <c r="L14" s="5" t="s">
        <v>1343</v>
      </c>
      <c r="M14" s="5" t="s">
        <v>1344</v>
      </c>
      <c r="N14" t="str">
        <f>_xlfn.XLOOKUP(A14,Monitoring!A:A,Monitoring!D:D)</f>
        <v>MALLS</v>
      </c>
    </row>
    <row r="15" spans="1:14" x14ac:dyDescent="0.35">
      <c r="A15" s="5">
        <v>10001254</v>
      </c>
      <c r="B15" s="5" t="s">
        <v>1295</v>
      </c>
      <c r="C15" s="5" t="s">
        <v>1318</v>
      </c>
      <c r="D15" s="61">
        <v>45708</v>
      </c>
      <c r="E15" s="61">
        <v>45688</v>
      </c>
      <c r="F15" s="5" t="s">
        <v>1297</v>
      </c>
      <c r="G15" s="5" t="s">
        <v>1340</v>
      </c>
      <c r="H15" s="5" t="s">
        <v>1341</v>
      </c>
      <c r="I15" s="60">
        <v>1</v>
      </c>
      <c r="J15" s="5" t="s">
        <v>1342</v>
      </c>
      <c r="K15" s="58">
        <v>8233.26</v>
      </c>
      <c r="L15" s="5" t="s">
        <v>1343</v>
      </c>
      <c r="M15" s="5" t="s">
        <v>1344</v>
      </c>
      <c r="N15" t="str">
        <f>_xlfn.XLOOKUP(A15,Monitoring!A:A,Monitoring!D:D)</f>
        <v>MALLS</v>
      </c>
    </row>
    <row r="16" spans="1:14" x14ac:dyDescent="0.35">
      <c r="A16" s="5">
        <v>10001262</v>
      </c>
      <c r="B16" s="5" t="s">
        <v>1295</v>
      </c>
      <c r="C16" s="5" t="s">
        <v>1318</v>
      </c>
      <c r="D16" s="61">
        <v>45813</v>
      </c>
      <c r="E16" s="61">
        <v>45820</v>
      </c>
      <c r="F16" s="5" t="s">
        <v>1297</v>
      </c>
      <c r="G16" s="5" t="s">
        <v>1353</v>
      </c>
      <c r="H16" s="5" t="s">
        <v>1354</v>
      </c>
      <c r="I16" s="59">
        <v>0.02</v>
      </c>
      <c r="J16" s="5" t="s">
        <v>1300</v>
      </c>
      <c r="K16" s="58">
        <v>33928.57</v>
      </c>
      <c r="L16" s="5" t="s">
        <v>1355</v>
      </c>
      <c r="M16" s="5" t="s">
        <v>1310</v>
      </c>
      <c r="N16" t="str">
        <f>_xlfn.XLOOKUP(A16,Monitoring!A:A,Monitoring!D:D)</f>
        <v>MALLS</v>
      </c>
    </row>
    <row r="17" spans="1:14" x14ac:dyDescent="0.35">
      <c r="A17" s="5">
        <v>10001262</v>
      </c>
      <c r="B17" s="5" t="s">
        <v>1295</v>
      </c>
      <c r="C17" s="5" t="s">
        <v>1318</v>
      </c>
      <c r="D17" s="61">
        <v>45812</v>
      </c>
      <c r="E17" s="61">
        <v>45818</v>
      </c>
      <c r="F17" s="5" t="s">
        <v>1297</v>
      </c>
      <c r="G17" s="5" t="s">
        <v>1349</v>
      </c>
      <c r="H17" s="5" t="s">
        <v>1350</v>
      </c>
      <c r="I17" s="59">
        <v>0.114</v>
      </c>
      <c r="J17" s="5" t="s">
        <v>1300</v>
      </c>
      <c r="K17" s="58">
        <v>315535.71000000002</v>
      </c>
      <c r="L17" s="5" t="s">
        <v>1351</v>
      </c>
      <c r="M17" s="5" t="s">
        <v>1352</v>
      </c>
      <c r="N17" t="str">
        <f>_xlfn.XLOOKUP(A17,Monitoring!A:A,Monitoring!D:D)</f>
        <v>MALLS</v>
      </c>
    </row>
    <row r="18" spans="1:14" x14ac:dyDescent="0.35">
      <c r="A18" s="5">
        <v>10001262</v>
      </c>
      <c r="B18" s="5" t="s">
        <v>1295</v>
      </c>
      <c r="C18" s="5" t="s">
        <v>1318</v>
      </c>
      <c r="D18" s="61">
        <v>45810</v>
      </c>
      <c r="E18" s="61">
        <v>45817</v>
      </c>
      <c r="F18" s="5" t="s">
        <v>1297</v>
      </c>
      <c r="G18" s="5" t="s">
        <v>1346</v>
      </c>
      <c r="H18" s="5" t="s">
        <v>1347</v>
      </c>
      <c r="I18" s="60">
        <v>0</v>
      </c>
      <c r="J18" s="5" t="s">
        <v>1300</v>
      </c>
      <c r="K18" s="58">
        <v>0</v>
      </c>
      <c r="L18" s="5" t="s">
        <v>1348</v>
      </c>
      <c r="M18" s="5" t="s">
        <v>1310</v>
      </c>
      <c r="N18" t="str">
        <f>_xlfn.XLOOKUP(A18,Monitoring!A:A,Monitoring!D:D)</f>
        <v>MALLS</v>
      </c>
    </row>
    <row r="19" spans="1:14" x14ac:dyDescent="0.35">
      <c r="A19" s="5">
        <v>10001269</v>
      </c>
      <c r="B19" s="5" t="s">
        <v>1295</v>
      </c>
      <c r="C19" s="5" t="s">
        <v>1318</v>
      </c>
      <c r="D19" s="61">
        <v>45986</v>
      </c>
      <c r="E19" s="61">
        <v>45991</v>
      </c>
      <c r="F19" s="5" t="s">
        <v>1297</v>
      </c>
      <c r="G19" s="5" t="s">
        <v>153</v>
      </c>
      <c r="H19" s="5" t="s">
        <v>1360</v>
      </c>
      <c r="I19" s="60">
        <v>0</v>
      </c>
      <c r="J19" s="5" t="s">
        <v>1300</v>
      </c>
      <c r="K19" s="58">
        <v>0</v>
      </c>
      <c r="L19" s="5" t="s">
        <v>1357</v>
      </c>
      <c r="M19" s="5" t="s">
        <v>1339</v>
      </c>
      <c r="N19" t="str">
        <f>_xlfn.XLOOKUP(A19,Monitoring!A:A,Monitoring!D:D)</f>
        <v>OFFICES</v>
      </c>
    </row>
    <row r="20" spans="1:14" x14ac:dyDescent="0.35">
      <c r="A20" s="5">
        <v>10001269</v>
      </c>
      <c r="B20" s="5" t="s">
        <v>1295</v>
      </c>
      <c r="C20" s="5" t="s">
        <v>1318</v>
      </c>
      <c r="D20" s="61">
        <v>45986</v>
      </c>
      <c r="E20" s="61">
        <v>45991</v>
      </c>
      <c r="F20" s="5" t="s">
        <v>1297</v>
      </c>
      <c r="G20" s="5" t="s">
        <v>153</v>
      </c>
      <c r="H20" s="5" t="s">
        <v>1359</v>
      </c>
      <c r="I20" s="60">
        <v>0</v>
      </c>
      <c r="J20" s="5" t="s">
        <v>1300</v>
      </c>
      <c r="K20" s="58">
        <v>0</v>
      </c>
      <c r="L20" s="5" t="s">
        <v>1357</v>
      </c>
      <c r="M20" s="5" t="s">
        <v>1339</v>
      </c>
      <c r="N20" t="str">
        <f>_xlfn.XLOOKUP(A20,Monitoring!A:A,Monitoring!D:D)</f>
        <v>OFFICES</v>
      </c>
    </row>
    <row r="21" spans="1:14" x14ac:dyDescent="0.35">
      <c r="A21" s="5">
        <v>10001269</v>
      </c>
      <c r="B21" s="5" t="s">
        <v>1295</v>
      </c>
      <c r="C21" s="5" t="s">
        <v>1318</v>
      </c>
      <c r="D21" s="61">
        <v>45986</v>
      </c>
      <c r="E21" s="61">
        <v>45991</v>
      </c>
      <c r="F21" s="5" t="s">
        <v>1297</v>
      </c>
      <c r="G21" s="5" t="s">
        <v>153</v>
      </c>
      <c r="H21" s="5" t="s">
        <v>1358</v>
      </c>
      <c r="I21" s="60">
        <v>0</v>
      </c>
      <c r="J21" s="5" t="s">
        <v>1300</v>
      </c>
      <c r="K21" s="58">
        <v>0</v>
      </c>
      <c r="L21" s="5" t="s">
        <v>1357</v>
      </c>
      <c r="M21" s="5" t="s">
        <v>1339</v>
      </c>
      <c r="N21" t="str">
        <f>_xlfn.XLOOKUP(A21,Monitoring!A:A,Monitoring!D:D)</f>
        <v>OFFICES</v>
      </c>
    </row>
    <row r="22" spans="1:14" x14ac:dyDescent="0.35">
      <c r="A22" s="5">
        <v>10001269</v>
      </c>
      <c r="B22" s="5" t="s">
        <v>1295</v>
      </c>
      <c r="C22" s="5" t="s">
        <v>1318</v>
      </c>
      <c r="D22" s="61">
        <v>45986</v>
      </c>
      <c r="E22" s="61">
        <v>45991</v>
      </c>
      <c r="F22" s="5" t="s">
        <v>1297</v>
      </c>
      <c r="G22" s="5" t="s">
        <v>153</v>
      </c>
      <c r="H22" s="5" t="s">
        <v>1356</v>
      </c>
      <c r="I22" s="60">
        <v>0</v>
      </c>
      <c r="J22" s="5" t="s">
        <v>1300</v>
      </c>
      <c r="K22" s="58">
        <v>0</v>
      </c>
      <c r="L22" s="5" t="s">
        <v>1357</v>
      </c>
      <c r="M22" s="5" t="s">
        <v>1339</v>
      </c>
      <c r="N22" t="str">
        <f>_xlfn.XLOOKUP(A22,Monitoring!A:A,Monitoring!D:D)</f>
        <v>OFFICES</v>
      </c>
    </row>
    <row r="23" spans="1:14" x14ac:dyDescent="0.35">
      <c r="A23" s="5">
        <v>10001270</v>
      </c>
      <c r="B23" s="5" t="s">
        <v>1295</v>
      </c>
      <c r="C23" s="5" t="s">
        <v>1318</v>
      </c>
      <c r="D23" s="61">
        <v>45993</v>
      </c>
      <c r="E23" s="61">
        <v>45915</v>
      </c>
      <c r="F23" s="5" t="s">
        <v>1297</v>
      </c>
      <c r="G23" s="5" t="s">
        <v>157</v>
      </c>
      <c r="H23" s="5" t="s">
        <v>1363</v>
      </c>
      <c r="I23" s="60">
        <v>0</v>
      </c>
      <c r="J23" s="5" t="s">
        <v>1300</v>
      </c>
      <c r="K23" s="58">
        <v>0</v>
      </c>
      <c r="L23" s="5" t="s">
        <v>1362</v>
      </c>
      <c r="M23" s="5" t="s">
        <v>1339</v>
      </c>
      <c r="N23" t="str">
        <f>_xlfn.XLOOKUP(A23,Monitoring!A:A,Monitoring!D:D)</f>
        <v>OFFICES</v>
      </c>
    </row>
    <row r="24" spans="1:14" x14ac:dyDescent="0.35">
      <c r="A24" s="5">
        <v>10001270</v>
      </c>
      <c r="B24" s="5" t="s">
        <v>1295</v>
      </c>
      <c r="C24" s="5" t="s">
        <v>1318</v>
      </c>
      <c r="D24" s="61">
        <v>45993</v>
      </c>
      <c r="E24" s="61">
        <v>45915</v>
      </c>
      <c r="F24" s="5" t="s">
        <v>1297</v>
      </c>
      <c r="G24" s="5" t="s">
        <v>157</v>
      </c>
      <c r="H24" s="5" t="s">
        <v>1361</v>
      </c>
      <c r="I24" s="60">
        <v>0</v>
      </c>
      <c r="J24" s="5" t="s">
        <v>1300</v>
      </c>
      <c r="K24" s="58">
        <v>0</v>
      </c>
      <c r="L24" s="5" t="s">
        <v>1362</v>
      </c>
      <c r="M24" s="5" t="s">
        <v>1339</v>
      </c>
      <c r="N24" t="str">
        <f>_xlfn.XLOOKUP(A24,Monitoring!A:A,Monitoring!D:D)</f>
        <v>OFFICES</v>
      </c>
    </row>
    <row r="25" spans="1:14" x14ac:dyDescent="0.35">
      <c r="A25" s="5">
        <v>10001281</v>
      </c>
      <c r="B25" s="5" t="s">
        <v>1295</v>
      </c>
      <c r="C25" s="5" t="s">
        <v>1318</v>
      </c>
      <c r="D25" s="61">
        <v>46049</v>
      </c>
      <c r="E25" s="61">
        <v>46112</v>
      </c>
      <c r="F25" s="5" t="s">
        <v>1297</v>
      </c>
      <c r="G25" s="5" t="s">
        <v>164</v>
      </c>
      <c r="H25" s="5" t="s">
        <v>998</v>
      </c>
      <c r="I25" s="60">
        <v>0</v>
      </c>
      <c r="J25" s="5" t="s">
        <v>1300</v>
      </c>
      <c r="K25" s="58">
        <v>0</v>
      </c>
      <c r="L25" s="5" t="s">
        <v>1321</v>
      </c>
      <c r="M25" s="5" t="s">
        <v>1339</v>
      </c>
      <c r="N25" t="str">
        <f>_xlfn.XLOOKUP(A25,Monitoring!A:A,Monitoring!D:D)</f>
        <v>OFFICES</v>
      </c>
    </row>
    <row r="26" spans="1:14" x14ac:dyDescent="0.35">
      <c r="A26" s="5">
        <v>10001281</v>
      </c>
      <c r="B26" s="5" t="s">
        <v>1295</v>
      </c>
      <c r="C26" s="5" t="s">
        <v>1318</v>
      </c>
      <c r="D26" s="61">
        <v>46038</v>
      </c>
      <c r="E26" s="61">
        <v>46052</v>
      </c>
      <c r="F26" s="5" t="s">
        <v>1364</v>
      </c>
      <c r="G26" s="5" t="s">
        <v>1365</v>
      </c>
      <c r="H26" s="5" t="s">
        <v>1366</v>
      </c>
      <c r="I26" s="60">
        <v>0</v>
      </c>
      <c r="J26" s="5" t="s">
        <v>1300</v>
      </c>
      <c r="K26" s="58">
        <v>0</v>
      </c>
      <c r="L26" s="5" t="s">
        <v>993</v>
      </c>
      <c r="M26" s="5" t="s">
        <v>1330</v>
      </c>
      <c r="N26" t="str">
        <f>_xlfn.XLOOKUP(A26,Monitoring!A:A,Monitoring!D:D)</f>
        <v>OFFICES</v>
      </c>
    </row>
    <row r="27" spans="1:14" x14ac:dyDescent="0.35">
      <c r="A27" s="5">
        <v>10001281</v>
      </c>
      <c r="B27" s="5" t="s">
        <v>1295</v>
      </c>
      <c r="C27" s="5" t="s">
        <v>1318</v>
      </c>
      <c r="D27" s="61">
        <v>45806</v>
      </c>
      <c r="E27" s="61">
        <v>45900</v>
      </c>
      <c r="F27" s="5" t="s">
        <v>1297</v>
      </c>
      <c r="G27" s="5" t="s">
        <v>161</v>
      </c>
      <c r="H27" s="5" t="s">
        <v>992</v>
      </c>
      <c r="I27" s="59">
        <v>0.28000000000000003</v>
      </c>
      <c r="J27" s="5" t="s">
        <v>1300</v>
      </c>
      <c r="K27" s="58">
        <v>1031737.52</v>
      </c>
      <c r="L27" s="5" t="s">
        <v>1367</v>
      </c>
      <c r="M27" s="5" t="s">
        <v>1339</v>
      </c>
      <c r="N27" t="str">
        <f>_xlfn.XLOOKUP(A27,Monitoring!A:A,Monitoring!D:D)</f>
        <v>OFFICES</v>
      </c>
    </row>
    <row r="28" spans="1:14" x14ac:dyDescent="0.35">
      <c r="A28" s="5">
        <v>10001288</v>
      </c>
      <c r="B28" s="5" t="s">
        <v>1295</v>
      </c>
      <c r="C28" s="5" t="s">
        <v>1318</v>
      </c>
      <c r="D28" s="61">
        <v>45973</v>
      </c>
      <c r="E28" s="61">
        <v>45961</v>
      </c>
      <c r="F28" s="5" t="s">
        <v>1297</v>
      </c>
      <c r="G28" s="5" t="s">
        <v>1368</v>
      </c>
      <c r="H28" s="5" t="s">
        <v>1369</v>
      </c>
      <c r="I28" s="60">
        <v>1</v>
      </c>
      <c r="J28" s="5" t="s">
        <v>1300</v>
      </c>
      <c r="K28" s="58">
        <v>7500</v>
      </c>
      <c r="L28" s="5" t="s">
        <v>1370</v>
      </c>
      <c r="M28" s="5" t="s">
        <v>1344</v>
      </c>
      <c r="N28" t="str">
        <f>_xlfn.XLOOKUP(A28,Monitoring!A:A,Monitoring!D:D)</f>
        <v>MALLS</v>
      </c>
    </row>
    <row r="29" spans="1:14" x14ac:dyDescent="0.35">
      <c r="A29" s="5">
        <v>10001289</v>
      </c>
      <c r="B29" s="5" t="s">
        <v>1295</v>
      </c>
      <c r="C29" s="5" t="s">
        <v>1318</v>
      </c>
      <c r="D29" s="61">
        <v>45796</v>
      </c>
      <c r="E29" s="61">
        <v>45808</v>
      </c>
      <c r="F29" s="5" t="s">
        <v>1297</v>
      </c>
      <c r="G29" s="5" t="s">
        <v>1371</v>
      </c>
      <c r="H29" s="5" t="s">
        <v>1372</v>
      </c>
      <c r="I29" s="60">
        <v>1</v>
      </c>
      <c r="J29" s="5" t="s">
        <v>1300</v>
      </c>
      <c r="K29" s="58">
        <v>42857.14</v>
      </c>
      <c r="L29" s="5" t="s">
        <v>1370</v>
      </c>
      <c r="M29" s="5" t="s">
        <v>1344</v>
      </c>
      <c r="N29" t="str">
        <f>_xlfn.XLOOKUP(A29,Monitoring!A:A,Monitoring!D:D)</f>
        <v>MALLS</v>
      </c>
    </row>
    <row r="30" spans="1:14" x14ac:dyDescent="0.35">
      <c r="A30" s="5">
        <v>10001294</v>
      </c>
      <c r="B30" s="5" t="s">
        <v>1295</v>
      </c>
      <c r="C30" s="5" t="s">
        <v>1296</v>
      </c>
      <c r="D30" s="61">
        <v>46202</v>
      </c>
      <c r="E30" s="61">
        <v>46233</v>
      </c>
      <c r="F30" s="5" t="s">
        <v>1364</v>
      </c>
      <c r="G30" s="5" t="s">
        <v>2673</v>
      </c>
      <c r="H30" s="5" t="s">
        <v>2674</v>
      </c>
      <c r="I30" s="60">
        <v>0</v>
      </c>
      <c r="J30" s="5" t="s">
        <v>1425</v>
      </c>
      <c r="K30" s="58">
        <v>0</v>
      </c>
      <c r="L30" s="5" t="s">
        <v>993</v>
      </c>
      <c r="M30" s="5" t="s">
        <v>1344</v>
      </c>
      <c r="N30" t="str">
        <f>_xlfn.XLOOKUP(A30,Monitoring!A:A,Monitoring!D:D)</f>
        <v>MALLS</v>
      </c>
    </row>
    <row r="31" spans="1:14" x14ac:dyDescent="0.35">
      <c r="A31" s="5">
        <v>10001294</v>
      </c>
      <c r="B31" s="5" t="s">
        <v>1295</v>
      </c>
      <c r="C31" s="5" t="s">
        <v>1296</v>
      </c>
      <c r="D31" s="61">
        <v>46217</v>
      </c>
      <c r="E31" s="61">
        <v>46233</v>
      </c>
      <c r="F31" s="5" t="s">
        <v>1297</v>
      </c>
      <c r="G31" s="5" t="s">
        <v>2865</v>
      </c>
      <c r="H31" s="5" t="s">
        <v>2674</v>
      </c>
      <c r="I31" s="60">
        <v>0</v>
      </c>
      <c r="J31" s="5" t="s">
        <v>1425</v>
      </c>
      <c r="K31" s="58">
        <v>0</v>
      </c>
      <c r="L31" s="5" t="s">
        <v>1759</v>
      </c>
      <c r="M31" s="5" t="s">
        <v>1374</v>
      </c>
      <c r="N31" t="str">
        <f>_xlfn.XLOOKUP(A31,Monitoring!A:A,Monitoring!D:D)</f>
        <v>MALLS</v>
      </c>
    </row>
    <row r="32" spans="1:14" x14ac:dyDescent="0.35">
      <c r="A32" s="5">
        <v>10001294</v>
      </c>
      <c r="B32" s="5" t="s">
        <v>1295</v>
      </c>
      <c r="C32" s="5" t="s">
        <v>1296</v>
      </c>
      <c r="D32" s="61">
        <v>45911</v>
      </c>
      <c r="E32" s="61">
        <v>45961</v>
      </c>
      <c r="F32" s="5" t="s">
        <v>1297</v>
      </c>
      <c r="G32" s="5" t="s">
        <v>999</v>
      </c>
      <c r="H32" s="5" t="s">
        <v>1001</v>
      </c>
      <c r="I32" s="60">
        <v>0</v>
      </c>
      <c r="J32" s="5" t="s">
        <v>1300</v>
      </c>
      <c r="K32" s="58">
        <v>0</v>
      </c>
      <c r="L32" s="5" t="s">
        <v>1373</v>
      </c>
      <c r="M32" s="5" t="s">
        <v>1310</v>
      </c>
      <c r="N32" t="str">
        <f>_xlfn.XLOOKUP(A32,Monitoring!A:A,Monitoring!D:D)</f>
        <v>MALLS</v>
      </c>
    </row>
    <row r="33" spans="1:14" x14ac:dyDescent="0.35">
      <c r="A33" s="5">
        <v>10001296</v>
      </c>
      <c r="B33" s="5" t="s">
        <v>1295</v>
      </c>
      <c r="C33" s="5" t="s">
        <v>1318</v>
      </c>
      <c r="D33" s="61">
        <v>45742</v>
      </c>
      <c r="E33" s="61">
        <v>45742</v>
      </c>
      <c r="F33" s="5" t="s">
        <v>1297</v>
      </c>
      <c r="G33" s="5" t="s">
        <v>1003</v>
      </c>
      <c r="H33" s="5" t="s">
        <v>1005</v>
      </c>
      <c r="I33" s="60">
        <v>0</v>
      </c>
      <c r="J33" s="5" t="s">
        <v>1300</v>
      </c>
      <c r="K33" s="58">
        <v>0</v>
      </c>
      <c r="L33" s="5" t="s">
        <v>1381</v>
      </c>
      <c r="M33" s="5" t="s">
        <v>1310</v>
      </c>
      <c r="N33" t="str">
        <f>_xlfn.XLOOKUP(A33,Monitoring!A:A,Monitoring!D:D)</f>
        <v>MALLS</v>
      </c>
    </row>
    <row r="34" spans="1:14" x14ac:dyDescent="0.35">
      <c r="A34" s="5">
        <v>10001296</v>
      </c>
      <c r="B34" s="5" t="s">
        <v>1295</v>
      </c>
      <c r="C34" s="5" t="s">
        <v>1318</v>
      </c>
      <c r="D34" s="61">
        <v>45742</v>
      </c>
      <c r="E34" s="61">
        <v>45742</v>
      </c>
      <c r="F34" s="5" t="s">
        <v>1297</v>
      </c>
      <c r="G34" s="5" t="s">
        <v>1003</v>
      </c>
      <c r="H34" s="5" t="s">
        <v>1379</v>
      </c>
      <c r="I34" s="60">
        <v>1</v>
      </c>
      <c r="J34" s="5" t="s">
        <v>1380</v>
      </c>
      <c r="K34" s="58">
        <v>19754.46</v>
      </c>
      <c r="L34" s="5" t="s">
        <v>1381</v>
      </c>
      <c r="M34" s="5" t="s">
        <v>1344</v>
      </c>
      <c r="N34" t="str">
        <f>_xlfn.XLOOKUP(A34,Monitoring!A:A,Monitoring!D:D)</f>
        <v>MALLS</v>
      </c>
    </row>
    <row r="35" spans="1:14" x14ac:dyDescent="0.35">
      <c r="A35" s="5">
        <v>10001296</v>
      </c>
      <c r="B35" s="5" t="s">
        <v>1295</v>
      </c>
      <c r="C35" s="5" t="s">
        <v>1318</v>
      </c>
      <c r="D35" s="61">
        <v>46079</v>
      </c>
      <c r="E35" s="61">
        <v>46093</v>
      </c>
      <c r="F35" s="5" t="s">
        <v>1364</v>
      </c>
      <c r="G35" s="5" t="s">
        <v>1378</v>
      </c>
      <c r="H35" s="5" t="s">
        <v>1014</v>
      </c>
      <c r="I35" s="60">
        <v>0</v>
      </c>
      <c r="J35" s="5" t="s">
        <v>1300</v>
      </c>
      <c r="K35" s="58">
        <v>0</v>
      </c>
      <c r="L35" s="5" t="s">
        <v>993</v>
      </c>
      <c r="M35" s="5" t="s">
        <v>1330</v>
      </c>
      <c r="N35" t="str">
        <f>_xlfn.XLOOKUP(A35,Monitoring!A:A,Monitoring!D:D)</f>
        <v>MALLS</v>
      </c>
    </row>
    <row r="36" spans="1:14" x14ac:dyDescent="0.35">
      <c r="A36" s="5">
        <v>10001296</v>
      </c>
      <c r="B36" s="5" t="s">
        <v>1295</v>
      </c>
      <c r="C36" s="5" t="s">
        <v>1318</v>
      </c>
      <c r="D36" s="61">
        <v>46080</v>
      </c>
      <c r="E36" s="61">
        <v>46093</v>
      </c>
      <c r="F36" s="5" t="s">
        <v>1297</v>
      </c>
      <c r="G36" s="5" t="s">
        <v>1012</v>
      </c>
      <c r="H36" s="5" t="s">
        <v>1014</v>
      </c>
      <c r="I36" s="60">
        <v>0</v>
      </c>
      <c r="J36" s="5" t="s">
        <v>1300</v>
      </c>
      <c r="K36" s="58">
        <v>0</v>
      </c>
      <c r="L36" s="5" t="s">
        <v>1385</v>
      </c>
      <c r="M36" s="5" t="s">
        <v>1310</v>
      </c>
      <c r="N36" t="str">
        <f>_xlfn.XLOOKUP(A36,Monitoring!A:A,Monitoring!D:D)</f>
        <v>MALLS</v>
      </c>
    </row>
    <row r="37" spans="1:14" x14ac:dyDescent="0.35">
      <c r="A37" s="5">
        <v>10001296</v>
      </c>
      <c r="B37" s="5" t="s">
        <v>1295</v>
      </c>
      <c r="C37" s="5" t="s">
        <v>1318</v>
      </c>
      <c r="D37" s="61">
        <v>45875</v>
      </c>
      <c r="E37" s="61">
        <v>45883</v>
      </c>
      <c r="F37" s="5" t="s">
        <v>1297</v>
      </c>
      <c r="G37" s="5" t="s">
        <v>1382</v>
      </c>
      <c r="H37" s="5" t="s">
        <v>1383</v>
      </c>
      <c r="I37" s="60">
        <v>1</v>
      </c>
      <c r="J37" s="5" t="s">
        <v>1342</v>
      </c>
      <c r="K37" s="58">
        <v>1055.8599999999999</v>
      </c>
      <c r="L37" s="5" t="s">
        <v>1384</v>
      </c>
      <c r="M37" s="5" t="s">
        <v>1344</v>
      </c>
      <c r="N37" t="str">
        <f>_xlfn.XLOOKUP(A37,Monitoring!A:A,Monitoring!D:D)</f>
        <v>MALLS</v>
      </c>
    </row>
    <row r="38" spans="1:14" x14ac:dyDescent="0.35">
      <c r="A38" s="5">
        <v>10001296</v>
      </c>
      <c r="B38" s="5" t="s">
        <v>1295</v>
      </c>
      <c r="C38" s="5" t="s">
        <v>1318</v>
      </c>
      <c r="D38" s="61">
        <v>46076</v>
      </c>
      <c r="E38" s="61">
        <v>46090</v>
      </c>
      <c r="F38" s="5" t="s">
        <v>1364</v>
      </c>
      <c r="G38" s="5" t="s">
        <v>1375</v>
      </c>
      <c r="H38" s="5" t="s">
        <v>1376</v>
      </c>
      <c r="I38" s="60">
        <v>0</v>
      </c>
      <c r="J38" s="5" t="s">
        <v>1300</v>
      </c>
      <c r="K38" s="58">
        <v>0</v>
      </c>
      <c r="L38" s="5" t="s">
        <v>993</v>
      </c>
      <c r="M38" s="5" t="s">
        <v>1377</v>
      </c>
      <c r="N38" t="str">
        <f>_xlfn.XLOOKUP(A38,Monitoring!A:A,Monitoring!D:D)</f>
        <v>MALLS</v>
      </c>
    </row>
    <row r="39" spans="1:14" x14ac:dyDescent="0.35">
      <c r="A39" s="5">
        <v>10001298</v>
      </c>
      <c r="B39" s="5" t="s">
        <v>1295</v>
      </c>
      <c r="C39" s="5" t="s">
        <v>1296</v>
      </c>
      <c r="D39" s="61">
        <v>45792</v>
      </c>
      <c r="E39" s="61">
        <v>45797</v>
      </c>
      <c r="F39" s="5" t="s">
        <v>1297</v>
      </c>
      <c r="G39" s="5" t="s">
        <v>1386</v>
      </c>
      <c r="H39" s="5" t="s">
        <v>1387</v>
      </c>
      <c r="I39" s="59">
        <v>0.107</v>
      </c>
      <c r="J39" s="5" t="s">
        <v>1300</v>
      </c>
      <c r="K39" s="58">
        <v>3595.2</v>
      </c>
      <c r="L39" s="5" t="s">
        <v>1388</v>
      </c>
      <c r="M39" s="5" t="s">
        <v>1306</v>
      </c>
      <c r="N39" t="str">
        <f>_xlfn.XLOOKUP(A39,Monitoring!A:A,Monitoring!D:D)</f>
        <v>ESTATES</v>
      </c>
    </row>
    <row r="40" spans="1:14" x14ac:dyDescent="0.35">
      <c r="A40" s="5">
        <v>10001298</v>
      </c>
      <c r="B40" s="5" t="s">
        <v>1295</v>
      </c>
      <c r="C40" s="5" t="s">
        <v>1296</v>
      </c>
      <c r="D40" s="61">
        <v>45792</v>
      </c>
      <c r="E40" s="61">
        <v>45797</v>
      </c>
      <c r="F40" s="5" t="s">
        <v>1297</v>
      </c>
      <c r="G40" s="5" t="s">
        <v>1386</v>
      </c>
      <c r="H40" s="5" t="s">
        <v>1387</v>
      </c>
      <c r="I40" s="59">
        <v>0.107</v>
      </c>
      <c r="J40" s="5" t="s">
        <v>1300</v>
      </c>
      <c r="K40" s="58">
        <v>3595.2</v>
      </c>
      <c r="L40" s="5" t="s">
        <v>1388</v>
      </c>
      <c r="M40" s="5" t="s">
        <v>1306</v>
      </c>
      <c r="N40" t="str">
        <f>_xlfn.XLOOKUP(A40,Monitoring!A:A,Monitoring!D:D)</f>
        <v>ESTATES</v>
      </c>
    </row>
    <row r="41" spans="1:14" x14ac:dyDescent="0.35">
      <c r="A41" s="5">
        <v>10001302</v>
      </c>
      <c r="B41" s="5" t="s">
        <v>1295</v>
      </c>
      <c r="C41" s="5" t="s">
        <v>1318</v>
      </c>
      <c r="D41" s="61">
        <v>45757</v>
      </c>
      <c r="E41" s="61">
        <v>45763</v>
      </c>
      <c r="F41" s="5" t="s">
        <v>1297</v>
      </c>
      <c r="G41" s="5" t="s">
        <v>1395</v>
      </c>
      <c r="H41" s="5" t="s">
        <v>1396</v>
      </c>
      <c r="I41" s="60">
        <v>1</v>
      </c>
      <c r="J41" s="5" t="s">
        <v>1300</v>
      </c>
      <c r="K41" s="58">
        <v>42857.14</v>
      </c>
      <c r="L41" s="5" t="s">
        <v>1305</v>
      </c>
      <c r="M41" s="5" t="s">
        <v>1344</v>
      </c>
      <c r="N41" t="str">
        <f>_xlfn.XLOOKUP(A41,Monitoring!A:A,Monitoring!D:D)</f>
        <v>MALLS</v>
      </c>
    </row>
    <row r="42" spans="1:14" x14ac:dyDescent="0.35">
      <c r="A42" s="5">
        <v>10001302</v>
      </c>
      <c r="B42" s="5" t="s">
        <v>1295</v>
      </c>
      <c r="C42" s="5" t="s">
        <v>1318</v>
      </c>
      <c r="D42" s="61">
        <v>45755</v>
      </c>
      <c r="E42" s="61">
        <v>45762</v>
      </c>
      <c r="F42" s="5" t="s">
        <v>1297</v>
      </c>
      <c r="G42" s="5" t="s">
        <v>1392</v>
      </c>
      <c r="H42" s="5" t="s">
        <v>1393</v>
      </c>
      <c r="I42" s="60">
        <v>1</v>
      </c>
      <c r="J42" s="5" t="s">
        <v>1300</v>
      </c>
      <c r="K42" s="58">
        <v>62500</v>
      </c>
      <c r="L42" s="5" t="s">
        <v>1394</v>
      </c>
      <c r="M42" s="5" t="s">
        <v>1334</v>
      </c>
      <c r="N42" t="str">
        <f>_xlfn.XLOOKUP(A42,Monitoring!A:A,Monitoring!D:D)</f>
        <v>MALLS</v>
      </c>
    </row>
    <row r="43" spans="1:14" x14ac:dyDescent="0.35">
      <c r="A43" s="5">
        <v>10001302</v>
      </c>
      <c r="B43" s="5" t="s">
        <v>1295</v>
      </c>
      <c r="C43" s="5" t="s">
        <v>1318</v>
      </c>
      <c r="D43" s="61">
        <v>45968</v>
      </c>
      <c r="E43" s="61">
        <v>45991</v>
      </c>
      <c r="F43" s="5" t="s">
        <v>1364</v>
      </c>
      <c r="G43" s="5" t="s">
        <v>1389</v>
      </c>
      <c r="H43" s="5" t="s">
        <v>1390</v>
      </c>
      <c r="I43" s="60">
        <v>1</v>
      </c>
      <c r="J43" s="5" t="s">
        <v>1300</v>
      </c>
      <c r="K43" s="58">
        <v>173386.04</v>
      </c>
      <c r="L43" s="5" t="s">
        <v>993</v>
      </c>
      <c r="M43" s="5" t="s">
        <v>1391</v>
      </c>
      <c r="N43" t="str">
        <f>_xlfn.XLOOKUP(A43,Monitoring!A:A,Monitoring!D:D)</f>
        <v>MALLS</v>
      </c>
    </row>
    <row r="44" spans="1:14" x14ac:dyDescent="0.35">
      <c r="A44" s="5">
        <v>10001305</v>
      </c>
      <c r="B44" s="5" t="s">
        <v>1295</v>
      </c>
      <c r="C44" s="5" t="s">
        <v>1318</v>
      </c>
      <c r="D44" s="61">
        <v>45744</v>
      </c>
      <c r="E44" s="61">
        <v>45751</v>
      </c>
      <c r="F44" s="5" t="s">
        <v>1297</v>
      </c>
      <c r="G44" s="5" t="s">
        <v>1397</v>
      </c>
      <c r="H44" s="5" t="s">
        <v>1398</v>
      </c>
      <c r="I44" s="59">
        <v>0.56999999999999995</v>
      </c>
      <c r="J44" s="5" t="s">
        <v>1300</v>
      </c>
      <c r="K44" s="58">
        <v>356250</v>
      </c>
      <c r="L44" s="5" t="s">
        <v>1348</v>
      </c>
      <c r="M44" s="5" t="s">
        <v>1310</v>
      </c>
      <c r="N44" t="str">
        <f>_xlfn.XLOOKUP(A44,Monitoring!A:A,Monitoring!D:D)</f>
        <v>MALLS</v>
      </c>
    </row>
    <row r="45" spans="1:14" x14ac:dyDescent="0.35">
      <c r="A45" s="5">
        <v>10001311</v>
      </c>
      <c r="B45" s="5" t="s">
        <v>1295</v>
      </c>
      <c r="C45" s="5" t="s">
        <v>1318</v>
      </c>
      <c r="D45" s="61">
        <v>46049</v>
      </c>
      <c r="E45" s="61">
        <v>46112</v>
      </c>
      <c r="F45" s="5" t="s">
        <v>1297</v>
      </c>
      <c r="G45" s="5" t="s">
        <v>164</v>
      </c>
      <c r="H45" s="5" t="s">
        <v>1017</v>
      </c>
      <c r="I45" s="60">
        <v>0</v>
      </c>
      <c r="J45" s="5" t="s">
        <v>1300</v>
      </c>
      <c r="K45" s="58">
        <v>0</v>
      </c>
      <c r="L45" s="5" t="s">
        <v>1321</v>
      </c>
      <c r="M45" s="5" t="s">
        <v>1339</v>
      </c>
      <c r="N45" t="str">
        <f>_xlfn.XLOOKUP(A45,Monitoring!A:A,Monitoring!D:D)</f>
        <v>OFFICES</v>
      </c>
    </row>
    <row r="46" spans="1:14" x14ac:dyDescent="0.35">
      <c r="A46" s="5">
        <v>10001311</v>
      </c>
      <c r="B46" s="5" t="s">
        <v>1295</v>
      </c>
      <c r="C46" s="5" t="s">
        <v>1318</v>
      </c>
      <c r="D46" s="61">
        <v>46038</v>
      </c>
      <c r="E46" s="61">
        <v>46052</v>
      </c>
      <c r="F46" s="5" t="s">
        <v>1364</v>
      </c>
      <c r="G46" s="5" t="s">
        <v>1365</v>
      </c>
      <c r="H46" s="5" t="s">
        <v>1366</v>
      </c>
      <c r="I46" s="60">
        <v>0</v>
      </c>
      <c r="J46" s="5" t="s">
        <v>1300</v>
      </c>
      <c r="K46" s="58">
        <v>0</v>
      </c>
      <c r="L46" s="5" t="s">
        <v>993</v>
      </c>
      <c r="M46" s="5" t="s">
        <v>1330</v>
      </c>
      <c r="N46" t="str">
        <f>_xlfn.XLOOKUP(A46,Monitoring!A:A,Monitoring!D:D)</f>
        <v>OFFICES</v>
      </c>
    </row>
    <row r="47" spans="1:14" x14ac:dyDescent="0.35">
      <c r="A47" s="5">
        <v>10001311</v>
      </c>
      <c r="B47" s="5" t="s">
        <v>1295</v>
      </c>
      <c r="C47" s="5" t="s">
        <v>1318</v>
      </c>
      <c r="D47" s="61">
        <v>45806</v>
      </c>
      <c r="E47" s="61">
        <v>45900</v>
      </c>
      <c r="F47" s="5" t="s">
        <v>1297</v>
      </c>
      <c r="G47" s="5" t="s">
        <v>161</v>
      </c>
      <c r="H47" s="5" t="s">
        <v>1399</v>
      </c>
      <c r="I47" s="60">
        <v>1</v>
      </c>
      <c r="J47" s="5" t="s">
        <v>1300</v>
      </c>
      <c r="K47" s="58">
        <v>499123.19</v>
      </c>
      <c r="L47" s="5" t="s">
        <v>1367</v>
      </c>
      <c r="M47" s="5" t="s">
        <v>1330</v>
      </c>
      <c r="N47" t="str">
        <f>_xlfn.XLOOKUP(A47,Monitoring!A:A,Monitoring!D:D)</f>
        <v>OFFICES</v>
      </c>
    </row>
    <row r="48" spans="1:14" x14ac:dyDescent="0.35">
      <c r="A48" s="5">
        <v>10001312</v>
      </c>
      <c r="B48" s="5" t="s">
        <v>1295</v>
      </c>
      <c r="C48" s="5" t="s">
        <v>1318</v>
      </c>
      <c r="D48" s="61">
        <v>45783</v>
      </c>
      <c r="E48" s="61">
        <v>45777</v>
      </c>
      <c r="F48" s="5" t="s">
        <v>1297</v>
      </c>
      <c r="G48" s="5" t="s">
        <v>1400</v>
      </c>
      <c r="H48" s="5" t="s">
        <v>1401</v>
      </c>
      <c r="I48" s="60">
        <v>1</v>
      </c>
      <c r="J48" s="5" t="s">
        <v>1300</v>
      </c>
      <c r="K48" s="58">
        <v>12232.14</v>
      </c>
      <c r="L48" s="5" t="s">
        <v>1402</v>
      </c>
      <c r="M48" s="5" t="s">
        <v>1344</v>
      </c>
      <c r="N48" t="str">
        <f>_xlfn.XLOOKUP(A48,Monitoring!A:A,Monitoring!D:D)</f>
        <v>MALLS</v>
      </c>
    </row>
    <row r="49" spans="1:14" x14ac:dyDescent="0.35">
      <c r="A49" s="5">
        <v>10001314</v>
      </c>
      <c r="B49" s="5" t="s">
        <v>1295</v>
      </c>
      <c r="C49" s="5" t="s">
        <v>1318</v>
      </c>
      <c r="D49" s="61">
        <v>46041</v>
      </c>
      <c r="E49" s="61">
        <v>46041</v>
      </c>
      <c r="F49" s="5" t="s">
        <v>1297</v>
      </c>
      <c r="G49" s="5" t="s">
        <v>1439</v>
      </c>
      <c r="H49" s="5" t="s">
        <v>1407</v>
      </c>
      <c r="I49" s="60">
        <v>0</v>
      </c>
      <c r="J49" s="5" t="s">
        <v>1342</v>
      </c>
      <c r="K49" s="58">
        <v>0</v>
      </c>
      <c r="L49" s="5" t="s">
        <v>1440</v>
      </c>
      <c r="M49" s="5" t="s">
        <v>1306</v>
      </c>
      <c r="N49" t="str">
        <f>_xlfn.XLOOKUP(A49,Monitoring!A:A,Monitoring!D:D)</f>
        <v>OFFICES</v>
      </c>
    </row>
    <row r="50" spans="1:14" x14ac:dyDescent="0.35">
      <c r="A50" s="5">
        <v>10001314</v>
      </c>
      <c r="B50" s="5" t="s">
        <v>1295</v>
      </c>
      <c r="C50" s="5" t="s">
        <v>1318</v>
      </c>
      <c r="D50" s="61">
        <v>46041</v>
      </c>
      <c r="E50" s="61">
        <v>46031</v>
      </c>
      <c r="F50" s="5" t="s">
        <v>1297</v>
      </c>
      <c r="G50" s="5" t="s">
        <v>1439</v>
      </c>
      <c r="H50" s="5" t="s">
        <v>1407</v>
      </c>
      <c r="I50" s="60">
        <v>0</v>
      </c>
      <c r="J50" s="5" t="s">
        <v>1342</v>
      </c>
      <c r="K50" s="58">
        <v>0</v>
      </c>
      <c r="L50" s="5" t="s">
        <v>1440</v>
      </c>
      <c r="M50" s="5" t="s">
        <v>1306</v>
      </c>
      <c r="N50" t="str">
        <f>_xlfn.XLOOKUP(A50,Monitoring!A:A,Monitoring!D:D)</f>
        <v>OFFICES</v>
      </c>
    </row>
    <row r="51" spans="1:14" x14ac:dyDescent="0.35">
      <c r="A51" s="5">
        <v>10001314</v>
      </c>
      <c r="B51" s="5" t="s">
        <v>1295</v>
      </c>
      <c r="C51" s="5" t="s">
        <v>1318</v>
      </c>
      <c r="D51" s="61">
        <v>46041</v>
      </c>
      <c r="E51" s="61">
        <v>46048</v>
      </c>
      <c r="F51" s="5" t="s">
        <v>1297</v>
      </c>
      <c r="G51" s="5" t="s">
        <v>1441</v>
      </c>
      <c r="H51" s="5" t="s">
        <v>1410</v>
      </c>
      <c r="I51" s="60">
        <v>0</v>
      </c>
      <c r="J51" s="5" t="s">
        <v>1300</v>
      </c>
      <c r="K51" s="58">
        <v>0</v>
      </c>
      <c r="L51" s="5" t="s">
        <v>1442</v>
      </c>
      <c r="M51" s="5" t="s">
        <v>1339</v>
      </c>
      <c r="N51" t="str">
        <f>_xlfn.XLOOKUP(A51,Monitoring!A:A,Monitoring!D:D)</f>
        <v>OFFICES</v>
      </c>
    </row>
    <row r="52" spans="1:14" x14ac:dyDescent="0.35">
      <c r="A52" s="5">
        <v>10001314</v>
      </c>
      <c r="B52" s="5" t="s">
        <v>1295</v>
      </c>
      <c r="C52" s="5" t="s">
        <v>1318</v>
      </c>
      <c r="D52" s="61">
        <v>46200</v>
      </c>
      <c r="E52" s="61">
        <v>46202</v>
      </c>
      <c r="F52" s="5" t="s">
        <v>1297</v>
      </c>
      <c r="G52" s="5" t="s">
        <v>2675</v>
      </c>
      <c r="H52" s="5" t="s">
        <v>2495</v>
      </c>
      <c r="I52" s="60">
        <v>0</v>
      </c>
      <c r="J52" s="5" t="s">
        <v>1300</v>
      </c>
      <c r="K52" s="58">
        <v>0</v>
      </c>
      <c r="L52" s="5" t="s">
        <v>1444</v>
      </c>
      <c r="M52" s="5" t="s">
        <v>1306</v>
      </c>
      <c r="N52" t="str">
        <f>_xlfn.XLOOKUP(A52,Monitoring!A:A,Monitoring!D:D)</f>
        <v>OFFICES</v>
      </c>
    </row>
    <row r="53" spans="1:14" x14ac:dyDescent="0.35">
      <c r="A53" s="5">
        <v>10001314</v>
      </c>
      <c r="B53" s="5" t="s">
        <v>1295</v>
      </c>
      <c r="C53" s="5" t="s">
        <v>1318</v>
      </c>
      <c r="D53" s="61">
        <v>46279</v>
      </c>
      <c r="E53" s="61">
        <v>46280</v>
      </c>
      <c r="F53" s="5" t="s">
        <v>1297</v>
      </c>
      <c r="G53" s="5" t="s">
        <v>3285</v>
      </c>
      <c r="H53" s="5" t="s">
        <v>2677</v>
      </c>
      <c r="I53" s="60">
        <v>24</v>
      </c>
      <c r="J53" s="5" t="s">
        <v>1425</v>
      </c>
      <c r="K53" s="58">
        <v>35714.29</v>
      </c>
      <c r="L53" s="5" t="s">
        <v>1723</v>
      </c>
      <c r="M53" s="5" t="s">
        <v>1408</v>
      </c>
      <c r="N53" t="str">
        <f>_xlfn.XLOOKUP(A53,Monitoring!A:A,Monitoring!D:D)</f>
        <v>OFFICES</v>
      </c>
    </row>
    <row r="54" spans="1:14" x14ac:dyDescent="0.35">
      <c r="A54" s="5">
        <v>10001314</v>
      </c>
      <c r="B54" s="5" t="s">
        <v>1295</v>
      </c>
      <c r="C54" s="5" t="s">
        <v>1318</v>
      </c>
      <c r="D54" s="61">
        <v>46162</v>
      </c>
      <c r="E54" s="61">
        <v>46160</v>
      </c>
      <c r="F54" s="5" t="s">
        <v>1297</v>
      </c>
      <c r="G54" s="5" t="s">
        <v>2300</v>
      </c>
      <c r="H54" s="5" t="s">
        <v>2293</v>
      </c>
      <c r="I54" s="60">
        <v>2</v>
      </c>
      <c r="J54" s="5" t="s">
        <v>1425</v>
      </c>
      <c r="K54" s="58">
        <v>5535.71</v>
      </c>
      <c r="L54" s="5" t="s">
        <v>1103</v>
      </c>
      <c r="M54" s="5" t="s">
        <v>1408</v>
      </c>
      <c r="N54" t="str">
        <f>_xlfn.XLOOKUP(A54,Monitoring!A:A,Monitoring!D:D)</f>
        <v>OFFICES</v>
      </c>
    </row>
    <row r="55" spans="1:14" x14ac:dyDescent="0.35">
      <c r="A55" s="5">
        <v>10001314</v>
      </c>
      <c r="B55" s="5" t="s">
        <v>1295</v>
      </c>
      <c r="C55" s="5" t="s">
        <v>1318</v>
      </c>
      <c r="D55" s="61">
        <v>46162</v>
      </c>
      <c r="E55" s="61">
        <v>46160</v>
      </c>
      <c r="F55" s="5" t="s">
        <v>1297</v>
      </c>
      <c r="G55" s="5" t="s">
        <v>2300</v>
      </c>
      <c r="H55" s="5" t="s">
        <v>2292</v>
      </c>
      <c r="I55" s="60">
        <v>1</v>
      </c>
      <c r="J55" s="5" t="s">
        <v>1425</v>
      </c>
      <c r="K55" s="58">
        <v>4017.86</v>
      </c>
      <c r="L55" s="5" t="s">
        <v>1103</v>
      </c>
      <c r="M55" s="5" t="s">
        <v>1408</v>
      </c>
      <c r="N55" t="str">
        <f>_xlfn.XLOOKUP(A55,Monitoring!A:A,Monitoring!D:D)</f>
        <v>OFFICES</v>
      </c>
    </row>
    <row r="56" spans="1:14" x14ac:dyDescent="0.35">
      <c r="A56" s="5">
        <v>10001314</v>
      </c>
      <c r="B56" s="5" t="s">
        <v>1295</v>
      </c>
      <c r="C56" s="5" t="s">
        <v>1318</v>
      </c>
      <c r="D56" s="61">
        <v>46162</v>
      </c>
      <c r="E56" s="61">
        <v>46160</v>
      </c>
      <c r="F56" s="5" t="s">
        <v>1297</v>
      </c>
      <c r="G56" s="5" t="s">
        <v>2300</v>
      </c>
      <c r="H56" s="5" t="s">
        <v>2291</v>
      </c>
      <c r="I56" s="60">
        <v>10</v>
      </c>
      <c r="J56" s="5" t="s">
        <v>1425</v>
      </c>
      <c r="K56" s="58">
        <v>54910.71</v>
      </c>
      <c r="L56" s="5" t="s">
        <v>1103</v>
      </c>
      <c r="M56" s="5" t="s">
        <v>1408</v>
      </c>
      <c r="N56" t="str">
        <f>_xlfn.XLOOKUP(A56,Monitoring!A:A,Monitoring!D:D)</f>
        <v>OFFICES</v>
      </c>
    </row>
    <row r="57" spans="1:14" x14ac:dyDescent="0.35">
      <c r="A57" s="5">
        <v>10001314</v>
      </c>
      <c r="B57" s="5" t="s">
        <v>1295</v>
      </c>
      <c r="C57" s="5" t="s">
        <v>1318</v>
      </c>
      <c r="D57" s="61">
        <v>46162</v>
      </c>
      <c r="E57" s="61">
        <v>46160</v>
      </c>
      <c r="F57" s="5" t="s">
        <v>1297</v>
      </c>
      <c r="G57" s="5" t="s">
        <v>2300</v>
      </c>
      <c r="H57" s="5" t="s">
        <v>2290</v>
      </c>
      <c r="I57" s="60">
        <v>4</v>
      </c>
      <c r="J57" s="5" t="s">
        <v>1425</v>
      </c>
      <c r="K57" s="58">
        <v>21428.57</v>
      </c>
      <c r="L57" s="5" t="s">
        <v>1103</v>
      </c>
      <c r="M57" s="5" t="s">
        <v>1408</v>
      </c>
      <c r="N57" t="str">
        <f>_xlfn.XLOOKUP(A57,Monitoring!A:A,Monitoring!D:D)</f>
        <v>OFFICES</v>
      </c>
    </row>
    <row r="58" spans="1:14" x14ac:dyDescent="0.35">
      <c r="A58" s="5">
        <v>10001314</v>
      </c>
      <c r="B58" s="5" t="s">
        <v>1295</v>
      </c>
      <c r="C58" s="5" t="s">
        <v>1318</v>
      </c>
      <c r="D58" s="61">
        <v>46162</v>
      </c>
      <c r="E58" s="61">
        <v>46160</v>
      </c>
      <c r="F58" s="5" t="s">
        <v>1297</v>
      </c>
      <c r="G58" s="5" t="s">
        <v>2300</v>
      </c>
      <c r="H58" s="5" t="s">
        <v>2289</v>
      </c>
      <c r="I58" s="60">
        <v>10</v>
      </c>
      <c r="J58" s="5" t="s">
        <v>1425</v>
      </c>
      <c r="K58" s="58">
        <v>4910.71</v>
      </c>
      <c r="L58" s="5" t="s">
        <v>1103</v>
      </c>
      <c r="M58" s="5" t="s">
        <v>1408</v>
      </c>
      <c r="N58" t="str">
        <f>_xlfn.XLOOKUP(A58,Monitoring!A:A,Monitoring!D:D)</f>
        <v>OFFICES</v>
      </c>
    </row>
    <row r="59" spans="1:14" x14ac:dyDescent="0.35">
      <c r="A59" s="5">
        <v>10001314</v>
      </c>
      <c r="B59" s="5" t="s">
        <v>1295</v>
      </c>
      <c r="C59" s="5" t="s">
        <v>1318</v>
      </c>
      <c r="D59" s="61">
        <v>46162</v>
      </c>
      <c r="E59" s="61">
        <v>46160</v>
      </c>
      <c r="F59" s="5" t="s">
        <v>1297</v>
      </c>
      <c r="G59" s="5" t="s">
        <v>2300</v>
      </c>
      <c r="H59" s="5" t="s">
        <v>2288</v>
      </c>
      <c r="I59" s="60">
        <v>10</v>
      </c>
      <c r="J59" s="5" t="s">
        <v>1425</v>
      </c>
      <c r="K59" s="58">
        <v>1875</v>
      </c>
      <c r="L59" s="5" t="s">
        <v>1103</v>
      </c>
      <c r="M59" s="5" t="s">
        <v>1408</v>
      </c>
      <c r="N59" t="str">
        <f>_xlfn.XLOOKUP(A59,Monitoring!A:A,Monitoring!D:D)</f>
        <v>OFFICES</v>
      </c>
    </row>
    <row r="60" spans="1:14" x14ac:dyDescent="0.35">
      <c r="A60" s="5">
        <v>10001314</v>
      </c>
      <c r="B60" s="5" t="s">
        <v>1295</v>
      </c>
      <c r="C60" s="5" t="s">
        <v>1318</v>
      </c>
      <c r="D60" s="61">
        <v>46162</v>
      </c>
      <c r="E60" s="61">
        <v>46160</v>
      </c>
      <c r="F60" s="5" t="s">
        <v>1297</v>
      </c>
      <c r="G60" s="5" t="s">
        <v>2300</v>
      </c>
      <c r="H60" s="5" t="s">
        <v>2287</v>
      </c>
      <c r="I60" s="60">
        <v>7</v>
      </c>
      <c r="J60" s="5" t="s">
        <v>1425</v>
      </c>
      <c r="K60" s="58">
        <v>3125</v>
      </c>
      <c r="L60" s="5" t="s">
        <v>1103</v>
      </c>
      <c r="M60" s="5" t="s">
        <v>1408</v>
      </c>
      <c r="N60" t="str">
        <f>_xlfn.XLOOKUP(A60,Monitoring!A:A,Monitoring!D:D)</f>
        <v>OFFICES</v>
      </c>
    </row>
    <row r="61" spans="1:14" x14ac:dyDescent="0.35">
      <c r="A61" s="5">
        <v>10001314</v>
      </c>
      <c r="B61" s="5" t="s">
        <v>1295</v>
      </c>
      <c r="C61" s="5" t="s">
        <v>1318</v>
      </c>
      <c r="D61" s="61">
        <v>46162</v>
      </c>
      <c r="E61" s="61">
        <v>46169</v>
      </c>
      <c r="F61" s="5" t="s">
        <v>1297</v>
      </c>
      <c r="G61" s="5" t="s">
        <v>2300</v>
      </c>
      <c r="H61" s="5" t="s">
        <v>2286</v>
      </c>
      <c r="I61" s="60">
        <v>7</v>
      </c>
      <c r="J61" s="5" t="s">
        <v>1425</v>
      </c>
      <c r="K61" s="58">
        <v>1187.5</v>
      </c>
      <c r="L61" s="5" t="s">
        <v>1103</v>
      </c>
      <c r="M61" s="5" t="s">
        <v>1408</v>
      </c>
      <c r="N61" t="str">
        <f>_xlfn.XLOOKUP(A61,Monitoring!A:A,Monitoring!D:D)</f>
        <v>OFFICES</v>
      </c>
    </row>
    <row r="62" spans="1:14" x14ac:dyDescent="0.35">
      <c r="A62" s="5">
        <v>10001314</v>
      </c>
      <c r="B62" s="5" t="s">
        <v>1295</v>
      </c>
      <c r="C62" s="5" t="s">
        <v>1318</v>
      </c>
      <c r="D62" s="61">
        <v>46162</v>
      </c>
      <c r="E62" s="61">
        <v>46160</v>
      </c>
      <c r="F62" s="5" t="s">
        <v>1297</v>
      </c>
      <c r="G62" s="5" t="s">
        <v>2300</v>
      </c>
      <c r="H62" s="5" t="s">
        <v>2284</v>
      </c>
      <c r="I62" s="60">
        <v>2</v>
      </c>
      <c r="J62" s="5" t="s">
        <v>1425</v>
      </c>
      <c r="K62" s="58">
        <v>446.43</v>
      </c>
      <c r="L62" s="5" t="s">
        <v>1103</v>
      </c>
      <c r="M62" s="5" t="s">
        <v>1408</v>
      </c>
      <c r="N62" t="str">
        <f>_xlfn.XLOOKUP(A62,Monitoring!A:A,Monitoring!D:D)</f>
        <v>OFFICES</v>
      </c>
    </row>
    <row r="63" spans="1:14" x14ac:dyDescent="0.35">
      <c r="A63" s="5">
        <v>10001314</v>
      </c>
      <c r="B63" s="5" t="s">
        <v>1295</v>
      </c>
      <c r="C63" s="5" t="s">
        <v>1318</v>
      </c>
      <c r="D63" s="61">
        <v>46162</v>
      </c>
      <c r="E63" s="61">
        <v>46160</v>
      </c>
      <c r="F63" s="5" t="s">
        <v>1297</v>
      </c>
      <c r="G63" s="5" t="s">
        <v>2300</v>
      </c>
      <c r="H63" s="5" t="s">
        <v>2285</v>
      </c>
      <c r="I63" s="60">
        <v>6</v>
      </c>
      <c r="J63" s="5" t="s">
        <v>1425</v>
      </c>
      <c r="K63" s="58">
        <v>2812.5</v>
      </c>
      <c r="L63" s="5" t="s">
        <v>1103</v>
      </c>
      <c r="M63" s="5" t="s">
        <v>1408</v>
      </c>
      <c r="N63" t="str">
        <f>_xlfn.XLOOKUP(A63,Monitoring!A:A,Monitoring!D:D)</f>
        <v>OFFICES</v>
      </c>
    </row>
    <row r="64" spans="1:14" x14ac:dyDescent="0.35">
      <c r="A64" s="5">
        <v>10001314</v>
      </c>
      <c r="B64" s="5" t="s">
        <v>1295</v>
      </c>
      <c r="C64" s="5" t="s">
        <v>1318</v>
      </c>
      <c r="D64" s="61">
        <v>46162</v>
      </c>
      <c r="E64" s="61">
        <v>46175</v>
      </c>
      <c r="F64" s="5" t="s">
        <v>1297</v>
      </c>
      <c r="G64" s="5" t="s">
        <v>2300</v>
      </c>
      <c r="H64" s="5" t="s">
        <v>2284</v>
      </c>
      <c r="I64" s="60">
        <v>8</v>
      </c>
      <c r="J64" s="5" t="s">
        <v>1425</v>
      </c>
      <c r="K64" s="58">
        <v>1571.43</v>
      </c>
      <c r="L64" s="5" t="s">
        <v>1103</v>
      </c>
      <c r="M64" s="5" t="s">
        <v>1408</v>
      </c>
      <c r="N64" t="str">
        <f>_xlfn.XLOOKUP(A64,Monitoring!A:A,Monitoring!D:D)</f>
        <v>OFFICES</v>
      </c>
    </row>
    <row r="65" spans="1:14" x14ac:dyDescent="0.35">
      <c r="A65" s="5">
        <v>10001314</v>
      </c>
      <c r="B65" s="5" t="s">
        <v>1295</v>
      </c>
      <c r="C65" s="5" t="s">
        <v>1318</v>
      </c>
      <c r="D65" s="61">
        <v>46059</v>
      </c>
      <c r="E65" s="61">
        <v>46081</v>
      </c>
      <c r="F65" s="5" t="s">
        <v>1297</v>
      </c>
      <c r="G65" s="5" t="s">
        <v>1445</v>
      </c>
      <c r="H65" s="5" t="s">
        <v>1412</v>
      </c>
      <c r="I65" s="60">
        <v>0</v>
      </c>
      <c r="J65" s="5" t="s">
        <v>1300</v>
      </c>
      <c r="K65" s="58">
        <v>0</v>
      </c>
      <c r="L65" s="5" t="s">
        <v>1429</v>
      </c>
      <c r="M65" s="5" t="s">
        <v>1306</v>
      </c>
      <c r="N65" t="str">
        <f>_xlfn.XLOOKUP(A65,Monitoring!A:A,Monitoring!D:D)</f>
        <v>OFFICES</v>
      </c>
    </row>
    <row r="66" spans="1:14" x14ac:dyDescent="0.35">
      <c r="A66" s="5">
        <v>10001314</v>
      </c>
      <c r="B66" s="5" t="s">
        <v>1295</v>
      </c>
      <c r="C66" s="5" t="s">
        <v>1318</v>
      </c>
      <c r="D66" s="61">
        <v>46050</v>
      </c>
      <c r="E66" s="61">
        <v>46050</v>
      </c>
      <c r="F66" s="5" t="s">
        <v>1297</v>
      </c>
      <c r="G66" s="5" t="s">
        <v>1025</v>
      </c>
      <c r="H66" s="5" t="s">
        <v>1101</v>
      </c>
      <c r="I66" s="60">
        <v>0</v>
      </c>
      <c r="J66" s="5" t="s">
        <v>1300</v>
      </c>
      <c r="K66" s="58">
        <v>0</v>
      </c>
      <c r="L66" s="5" t="s">
        <v>1444</v>
      </c>
      <c r="M66" s="5" t="s">
        <v>1339</v>
      </c>
      <c r="N66" t="str">
        <f>_xlfn.XLOOKUP(A66,Monitoring!A:A,Monitoring!D:D)</f>
        <v>OFFICES</v>
      </c>
    </row>
    <row r="67" spans="1:14" x14ac:dyDescent="0.35">
      <c r="A67" s="5">
        <v>10001314</v>
      </c>
      <c r="B67" s="5" t="s">
        <v>1295</v>
      </c>
      <c r="C67" s="5" t="s">
        <v>1318</v>
      </c>
      <c r="D67" s="61">
        <v>46050</v>
      </c>
      <c r="E67" s="61">
        <v>46048</v>
      </c>
      <c r="F67" s="5" t="s">
        <v>1297</v>
      </c>
      <c r="G67" s="5" t="s">
        <v>1025</v>
      </c>
      <c r="H67" s="5" t="s">
        <v>1027</v>
      </c>
      <c r="I67" s="60">
        <v>0</v>
      </c>
      <c r="J67" s="5" t="s">
        <v>1300</v>
      </c>
      <c r="K67" s="58">
        <v>0</v>
      </c>
      <c r="L67" s="5" t="s">
        <v>1444</v>
      </c>
      <c r="M67" s="5" t="s">
        <v>1339</v>
      </c>
      <c r="N67" t="str">
        <f>_xlfn.XLOOKUP(A67,Monitoring!A:A,Monitoring!D:D)</f>
        <v>OFFICES</v>
      </c>
    </row>
    <row r="68" spans="1:14" x14ac:dyDescent="0.35">
      <c r="A68" s="5">
        <v>10001314</v>
      </c>
      <c r="B68" s="5" t="s">
        <v>1295</v>
      </c>
      <c r="C68" s="5" t="s">
        <v>1318</v>
      </c>
      <c r="D68" s="61">
        <v>46048</v>
      </c>
      <c r="E68" s="61">
        <v>46062</v>
      </c>
      <c r="F68" s="5" t="s">
        <v>1297</v>
      </c>
      <c r="G68" s="5" t="s">
        <v>1443</v>
      </c>
      <c r="H68" s="5" t="s">
        <v>1414</v>
      </c>
      <c r="I68" s="60">
        <v>1</v>
      </c>
      <c r="J68" s="5" t="s">
        <v>1300</v>
      </c>
      <c r="K68" s="58">
        <v>267857.14</v>
      </c>
      <c r="L68" s="5" t="s">
        <v>1329</v>
      </c>
      <c r="M68" s="5" t="s">
        <v>1408</v>
      </c>
      <c r="N68" t="str">
        <f>_xlfn.XLOOKUP(A68,Monitoring!A:A,Monitoring!D:D)</f>
        <v>OFFICES</v>
      </c>
    </row>
    <row r="69" spans="1:14" x14ac:dyDescent="0.35">
      <c r="A69" s="5">
        <v>10001314</v>
      </c>
      <c r="B69" s="5" t="s">
        <v>1295</v>
      </c>
      <c r="C69" s="5" t="s">
        <v>1318</v>
      </c>
      <c r="D69" s="61">
        <v>46027</v>
      </c>
      <c r="E69" s="61">
        <v>46016</v>
      </c>
      <c r="F69" s="5" t="s">
        <v>1297</v>
      </c>
      <c r="G69" s="5" t="s">
        <v>1437</v>
      </c>
      <c r="H69" s="5" t="s">
        <v>1438</v>
      </c>
      <c r="I69" s="60">
        <v>1</v>
      </c>
      <c r="J69" s="5" t="s">
        <v>1300</v>
      </c>
      <c r="K69" s="58">
        <v>491071.43</v>
      </c>
      <c r="L69" s="5" t="s">
        <v>1329</v>
      </c>
      <c r="M69" s="5" t="s">
        <v>1408</v>
      </c>
      <c r="N69" t="str">
        <f>_xlfn.XLOOKUP(A69,Monitoring!A:A,Monitoring!D:D)</f>
        <v>OFFICES</v>
      </c>
    </row>
    <row r="70" spans="1:14" x14ac:dyDescent="0.35">
      <c r="A70" s="5">
        <v>10001314</v>
      </c>
      <c r="B70" s="5" t="s">
        <v>1295</v>
      </c>
      <c r="C70" s="5" t="s">
        <v>1318</v>
      </c>
      <c r="D70" s="61">
        <v>46017</v>
      </c>
      <c r="E70" s="61">
        <v>46016</v>
      </c>
      <c r="F70" s="5" t="s">
        <v>1297</v>
      </c>
      <c r="G70" s="5" t="s">
        <v>1435</v>
      </c>
      <c r="H70" s="5" t="s">
        <v>1436</v>
      </c>
      <c r="I70" s="60">
        <v>0</v>
      </c>
      <c r="J70" s="5" t="s">
        <v>1300</v>
      </c>
      <c r="K70" s="58">
        <v>0</v>
      </c>
      <c r="L70" s="5" t="s">
        <v>1429</v>
      </c>
      <c r="M70" s="5" t="s">
        <v>1306</v>
      </c>
      <c r="N70" t="str">
        <f>_xlfn.XLOOKUP(A70,Monitoring!A:A,Monitoring!D:D)</f>
        <v>OFFICES</v>
      </c>
    </row>
    <row r="71" spans="1:14" x14ac:dyDescent="0.35">
      <c r="A71" s="5">
        <v>10001314</v>
      </c>
      <c r="B71" s="5" t="s">
        <v>1295</v>
      </c>
      <c r="C71" s="5" t="s">
        <v>1318</v>
      </c>
      <c r="D71" s="61">
        <v>45972</v>
      </c>
      <c r="E71" s="61">
        <v>46022</v>
      </c>
      <c r="F71" s="5" t="s">
        <v>1297</v>
      </c>
      <c r="G71" s="5" t="s">
        <v>1033</v>
      </c>
      <c r="H71" s="5" t="s">
        <v>1099</v>
      </c>
      <c r="I71" s="60">
        <v>0</v>
      </c>
      <c r="J71" s="5" t="s">
        <v>1425</v>
      </c>
      <c r="K71" s="58">
        <v>0</v>
      </c>
      <c r="L71" s="5" t="s">
        <v>1103</v>
      </c>
      <c r="M71" s="5" t="s">
        <v>1306</v>
      </c>
      <c r="N71" t="str">
        <f>_xlfn.XLOOKUP(A71,Monitoring!A:A,Monitoring!D:D)</f>
        <v>OFFICES</v>
      </c>
    </row>
    <row r="72" spans="1:14" x14ac:dyDescent="0.35">
      <c r="A72" s="5">
        <v>10001314</v>
      </c>
      <c r="B72" s="5" t="s">
        <v>1295</v>
      </c>
      <c r="C72" s="5" t="s">
        <v>1318</v>
      </c>
      <c r="D72" s="61">
        <v>45972</v>
      </c>
      <c r="E72" s="61">
        <v>46022</v>
      </c>
      <c r="F72" s="5" t="s">
        <v>1297</v>
      </c>
      <c r="G72" s="5" t="s">
        <v>1033</v>
      </c>
      <c r="H72" s="5" t="s">
        <v>1097</v>
      </c>
      <c r="I72" s="60">
        <v>0</v>
      </c>
      <c r="J72" s="5" t="s">
        <v>1425</v>
      </c>
      <c r="K72" s="58">
        <v>0</v>
      </c>
      <c r="L72" s="5" t="s">
        <v>1103</v>
      </c>
      <c r="M72" s="5" t="s">
        <v>1306</v>
      </c>
      <c r="N72" t="str">
        <f>_xlfn.XLOOKUP(A72,Monitoring!A:A,Monitoring!D:D)</f>
        <v>OFFICES</v>
      </c>
    </row>
    <row r="73" spans="1:14" x14ac:dyDescent="0.35">
      <c r="A73" s="5">
        <v>10001314</v>
      </c>
      <c r="B73" s="5" t="s">
        <v>1295</v>
      </c>
      <c r="C73" s="5" t="s">
        <v>1318</v>
      </c>
      <c r="D73" s="61">
        <v>45972</v>
      </c>
      <c r="E73" s="61">
        <v>46022</v>
      </c>
      <c r="F73" s="5" t="s">
        <v>1297</v>
      </c>
      <c r="G73" s="5" t="s">
        <v>1033</v>
      </c>
      <c r="H73" s="5" t="s">
        <v>1095</v>
      </c>
      <c r="I73" s="60">
        <v>0</v>
      </c>
      <c r="J73" s="5" t="s">
        <v>1425</v>
      </c>
      <c r="K73" s="58">
        <v>0</v>
      </c>
      <c r="L73" s="5" t="s">
        <v>1103</v>
      </c>
      <c r="M73" s="5" t="s">
        <v>1306</v>
      </c>
      <c r="N73" t="str">
        <f>_xlfn.XLOOKUP(A73,Monitoring!A:A,Monitoring!D:D)</f>
        <v>OFFICES</v>
      </c>
    </row>
    <row r="74" spans="1:14" x14ac:dyDescent="0.35">
      <c r="A74" s="5">
        <v>10001314</v>
      </c>
      <c r="B74" s="5" t="s">
        <v>1295</v>
      </c>
      <c r="C74" s="5" t="s">
        <v>1318</v>
      </c>
      <c r="D74" s="61">
        <v>45972</v>
      </c>
      <c r="E74" s="61">
        <v>46022</v>
      </c>
      <c r="F74" s="5" t="s">
        <v>1297</v>
      </c>
      <c r="G74" s="5" t="s">
        <v>1033</v>
      </c>
      <c r="H74" s="5" t="s">
        <v>1093</v>
      </c>
      <c r="I74" s="60">
        <v>0</v>
      </c>
      <c r="J74" s="5" t="s">
        <v>1425</v>
      </c>
      <c r="K74" s="58">
        <v>0</v>
      </c>
      <c r="L74" s="5" t="s">
        <v>1103</v>
      </c>
      <c r="M74" s="5" t="s">
        <v>1306</v>
      </c>
      <c r="N74" t="str">
        <f>_xlfn.XLOOKUP(A74,Monitoring!A:A,Monitoring!D:D)</f>
        <v>OFFICES</v>
      </c>
    </row>
    <row r="75" spans="1:14" x14ac:dyDescent="0.35">
      <c r="A75" s="5">
        <v>10001314</v>
      </c>
      <c r="B75" s="5" t="s">
        <v>1295</v>
      </c>
      <c r="C75" s="5" t="s">
        <v>1318</v>
      </c>
      <c r="D75" s="61">
        <v>45972</v>
      </c>
      <c r="E75" s="61">
        <v>46022</v>
      </c>
      <c r="F75" s="5" t="s">
        <v>1297</v>
      </c>
      <c r="G75" s="5" t="s">
        <v>1033</v>
      </c>
      <c r="H75" s="5" t="s">
        <v>1091</v>
      </c>
      <c r="I75" s="60">
        <v>0</v>
      </c>
      <c r="J75" s="5" t="s">
        <v>1425</v>
      </c>
      <c r="K75" s="58">
        <v>0</v>
      </c>
      <c r="L75" s="5" t="s">
        <v>1103</v>
      </c>
      <c r="M75" s="5" t="s">
        <v>1306</v>
      </c>
      <c r="N75" t="str">
        <f>_xlfn.XLOOKUP(A75,Monitoring!A:A,Monitoring!D:D)</f>
        <v>OFFICES</v>
      </c>
    </row>
    <row r="76" spans="1:14" x14ac:dyDescent="0.35">
      <c r="A76" s="5">
        <v>10001314</v>
      </c>
      <c r="B76" s="5" t="s">
        <v>1295</v>
      </c>
      <c r="C76" s="5" t="s">
        <v>1318</v>
      </c>
      <c r="D76" s="61">
        <v>45972</v>
      </c>
      <c r="E76" s="61">
        <v>46022</v>
      </c>
      <c r="F76" s="5" t="s">
        <v>1297</v>
      </c>
      <c r="G76" s="5" t="s">
        <v>1033</v>
      </c>
      <c r="H76" s="5" t="s">
        <v>1089</v>
      </c>
      <c r="I76" s="60">
        <v>0</v>
      </c>
      <c r="J76" s="5" t="s">
        <v>1425</v>
      </c>
      <c r="K76" s="58">
        <v>0</v>
      </c>
      <c r="L76" s="5" t="s">
        <v>1103</v>
      </c>
      <c r="M76" s="5" t="s">
        <v>1306</v>
      </c>
      <c r="N76" t="str">
        <f>_xlfn.XLOOKUP(A76,Monitoring!A:A,Monitoring!D:D)</f>
        <v>OFFICES</v>
      </c>
    </row>
    <row r="77" spans="1:14" x14ac:dyDescent="0.35">
      <c r="A77" s="5">
        <v>10001314</v>
      </c>
      <c r="B77" s="5" t="s">
        <v>1295</v>
      </c>
      <c r="C77" s="5" t="s">
        <v>1318</v>
      </c>
      <c r="D77" s="61">
        <v>45972</v>
      </c>
      <c r="E77" s="61">
        <v>46022</v>
      </c>
      <c r="F77" s="5" t="s">
        <v>1297</v>
      </c>
      <c r="G77" s="5" t="s">
        <v>1033</v>
      </c>
      <c r="H77" s="5" t="s">
        <v>1087</v>
      </c>
      <c r="I77" s="60">
        <v>0</v>
      </c>
      <c r="J77" s="5" t="s">
        <v>1425</v>
      </c>
      <c r="K77" s="58">
        <v>0</v>
      </c>
      <c r="L77" s="5" t="s">
        <v>1103</v>
      </c>
      <c r="M77" s="5" t="s">
        <v>1306</v>
      </c>
      <c r="N77" t="str">
        <f>_xlfn.XLOOKUP(A77,Monitoring!A:A,Monitoring!D:D)</f>
        <v>OFFICES</v>
      </c>
    </row>
    <row r="78" spans="1:14" x14ac:dyDescent="0.35">
      <c r="A78" s="5">
        <v>10001314</v>
      </c>
      <c r="B78" s="5" t="s">
        <v>1295</v>
      </c>
      <c r="C78" s="5" t="s">
        <v>1318</v>
      </c>
      <c r="D78" s="61">
        <v>45972</v>
      </c>
      <c r="E78" s="61">
        <v>46022</v>
      </c>
      <c r="F78" s="5" t="s">
        <v>1297</v>
      </c>
      <c r="G78" s="5" t="s">
        <v>1033</v>
      </c>
      <c r="H78" s="5" t="s">
        <v>1083</v>
      </c>
      <c r="I78" s="60">
        <v>0</v>
      </c>
      <c r="J78" s="5" t="s">
        <v>1425</v>
      </c>
      <c r="K78" s="58">
        <v>0</v>
      </c>
      <c r="L78" s="5" t="s">
        <v>1103</v>
      </c>
      <c r="M78" s="5" t="s">
        <v>1306</v>
      </c>
      <c r="N78" t="str">
        <f>_xlfn.XLOOKUP(A78,Monitoring!A:A,Monitoring!D:D)</f>
        <v>OFFICES</v>
      </c>
    </row>
    <row r="79" spans="1:14" x14ac:dyDescent="0.35">
      <c r="A79" s="5">
        <v>10001314</v>
      </c>
      <c r="B79" s="5" t="s">
        <v>1295</v>
      </c>
      <c r="C79" s="5" t="s">
        <v>1318</v>
      </c>
      <c r="D79" s="61">
        <v>45972</v>
      </c>
      <c r="E79" s="61">
        <v>46022</v>
      </c>
      <c r="F79" s="5" t="s">
        <v>1297</v>
      </c>
      <c r="G79" s="5" t="s">
        <v>1033</v>
      </c>
      <c r="H79" s="5" t="s">
        <v>1083</v>
      </c>
      <c r="I79" s="60">
        <v>0</v>
      </c>
      <c r="J79" s="5" t="s">
        <v>1425</v>
      </c>
      <c r="K79" s="58">
        <v>0</v>
      </c>
      <c r="L79" s="5" t="s">
        <v>1103</v>
      </c>
      <c r="M79" s="5" t="s">
        <v>1306</v>
      </c>
      <c r="N79" t="str">
        <f>_xlfn.XLOOKUP(A79,Monitoring!A:A,Monitoring!D:D)</f>
        <v>OFFICES</v>
      </c>
    </row>
    <row r="80" spans="1:14" x14ac:dyDescent="0.35">
      <c r="A80" s="5">
        <v>10001314</v>
      </c>
      <c r="B80" s="5" t="s">
        <v>1295</v>
      </c>
      <c r="C80" s="5" t="s">
        <v>1318</v>
      </c>
      <c r="D80" s="61">
        <v>45972</v>
      </c>
      <c r="E80" s="61">
        <v>46022</v>
      </c>
      <c r="F80" s="5" t="s">
        <v>1297</v>
      </c>
      <c r="G80" s="5" t="s">
        <v>1033</v>
      </c>
      <c r="H80" s="5" t="s">
        <v>1083</v>
      </c>
      <c r="I80" s="60">
        <v>0</v>
      </c>
      <c r="J80" s="5" t="s">
        <v>1425</v>
      </c>
      <c r="K80" s="58">
        <v>0</v>
      </c>
      <c r="L80" s="5" t="s">
        <v>1103</v>
      </c>
      <c r="M80" s="5" t="s">
        <v>1306</v>
      </c>
      <c r="N80" t="str">
        <f>_xlfn.XLOOKUP(A80,Monitoring!A:A,Monitoring!D:D)</f>
        <v>OFFICES</v>
      </c>
    </row>
    <row r="81" spans="1:14" x14ac:dyDescent="0.35">
      <c r="A81" s="5">
        <v>10001314</v>
      </c>
      <c r="B81" s="5" t="s">
        <v>1295</v>
      </c>
      <c r="C81" s="5" t="s">
        <v>1318</v>
      </c>
      <c r="D81" s="61">
        <v>45972</v>
      </c>
      <c r="E81" s="61">
        <v>46022</v>
      </c>
      <c r="F81" s="5" t="s">
        <v>1297</v>
      </c>
      <c r="G81" s="5" t="s">
        <v>1033</v>
      </c>
      <c r="H81" s="5" t="s">
        <v>1068</v>
      </c>
      <c r="I81" s="60">
        <v>0</v>
      </c>
      <c r="J81" s="5" t="s">
        <v>1425</v>
      </c>
      <c r="K81" s="58">
        <v>0</v>
      </c>
      <c r="L81" s="5" t="s">
        <v>1103</v>
      </c>
      <c r="M81" s="5" t="s">
        <v>1306</v>
      </c>
      <c r="N81" t="str">
        <f>_xlfn.XLOOKUP(A81,Monitoring!A:A,Monitoring!D:D)</f>
        <v>OFFICES</v>
      </c>
    </row>
    <row r="82" spans="1:14" x14ac:dyDescent="0.35">
      <c r="A82" s="5">
        <v>10001314</v>
      </c>
      <c r="B82" s="5" t="s">
        <v>1295</v>
      </c>
      <c r="C82" s="5" t="s">
        <v>1318</v>
      </c>
      <c r="D82" s="61">
        <v>45972</v>
      </c>
      <c r="E82" s="61">
        <v>46022</v>
      </c>
      <c r="F82" s="5" t="s">
        <v>1297</v>
      </c>
      <c r="G82" s="5" t="s">
        <v>1033</v>
      </c>
      <c r="H82" s="5" t="s">
        <v>1079</v>
      </c>
      <c r="I82" s="60">
        <v>0</v>
      </c>
      <c r="J82" s="5" t="s">
        <v>1425</v>
      </c>
      <c r="K82" s="58">
        <v>0</v>
      </c>
      <c r="L82" s="5" t="s">
        <v>1103</v>
      </c>
      <c r="M82" s="5" t="s">
        <v>1306</v>
      </c>
      <c r="N82" t="str">
        <f>_xlfn.XLOOKUP(A82,Monitoring!A:A,Monitoring!D:D)</f>
        <v>OFFICES</v>
      </c>
    </row>
    <row r="83" spans="1:14" x14ac:dyDescent="0.35">
      <c r="A83" s="5">
        <v>10001314</v>
      </c>
      <c r="B83" s="5" t="s">
        <v>1295</v>
      </c>
      <c r="C83" s="5" t="s">
        <v>1318</v>
      </c>
      <c r="D83" s="61">
        <v>45972</v>
      </c>
      <c r="E83" s="61">
        <v>46022</v>
      </c>
      <c r="F83" s="5" t="s">
        <v>1297</v>
      </c>
      <c r="G83" s="5" t="s">
        <v>1033</v>
      </c>
      <c r="H83" s="5" t="s">
        <v>1079</v>
      </c>
      <c r="I83" s="60">
        <v>0</v>
      </c>
      <c r="J83" s="5" t="s">
        <v>1425</v>
      </c>
      <c r="K83" s="58">
        <v>0</v>
      </c>
      <c r="L83" s="5" t="s">
        <v>1103</v>
      </c>
      <c r="M83" s="5" t="s">
        <v>1306</v>
      </c>
      <c r="N83" t="str">
        <f>_xlfn.XLOOKUP(A83,Monitoring!A:A,Monitoring!D:D)</f>
        <v>OFFICES</v>
      </c>
    </row>
    <row r="84" spans="1:14" x14ac:dyDescent="0.35">
      <c r="A84" s="5">
        <v>10001314</v>
      </c>
      <c r="B84" s="5" t="s">
        <v>1295</v>
      </c>
      <c r="C84" s="5" t="s">
        <v>1318</v>
      </c>
      <c r="D84" s="61">
        <v>45972</v>
      </c>
      <c r="E84" s="61">
        <v>46022</v>
      </c>
      <c r="F84" s="5" t="s">
        <v>1297</v>
      </c>
      <c r="G84" s="5" t="s">
        <v>1033</v>
      </c>
      <c r="H84" s="5" t="s">
        <v>1074</v>
      </c>
      <c r="I84" s="60">
        <v>0</v>
      </c>
      <c r="J84" s="5" t="s">
        <v>1342</v>
      </c>
      <c r="K84" s="58">
        <v>0</v>
      </c>
      <c r="L84" s="5" t="s">
        <v>1103</v>
      </c>
      <c r="M84" s="5" t="s">
        <v>1306</v>
      </c>
      <c r="N84" t="str">
        <f>_xlfn.XLOOKUP(A84,Monitoring!A:A,Monitoring!D:D)</f>
        <v>OFFICES</v>
      </c>
    </row>
    <row r="85" spans="1:14" x14ac:dyDescent="0.35">
      <c r="A85" s="5">
        <v>10001314</v>
      </c>
      <c r="B85" s="5" t="s">
        <v>1295</v>
      </c>
      <c r="C85" s="5" t="s">
        <v>1318</v>
      </c>
      <c r="D85" s="61">
        <v>45972</v>
      </c>
      <c r="E85" s="61">
        <v>46022</v>
      </c>
      <c r="F85" s="5" t="s">
        <v>1297</v>
      </c>
      <c r="G85" s="5" t="s">
        <v>1033</v>
      </c>
      <c r="H85" s="5" t="s">
        <v>1074</v>
      </c>
      <c r="I85" s="60">
        <v>0</v>
      </c>
      <c r="J85" s="5" t="s">
        <v>1342</v>
      </c>
      <c r="K85" s="58">
        <v>0</v>
      </c>
      <c r="L85" s="5" t="s">
        <v>1103</v>
      </c>
      <c r="M85" s="5" t="s">
        <v>1306</v>
      </c>
      <c r="N85" t="str">
        <f>_xlfn.XLOOKUP(A85,Monitoring!A:A,Monitoring!D:D)</f>
        <v>OFFICES</v>
      </c>
    </row>
    <row r="86" spans="1:14" x14ac:dyDescent="0.35">
      <c r="A86" s="5">
        <v>10001314</v>
      </c>
      <c r="B86" s="5" t="s">
        <v>1295</v>
      </c>
      <c r="C86" s="5" t="s">
        <v>1318</v>
      </c>
      <c r="D86" s="61">
        <v>45972</v>
      </c>
      <c r="E86" s="61">
        <v>46022</v>
      </c>
      <c r="F86" s="5" t="s">
        <v>1297</v>
      </c>
      <c r="G86" s="5" t="s">
        <v>1033</v>
      </c>
      <c r="H86" s="5" t="s">
        <v>1070</v>
      </c>
      <c r="I86" s="60">
        <v>0</v>
      </c>
      <c r="J86" s="5" t="s">
        <v>1342</v>
      </c>
      <c r="K86" s="58">
        <v>0</v>
      </c>
      <c r="L86" s="5" t="s">
        <v>1103</v>
      </c>
      <c r="M86" s="5" t="s">
        <v>1306</v>
      </c>
      <c r="N86" t="str">
        <f>_xlfn.XLOOKUP(A86,Monitoring!A:A,Monitoring!D:D)</f>
        <v>OFFICES</v>
      </c>
    </row>
    <row r="87" spans="1:14" x14ac:dyDescent="0.35">
      <c r="A87" s="5">
        <v>10001314</v>
      </c>
      <c r="B87" s="5" t="s">
        <v>1295</v>
      </c>
      <c r="C87" s="5" t="s">
        <v>1318</v>
      </c>
      <c r="D87" s="61">
        <v>45972</v>
      </c>
      <c r="E87" s="61">
        <v>46022</v>
      </c>
      <c r="F87" s="5" t="s">
        <v>1297</v>
      </c>
      <c r="G87" s="5" t="s">
        <v>1033</v>
      </c>
      <c r="H87" s="5" t="s">
        <v>1074</v>
      </c>
      <c r="I87" s="60">
        <v>0</v>
      </c>
      <c r="J87" s="5" t="s">
        <v>1342</v>
      </c>
      <c r="K87" s="58">
        <v>0</v>
      </c>
      <c r="L87" s="5" t="s">
        <v>1103</v>
      </c>
      <c r="M87" s="5" t="s">
        <v>1306</v>
      </c>
      <c r="N87" t="str">
        <f>_xlfn.XLOOKUP(A87,Monitoring!A:A,Monitoring!D:D)</f>
        <v>OFFICES</v>
      </c>
    </row>
    <row r="88" spans="1:14" x14ac:dyDescent="0.35">
      <c r="A88" s="5">
        <v>10001314</v>
      </c>
      <c r="B88" s="5" t="s">
        <v>1295</v>
      </c>
      <c r="C88" s="5" t="s">
        <v>1318</v>
      </c>
      <c r="D88" s="61">
        <v>45972</v>
      </c>
      <c r="E88" s="61">
        <v>46022</v>
      </c>
      <c r="F88" s="5" t="s">
        <v>1297</v>
      </c>
      <c r="G88" s="5" t="s">
        <v>1033</v>
      </c>
      <c r="H88" s="5" t="s">
        <v>1068</v>
      </c>
      <c r="I88" s="60">
        <v>0</v>
      </c>
      <c r="J88" s="5" t="s">
        <v>1342</v>
      </c>
      <c r="K88" s="58">
        <v>0</v>
      </c>
      <c r="L88" s="5" t="s">
        <v>1103</v>
      </c>
      <c r="M88" s="5" t="s">
        <v>1306</v>
      </c>
      <c r="N88" t="str">
        <f>_xlfn.XLOOKUP(A88,Monitoring!A:A,Monitoring!D:D)</f>
        <v>OFFICES</v>
      </c>
    </row>
    <row r="89" spans="1:14" x14ac:dyDescent="0.35">
      <c r="A89" s="5">
        <v>10001314</v>
      </c>
      <c r="B89" s="5" t="s">
        <v>1295</v>
      </c>
      <c r="C89" s="5" t="s">
        <v>1318</v>
      </c>
      <c r="D89" s="61">
        <v>45972</v>
      </c>
      <c r="E89" s="61">
        <v>46022</v>
      </c>
      <c r="F89" s="5" t="s">
        <v>1297</v>
      </c>
      <c r="G89" s="5" t="s">
        <v>1033</v>
      </c>
      <c r="H89" s="5" t="s">
        <v>1068</v>
      </c>
      <c r="I89" s="60">
        <v>0</v>
      </c>
      <c r="J89" s="5" t="s">
        <v>1342</v>
      </c>
      <c r="K89" s="58">
        <v>0</v>
      </c>
      <c r="L89" s="5" t="s">
        <v>1103</v>
      </c>
      <c r="M89" s="5" t="s">
        <v>1306</v>
      </c>
      <c r="N89" t="str">
        <f>_xlfn.XLOOKUP(A89,Monitoring!A:A,Monitoring!D:D)</f>
        <v>OFFICES</v>
      </c>
    </row>
    <row r="90" spans="1:14" x14ac:dyDescent="0.35">
      <c r="A90" s="5">
        <v>10001314</v>
      </c>
      <c r="B90" s="5" t="s">
        <v>1295</v>
      </c>
      <c r="C90" s="5" t="s">
        <v>1318</v>
      </c>
      <c r="D90" s="61">
        <v>45972</v>
      </c>
      <c r="E90" s="61">
        <v>46022</v>
      </c>
      <c r="F90" s="5" t="s">
        <v>1297</v>
      </c>
      <c r="G90" s="5" t="s">
        <v>1033</v>
      </c>
      <c r="H90" s="5" t="s">
        <v>1070</v>
      </c>
      <c r="I90" s="60">
        <v>0</v>
      </c>
      <c r="J90" s="5" t="s">
        <v>1342</v>
      </c>
      <c r="K90" s="58">
        <v>0</v>
      </c>
      <c r="L90" s="5" t="s">
        <v>1103</v>
      </c>
      <c r="M90" s="5" t="s">
        <v>1306</v>
      </c>
      <c r="N90" t="str">
        <f>_xlfn.XLOOKUP(A90,Monitoring!A:A,Monitoring!D:D)</f>
        <v>OFFICES</v>
      </c>
    </row>
    <row r="91" spans="1:14" x14ac:dyDescent="0.35">
      <c r="A91" s="5">
        <v>10001314</v>
      </c>
      <c r="B91" s="5" t="s">
        <v>1295</v>
      </c>
      <c r="C91" s="5" t="s">
        <v>1318</v>
      </c>
      <c r="D91" s="61">
        <v>45972</v>
      </c>
      <c r="E91" s="61">
        <v>46022</v>
      </c>
      <c r="F91" s="5" t="s">
        <v>1297</v>
      </c>
      <c r="G91" s="5" t="s">
        <v>1033</v>
      </c>
      <c r="H91" s="5" t="s">
        <v>1068</v>
      </c>
      <c r="I91" s="60">
        <v>0</v>
      </c>
      <c r="J91" s="5" t="s">
        <v>1342</v>
      </c>
      <c r="K91" s="58">
        <v>0</v>
      </c>
      <c r="L91" s="5" t="s">
        <v>1103</v>
      </c>
      <c r="M91" s="5" t="s">
        <v>1306</v>
      </c>
      <c r="N91" t="str">
        <f>_xlfn.XLOOKUP(A91,Monitoring!A:A,Monitoring!D:D)</f>
        <v>OFFICES</v>
      </c>
    </row>
    <row r="92" spans="1:14" x14ac:dyDescent="0.35">
      <c r="A92" s="5">
        <v>10001314</v>
      </c>
      <c r="B92" s="5" t="s">
        <v>1295</v>
      </c>
      <c r="C92" s="5" t="s">
        <v>1318</v>
      </c>
      <c r="D92" s="61">
        <v>45972</v>
      </c>
      <c r="E92" s="61">
        <v>46022</v>
      </c>
      <c r="F92" s="5" t="s">
        <v>1297</v>
      </c>
      <c r="G92" s="5" t="s">
        <v>1033</v>
      </c>
      <c r="H92" s="5" t="s">
        <v>1066</v>
      </c>
      <c r="I92" s="60">
        <v>0</v>
      </c>
      <c r="J92" s="5" t="s">
        <v>1342</v>
      </c>
      <c r="K92" s="58">
        <v>0</v>
      </c>
      <c r="L92" s="5" t="s">
        <v>1103</v>
      </c>
      <c r="M92" s="5" t="s">
        <v>1306</v>
      </c>
      <c r="N92" t="str">
        <f>_xlfn.XLOOKUP(A92,Monitoring!A:A,Monitoring!D:D)</f>
        <v>OFFICES</v>
      </c>
    </row>
    <row r="93" spans="1:14" x14ac:dyDescent="0.35">
      <c r="A93" s="5">
        <v>10001314</v>
      </c>
      <c r="B93" s="5" t="s">
        <v>1295</v>
      </c>
      <c r="C93" s="5" t="s">
        <v>1318</v>
      </c>
      <c r="D93" s="61">
        <v>45972</v>
      </c>
      <c r="E93" s="61">
        <v>46022</v>
      </c>
      <c r="F93" s="5" t="s">
        <v>1297</v>
      </c>
      <c r="G93" s="5" t="s">
        <v>1033</v>
      </c>
      <c r="H93" s="5" t="s">
        <v>1064</v>
      </c>
      <c r="I93" s="60">
        <v>0</v>
      </c>
      <c r="J93" s="5" t="s">
        <v>1342</v>
      </c>
      <c r="K93" s="58">
        <v>0</v>
      </c>
      <c r="L93" s="5" t="s">
        <v>1103</v>
      </c>
      <c r="M93" s="5" t="s">
        <v>1306</v>
      </c>
      <c r="N93" t="str">
        <f>_xlfn.XLOOKUP(A93,Monitoring!A:A,Monitoring!D:D)</f>
        <v>OFFICES</v>
      </c>
    </row>
    <row r="94" spans="1:14" x14ac:dyDescent="0.35">
      <c r="A94" s="5">
        <v>10001314</v>
      </c>
      <c r="B94" s="5" t="s">
        <v>1295</v>
      </c>
      <c r="C94" s="5" t="s">
        <v>1318</v>
      </c>
      <c r="D94" s="61">
        <v>45972</v>
      </c>
      <c r="E94" s="61">
        <v>46022</v>
      </c>
      <c r="F94" s="5" t="s">
        <v>1297</v>
      </c>
      <c r="G94" s="5" t="s">
        <v>1033</v>
      </c>
      <c r="H94" s="5" t="s">
        <v>1115</v>
      </c>
      <c r="I94" s="60">
        <v>0</v>
      </c>
      <c r="J94" s="5" t="s">
        <v>1425</v>
      </c>
      <c r="K94" s="58">
        <v>0</v>
      </c>
      <c r="L94" s="5" t="s">
        <v>1103</v>
      </c>
      <c r="M94" s="5" t="s">
        <v>1306</v>
      </c>
      <c r="N94" t="str">
        <f>_xlfn.XLOOKUP(A94,Monitoring!A:A,Monitoring!D:D)</f>
        <v>OFFICES</v>
      </c>
    </row>
    <row r="95" spans="1:14" x14ac:dyDescent="0.35">
      <c r="A95" s="5">
        <v>10001314</v>
      </c>
      <c r="B95" s="5" t="s">
        <v>1295</v>
      </c>
      <c r="C95" s="5" t="s">
        <v>1318</v>
      </c>
      <c r="D95" s="61">
        <v>45972</v>
      </c>
      <c r="E95" s="61">
        <v>46022</v>
      </c>
      <c r="F95" s="5" t="s">
        <v>1297</v>
      </c>
      <c r="G95" s="5" t="s">
        <v>1033</v>
      </c>
      <c r="H95" s="5" t="s">
        <v>1113</v>
      </c>
      <c r="I95" s="60">
        <v>0</v>
      </c>
      <c r="J95" s="5" t="s">
        <v>1425</v>
      </c>
      <c r="K95" s="58">
        <v>0</v>
      </c>
      <c r="L95" s="5" t="s">
        <v>1103</v>
      </c>
      <c r="M95" s="5" t="s">
        <v>1306</v>
      </c>
      <c r="N95" t="str">
        <f>_xlfn.XLOOKUP(A95,Monitoring!A:A,Monitoring!D:D)</f>
        <v>OFFICES</v>
      </c>
    </row>
    <row r="96" spans="1:14" x14ac:dyDescent="0.35">
      <c r="A96" s="5">
        <v>10001314</v>
      </c>
      <c r="B96" s="5" t="s">
        <v>1295</v>
      </c>
      <c r="C96" s="5" t="s">
        <v>1318</v>
      </c>
      <c r="D96" s="61">
        <v>45972</v>
      </c>
      <c r="E96" s="61">
        <v>46022</v>
      </c>
      <c r="F96" s="5" t="s">
        <v>1297</v>
      </c>
      <c r="G96" s="5" t="s">
        <v>1033</v>
      </c>
      <c r="H96" s="5" t="s">
        <v>1062</v>
      </c>
      <c r="I96" s="60">
        <v>0</v>
      </c>
      <c r="J96" s="5" t="s">
        <v>1425</v>
      </c>
      <c r="K96" s="58">
        <v>0</v>
      </c>
      <c r="L96" s="5" t="s">
        <v>1103</v>
      </c>
      <c r="M96" s="5" t="s">
        <v>1306</v>
      </c>
      <c r="N96" t="str">
        <f>_xlfn.XLOOKUP(A96,Monitoring!A:A,Monitoring!D:D)</f>
        <v>OFFICES</v>
      </c>
    </row>
    <row r="97" spans="1:14" x14ac:dyDescent="0.35">
      <c r="A97" s="5">
        <v>10001314</v>
      </c>
      <c r="B97" s="5" t="s">
        <v>1295</v>
      </c>
      <c r="C97" s="5" t="s">
        <v>1318</v>
      </c>
      <c r="D97" s="61">
        <v>45972</v>
      </c>
      <c r="E97" s="61">
        <v>46022</v>
      </c>
      <c r="F97" s="5" t="s">
        <v>1297</v>
      </c>
      <c r="G97" s="5" t="s">
        <v>1033</v>
      </c>
      <c r="H97" s="5" t="s">
        <v>1111</v>
      </c>
      <c r="I97" s="60">
        <v>0</v>
      </c>
      <c r="J97" s="5" t="s">
        <v>1425</v>
      </c>
      <c r="K97" s="58">
        <v>0</v>
      </c>
      <c r="L97" s="5" t="s">
        <v>1103</v>
      </c>
      <c r="M97" s="5" t="s">
        <v>1306</v>
      </c>
      <c r="N97" t="str">
        <f>_xlfn.XLOOKUP(A97,Monitoring!A:A,Monitoring!D:D)</f>
        <v>OFFICES</v>
      </c>
    </row>
    <row r="98" spans="1:14" x14ac:dyDescent="0.35">
      <c r="A98" s="5">
        <v>10001314</v>
      </c>
      <c r="B98" s="5" t="s">
        <v>1295</v>
      </c>
      <c r="C98" s="5" t="s">
        <v>1318</v>
      </c>
      <c r="D98" s="61">
        <v>45972</v>
      </c>
      <c r="E98" s="61">
        <v>46022</v>
      </c>
      <c r="F98" s="5" t="s">
        <v>1297</v>
      </c>
      <c r="G98" s="5" t="s">
        <v>1033</v>
      </c>
      <c r="H98" s="5" t="s">
        <v>1106</v>
      </c>
      <c r="I98" s="60">
        <v>0</v>
      </c>
      <c r="J98" s="5" t="s">
        <v>1425</v>
      </c>
      <c r="K98" s="58">
        <v>0</v>
      </c>
      <c r="L98" s="5" t="s">
        <v>1103</v>
      </c>
      <c r="M98" s="5" t="s">
        <v>1306</v>
      </c>
      <c r="N98" t="str">
        <f>_xlfn.XLOOKUP(A98,Monitoring!A:A,Monitoring!D:D)</f>
        <v>OFFICES</v>
      </c>
    </row>
    <row r="99" spans="1:14" x14ac:dyDescent="0.35">
      <c r="A99" s="5">
        <v>10001314</v>
      </c>
      <c r="B99" s="5" t="s">
        <v>1295</v>
      </c>
      <c r="C99" s="5" t="s">
        <v>1318</v>
      </c>
      <c r="D99" s="61">
        <v>45972</v>
      </c>
      <c r="E99" s="61">
        <v>46022</v>
      </c>
      <c r="F99" s="5" t="s">
        <v>1297</v>
      </c>
      <c r="G99" s="5" t="s">
        <v>1033</v>
      </c>
      <c r="H99" s="5" t="s">
        <v>1060</v>
      </c>
      <c r="I99" s="60">
        <v>0</v>
      </c>
      <c r="J99" s="5" t="s">
        <v>1342</v>
      </c>
      <c r="K99" s="58">
        <v>0</v>
      </c>
      <c r="L99" s="5" t="s">
        <v>1103</v>
      </c>
      <c r="M99" s="5" t="s">
        <v>1306</v>
      </c>
      <c r="N99" t="str">
        <f>_xlfn.XLOOKUP(A99,Monitoring!A:A,Monitoring!D:D)</f>
        <v>OFFICES</v>
      </c>
    </row>
    <row r="100" spans="1:14" x14ac:dyDescent="0.35">
      <c r="A100" s="5">
        <v>10001314</v>
      </c>
      <c r="B100" s="5" t="s">
        <v>1295</v>
      </c>
      <c r="C100" s="5" t="s">
        <v>1318</v>
      </c>
      <c r="D100" s="61">
        <v>45972</v>
      </c>
      <c r="E100" s="61">
        <v>46022</v>
      </c>
      <c r="F100" s="5" t="s">
        <v>1297</v>
      </c>
      <c r="G100" s="5" t="s">
        <v>1033</v>
      </c>
      <c r="H100" s="5" t="s">
        <v>1058</v>
      </c>
      <c r="I100" s="60">
        <v>0</v>
      </c>
      <c r="J100" s="5" t="s">
        <v>1342</v>
      </c>
      <c r="K100" s="58">
        <v>0</v>
      </c>
      <c r="L100" s="5" t="s">
        <v>1103</v>
      </c>
      <c r="M100" s="5" t="s">
        <v>1306</v>
      </c>
      <c r="N100" t="str">
        <f>_xlfn.XLOOKUP(A100,Monitoring!A:A,Monitoring!D:D)</f>
        <v>OFFICES</v>
      </c>
    </row>
    <row r="101" spans="1:14" x14ac:dyDescent="0.35">
      <c r="A101" s="5">
        <v>10001314</v>
      </c>
      <c r="B101" s="5" t="s">
        <v>1295</v>
      </c>
      <c r="C101" s="5" t="s">
        <v>1318</v>
      </c>
      <c r="D101" s="61">
        <v>45972</v>
      </c>
      <c r="E101" s="61">
        <v>46022</v>
      </c>
      <c r="F101" s="5" t="s">
        <v>1297</v>
      </c>
      <c r="G101" s="5" t="s">
        <v>1033</v>
      </c>
      <c r="H101" s="5" t="s">
        <v>1056</v>
      </c>
      <c r="I101" s="60">
        <v>0</v>
      </c>
      <c r="J101" s="5" t="s">
        <v>1425</v>
      </c>
      <c r="K101" s="58">
        <v>0</v>
      </c>
      <c r="L101" s="5" t="s">
        <v>1103</v>
      </c>
      <c r="M101" s="5" t="s">
        <v>1306</v>
      </c>
      <c r="N101" t="str">
        <f>_xlfn.XLOOKUP(A101,Monitoring!A:A,Monitoring!D:D)</f>
        <v>OFFICES</v>
      </c>
    </row>
    <row r="102" spans="1:14" x14ac:dyDescent="0.35">
      <c r="A102" s="5">
        <v>10001314</v>
      </c>
      <c r="B102" s="5" t="s">
        <v>1295</v>
      </c>
      <c r="C102" s="5" t="s">
        <v>1318</v>
      </c>
      <c r="D102" s="61">
        <v>45972</v>
      </c>
      <c r="E102" s="61">
        <v>46022</v>
      </c>
      <c r="F102" s="5" t="s">
        <v>1297</v>
      </c>
      <c r="G102" s="5" t="s">
        <v>1033</v>
      </c>
      <c r="H102" s="5" t="s">
        <v>1054</v>
      </c>
      <c r="I102" s="60">
        <v>0</v>
      </c>
      <c r="J102" s="5" t="s">
        <v>1425</v>
      </c>
      <c r="K102" s="58">
        <v>0</v>
      </c>
      <c r="L102" s="5" t="s">
        <v>1103</v>
      </c>
      <c r="M102" s="5" t="s">
        <v>1306</v>
      </c>
      <c r="N102" t="str">
        <f>_xlfn.XLOOKUP(A102,Monitoring!A:A,Monitoring!D:D)</f>
        <v>OFFICES</v>
      </c>
    </row>
    <row r="103" spans="1:14" x14ac:dyDescent="0.35">
      <c r="A103" s="5">
        <v>10001314</v>
      </c>
      <c r="B103" s="5" t="s">
        <v>1295</v>
      </c>
      <c r="C103" s="5" t="s">
        <v>1318</v>
      </c>
      <c r="D103" s="61">
        <v>45972</v>
      </c>
      <c r="E103" s="61">
        <v>46022</v>
      </c>
      <c r="F103" s="5" t="s">
        <v>1297</v>
      </c>
      <c r="G103" s="5" t="s">
        <v>1033</v>
      </c>
      <c r="H103" s="5" t="s">
        <v>1052</v>
      </c>
      <c r="I103" s="60">
        <v>0</v>
      </c>
      <c r="J103" s="5" t="s">
        <v>1425</v>
      </c>
      <c r="K103" s="58">
        <v>0</v>
      </c>
      <c r="L103" s="5" t="s">
        <v>1103</v>
      </c>
      <c r="M103" s="5" t="s">
        <v>1306</v>
      </c>
      <c r="N103" t="str">
        <f>_xlfn.XLOOKUP(A103,Monitoring!A:A,Monitoring!D:D)</f>
        <v>OFFICES</v>
      </c>
    </row>
    <row r="104" spans="1:14" x14ac:dyDescent="0.35">
      <c r="A104" s="5">
        <v>10001314</v>
      </c>
      <c r="B104" s="5" t="s">
        <v>1295</v>
      </c>
      <c r="C104" s="5" t="s">
        <v>1318</v>
      </c>
      <c r="D104" s="61">
        <v>45972</v>
      </c>
      <c r="E104" s="61">
        <v>46022</v>
      </c>
      <c r="F104" s="5" t="s">
        <v>1297</v>
      </c>
      <c r="G104" s="5" t="s">
        <v>1033</v>
      </c>
      <c r="H104" s="5" t="s">
        <v>1050</v>
      </c>
      <c r="I104" s="60">
        <v>0</v>
      </c>
      <c r="J104" s="5" t="s">
        <v>1425</v>
      </c>
      <c r="K104" s="58">
        <v>0</v>
      </c>
      <c r="L104" s="5" t="s">
        <v>1103</v>
      </c>
      <c r="M104" s="5" t="s">
        <v>1306</v>
      </c>
      <c r="N104" t="str">
        <f>_xlfn.XLOOKUP(A104,Monitoring!A:A,Monitoring!D:D)</f>
        <v>OFFICES</v>
      </c>
    </row>
    <row r="105" spans="1:14" x14ac:dyDescent="0.35">
      <c r="A105" s="5">
        <v>10001314</v>
      </c>
      <c r="B105" s="5" t="s">
        <v>1295</v>
      </c>
      <c r="C105" s="5" t="s">
        <v>1318</v>
      </c>
      <c r="D105" s="61">
        <v>45972</v>
      </c>
      <c r="E105" s="61">
        <v>46022</v>
      </c>
      <c r="F105" s="5" t="s">
        <v>1297</v>
      </c>
      <c r="G105" s="5" t="s">
        <v>1033</v>
      </c>
      <c r="H105" s="5" t="s">
        <v>1040</v>
      </c>
      <c r="I105" s="60">
        <v>0</v>
      </c>
      <c r="J105" s="5" t="s">
        <v>1425</v>
      </c>
      <c r="K105" s="58">
        <v>0</v>
      </c>
      <c r="L105" s="5" t="s">
        <v>1103</v>
      </c>
      <c r="M105" s="5" t="s">
        <v>1306</v>
      </c>
      <c r="N105" t="str">
        <f>_xlfn.XLOOKUP(A105,Monitoring!A:A,Monitoring!D:D)</f>
        <v>OFFICES</v>
      </c>
    </row>
    <row r="106" spans="1:14" x14ac:dyDescent="0.35">
      <c r="A106" s="5">
        <v>10001314</v>
      </c>
      <c r="B106" s="5" t="s">
        <v>1295</v>
      </c>
      <c r="C106" s="5" t="s">
        <v>1318</v>
      </c>
      <c r="D106" s="61">
        <v>45972</v>
      </c>
      <c r="E106" s="61">
        <v>46022</v>
      </c>
      <c r="F106" s="5" t="s">
        <v>1297</v>
      </c>
      <c r="G106" s="5" t="s">
        <v>1033</v>
      </c>
      <c r="H106" s="5" t="s">
        <v>1048</v>
      </c>
      <c r="I106" s="60">
        <v>0</v>
      </c>
      <c r="J106" s="5" t="s">
        <v>1425</v>
      </c>
      <c r="K106" s="58">
        <v>0</v>
      </c>
      <c r="L106" s="5" t="s">
        <v>1103</v>
      </c>
      <c r="M106" s="5" t="s">
        <v>1306</v>
      </c>
      <c r="N106" t="str">
        <f>_xlfn.XLOOKUP(A106,Monitoring!A:A,Monitoring!D:D)</f>
        <v>OFFICES</v>
      </c>
    </row>
    <row r="107" spans="1:14" x14ac:dyDescent="0.35">
      <c r="A107" s="5">
        <v>10001314</v>
      </c>
      <c r="B107" s="5" t="s">
        <v>1295</v>
      </c>
      <c r="C107" s="5" t="s">
        <v>1318</v>
      </c>
      <c r="D107" s="61">
        <v>45972</v>
      </c>
      <c r="E107" s="61">
        <v>46022</v>
      </c>
      <c r="F107" s="5" t="s">
        <v>1297</v>
      </c>
      <c r="G107" s="5" t="s">
        <v>1033</v>
      </c>
      <c r="H107" s="5" t="s">
        <v>1038</v>
      </c>
      <c r="I107" s="60">
        <v>0</v>
      </c>
      <c r="J107" s="5" t="s">
        <v>1425</v>
      </c>
      <c r="K107" s="58">
        <v>0</v>
      </c>
      <c r="L107" s="5" t="s">
        <v>1103</v>
      </c>
      <c r="M107" s="5" t="s">
        <v>1306</v>
      </c>
      <c r="N107" t="str">
        <f>_xlfn.XLOOKUP(A107,Monitoring!A:A,Monitoring!D:D)</f>
        <v>OFFICES</v>
      </c>
    </row>
    <row r="108" spans="1:14" x14ac:dyDescent="0.35">
      <c r="A108" s="5">
        <v>10001314</v>
      </c>
      <c r="B108" s="5" t="s">
        <v>1295</v>
      </c>
      <c r="C108" s="5" t="s">
        <v>1318</v>
      </c>
      <c r="D108" s="61">
        <v>45825</v>
      </c>
      <c r="E108" s="61">
        <v>45825</v>
      </c>
      <c r="F108" s="5" t="s">
        <v>1297</v>
      </c>
      <c r="G108" s="5" t="s">
        <v>170</v>
      </c>
      <c r="H108" s="5" t="s">
        <v>1428</v>
      </c>
      <c r="I108" s="60">
        <v>0</v>
      </c>
      <c r="J108" s="5" t="s">
        <v>1300</v>
      </c>
      <c r="K108" s="58">
        <v>0</v>
      </c>
      <c r="L108" s="5" t="s">
        <v>1429</v>
      </c>
      <c r="M108" s="5" t="s">
        <v>1306</v>
      </c>
      <c r="N108" t="str">
        <f>_xlfn.XLOOKUP(A108,Monitoring!A:A,Monitoring!D:D)</f>
        <v>OFFICES</v>
      </c>
    </row>
    <row r="109" spans="1:14" x14ac:dyDescent="0.35">
      <c r="A109" s="5">
        <v>10001314</v>
      </c>
      <c r="B109" s="5" t="s">
        <v>1295</v>
      </c>
      <c r="C109" s="5" t="s">
        <v>1318</v>
      </c>
      <c r="D109" s="61">
        <v>46189</v>
      </c>
      <c r="E109" s="61">
        <v>46203</v>
      </c>
      <c r="F109" s="5" t="s">
        <v>1364</v>
      </c>
      <c r="G109" s="5" t="s">
        <v>2676</v>
      </c>
      <c r="H109" s="5" t="s">
        <v>2677</v>
      </c>
      <c r="I109" s="60">
        <v>0</v>
      </c>
      <c r="J109" s="5" t="s">
        <v>1425</v>
      </c>
      <c r="K109" s="58">
        <v>0</v>
      </c>
      <c r="L109" s="5" t="s">
        <v>993</v>
      </c>
      <c r="M109" s="5" t="s">
        <v>1408</v>
      </c>
      <c r="N109" t="str">
        <f>_xlfn.XLOOKUP(A109,Monitoring!A:A,Monitoring!D:D)</f>
        <v>OFFICES</v>
      </c>
    </row>
    <row r="110" spans="1:14" x14ac:dyDescent="0.35">
      <c r="A110" s="5">
        <v>10001314</v>
      </c>
      <c r="B110" s="5" t="s">
        <v>1295</v>
      </c>
      <c r="C110" s="5" t="s">
        <v>1318</v>
      </c>
      <c r="D110" s="61">
        <v>46182</v>
      </c>
      <c r="E110" s="61">
        <v>46196</v>
      </c>
      <c r="F110" s="5" t="s">
        <v>1364</v>
      </c>
      <c r="G110" s="5" t="s">
        <v>2494</v>
      </c>
      <c r="H110" s="5" t="s">
        <v>2495</v>
      </c>
      <c r="I110" s="60">
        <v>0</v>
      </c>
      <c r="J110" s="5" t="s">
        <v>1300</v>
      </c>
      <c r="K110" s="58">
        <v>0</v>
      </c>
      <c r="L110" s="5" t="s">
        <v>993</v>
      </c>
      <c r="M110" s="5" t="s">
        <v>1408</v>
      </c>
      <c r="N110" t="str">
        <f>_xlfn.XLOOKUP(A110,Monitoring!A:A,Monitoring!D:D)</f>
        <v>OFFICES</v>
      </c>
    </row>
    <row r="111" spans="1:14" x14ac:dyDescent="0.35">
      <c r="A111" s="5">
        <v>10001314</v>
      </c>
      <c r="B111" s="5" t="s">
        <v>1295</v>
      </c>
      <c r="C111" s="5" t="s">
        <v>1318</v>
      </c>
      <c r="D111" s="61">
        <v>46146</v>
      </c>
      <c r="E111" s="61">
        <v>46160</v>
      </c>
      <c r="F111" s="5" t="s">
        <v>1364</v>
      </c>
      <c r="G111" s="5" t="s">
        <v>2283</v>
      </c>
      <c r="H111" s="5" t="s">
        <v>2299</v>
      </c>
      <c r="I111" s="60">
        <v>0</v>
      </c>
      <c r="J111" s="5" t="s">
        <v>1300</v>
      </c>
      <c r="K111" s="58">
        <v>0</v>
      </c>
      <c r="L111" s="5" t="s">
        <v>993</v>
      </c>
      <c r="M111" s="5" t="s">
        <v>1408</v>
      </c>
      <c r="N111" t="str">
        <f>_xlfn.XLOOKUP(A111,Monitoring!A:A,Monitoring!D:D)</f>
        <v>OFFICES</v>
      </c>
    </row>
    <row r="112" spans="1:14" x14ac:dyDescent="0.35">
      <c r="A112" s="5">
        <v>10001314</v>
      </c>
      <c r="B112" s="5" t="s">
        <v>1295</v>
      </c>
      <c r="C112" s="5" t="s">
        <v>1318</v>
      </c>
      <c r="D112" s="61">
        <v>46146</v>
      </c>
      <c r="E112" s="61">
        <v>46160</v>
      </c>
      <c r="F112" s="5" t="s">
        <v>1364</v>
      </c>
      <c r="G112" s="5" t="s">
        <v>2283</v>
      </c>
      <c r="H112" s="5" t="s">
        <v>2298</v>
      </c>
      <c r="I112" s="60">
        <v>0</v>
      </c>
      <c r="J112" s="5" t="s">
        <v>1425</v>
      </c>
      <c r="K112" s="58">
        <v>0</v>
      </c>
      <c r="L112" s="5" t="s">
        <v>993</v>
      </c>
      <c r="M112" s="5" t="s">
        <v>1408</v>
      </c>
      <c r="N112" t="str">
        <f>_xlfn.XLOOKUP(A112,Monitoring!A:A,Monitoring!D:D)</f>
        <v>OFFICES</v>
      </c>
    </row>
    <row r="113" spans="1:14" x14ac:dyDescent="0.35">
      <c r="A113" s="5">
        <v>10001314</v>
      </c>
      <c r="B113" s="5" t="s">
        <v>1295</v>
      </c>
      <c r="C113" s="5" t="s">
        <v>1318</v>
      </c>
      <c r="D113" s="61">
        <v>46146</v>
      </c>
      <c r="E113" s="61">
        <v>46160</v>
      </c>
      <c r="F113" s="5" t="s">
        <v>1364</v>
      </c>
      <c r="G113" s="5" t="s">
        <v>2283</v>
      </c>
      <c r="H113" s="5" t="s">
        <v>2297</v>
      </c>
      <c r="I113" s="60">
        <v>0</v>
      </c>
      <c r="J113" s="5" t="s">
        <v>1425</v>
      </c>
      <c r="K113" s="58">
        <v>0</v>
      </c>
      <c r="L113" s="5" t="s">
        <v>993</v>
      </c>
      <c r="M113" s="5" t="s">
        <v>1408</v>
      </c>
      <c r="N113" t="str">
        <f>_xlfn.XLOOKUP(A113,Monitoring!A:A,Monitoring!D:D)</f>
        <v>OFFICES</v>
      </c>
    </row>
    <row r="114" spans="1:14" x14ac:dyDescent="0.35">
      <c r="A114" s="5">
        <v>10001314</v>
      </c>
      <c r="B114" s="5" t="s">
        <v>1295</v>
      </c>
      <c r="C114" s="5" t="s">
        <v>1318</v>
      </c>
      <c r="D114" s="61">
        <v>46146</v>
      </c>
      <c r="E114" s="61">
        <v>46160</v>
      </c>
      <c r="F114" s="5" t="s">
        <v>1364</v>
      </c>
      <c r="G114" s="5" t="s">
        <v>2283</v>
      </c>
      <c r="H114" s="5" t="s">
        <v>2296</v>
      </c>
      <c r="I114" s="60">
        <v>0</v>
      </c>
      <c r="J114" s="5" t="s">
        <v>1425</v>
      </c>
      <c r="K114" s="58">
        <v>0</v>
      </c>
      <c r="L114" s="5" t="s">
        <v>993</v>
      </c>
      <c r="M114" s="5" t="s">
        <v>1408</v>
      </c>
      <c r="N114" t="str">
        <f>_xlfn.XLOOKUP(A114,Monitoring!A:A,Monitoring!D:D)</f>
        <v>OFFICES</v>
      </c>
    </row>
    <row r="115" spans="1:14" x14ac:dyDescent="0.35">
      <c r="A115" s="5">
        <v>10001314</v>
      </c>
      <c r="B115" s="5" t="s">
        <v>1295</v>
      </c>
      <c r="C115" s="5" t="s">
        <v>1318</v>
      </c>
      <c r="D115" s="61">
        <v>46146</v>
      </c>
      <c r="E115" s="61">
        <v>46160</v>
      </c>
      <c r="F115" s="5" t="s">
        <v>1364</v>
      </c>
      <c r="G115" s="5" t="s">
        <v>2283</v>
      </c>
      <c r="H115" s="5" t="s">
        <v>2295</v>
      </c>
      <c r="I115" s="60">
        <v>0</v>
      </c>
      <c r="J115" s="5" t="s">
        <v>1425</v>
      </c>
      <c r="K115" s="58">
        <v>0</v>
      </c>
      <c r="L115" s="5" t="s">
        <v>993</v>
      </c>
      <c r="M115" s="5" t="s">
        <v>1408</v>
      </c>
      <c r="N115" t="str">
        <f>_xlfn.XLOOKUP(A115,Monitoring!A:A,Monitoring!D:D)</f>
        <v>OFFICES</v>
      </c>
    </row>
    <row r="116" spans="1:14" x14ac:dyDescent="0.35">
      <c r="A116" s="5">
        <v>10001314</v>
      </c>
      <c r="B116" s="5" t="s">
        <v>1295</v>
      </c>
      <c r="C116" s="5" t="s">
        <v>1318</v>
      </c>
      <c r="D116" s="61">
        <v>46146</v>
      </c>
      <c r="E116" s="61">
        <v>46160</v>
      </c>
      <c r="F116" s="5" t="s">
        <v>1364</v>
      </c>
      <c r="G116" s="5" t="s">
        <v>2283</v>
      </c>
      <c r="H116" s="5" t="s">
        <v>2294</v>
      </c>
      <c r="I116" s="60">
        <v>0</v>
      </c>
      <c r="J116" s="5" t="s">
        <v>1425</v>
      </c>
      <c r="K116" s="58">
        <v>0</v>
      </c>
      <c r="L116" s="5" t="s">
        <v>993</v>
      </c>
      <c r="M116" s="5" t="s">
        <v>1408</v>
      </c>
      <c r="N116" t="str">
        <f>_xlfn.XLOOKUP(A116,Monitoring!A:A,Monitoring!D:D)</f>
        <v>OFFICES</v>
      </c>
    </row>
    <row r="117" spans="1:14" x14ac:dyDescent="0.35">
      <c r="A117" s="5">
        <v>10001314</v>
      </c>
      <c r="B117" s="5" t="s">
        <v>1295</v>
      </c>
      <c r="C117" s="5" t="s">
        <v>1318</v>
      </c>
      <c r="D117" s="61">
        <v>46146</v>
      </c>
      <c r="E117" s="61">
        <v>46160</v>
      </c>
      <c r="F117" s="5" t="s">
        <v>1364</v>
      </c>
      <c r="G117" s="5" t="s">
        <v>2283</v>
      </c>
      <c r="H117" s="5" t="s">
        <v>2293</v>
      </c>
      <c r="I117" s="60">
        <v>0</v>
      </c>
      <c r="J117" s="5" t="s">
        <v>1425</v>
      </c>
      <c r="K117" s="58">
        <v>0</v>
      </c>
      <c r="L117" s="5" t="s">
        <v>993</v>
      </c>
      <c r="M117" s="5" t="s">
        <v>1408</v>
      </c>
      <c r="N117" t="str">
        <f>_xlfn.XLOOKUP(A117,Monitoring!A:A,Monitoring!D:D)</f>
        <v>OFFICES</v>
      </c>
    </row>
    <row r="118" spans="1:14" x14ac:dyDescent="0.35">
      <c r="A118" s="5">
        <v>10001314</v>
      </c>
      <c r="B118" s="5" t="s">
        <v>1295</v>
      </c>
      <c r="C118" s="5" t="s">
        <v>1318</v>
      </c>
      <c r="D118" s="61">
        <v>46146</v>
      </c>
      <c r="E118" s="61">
        <v>46160</v>
      </c>
      <c r="F118" s="5" t="s">
        <v>1364</v>
      </c>
      <c r="G118" s="5" t="s">
        <v>2283</v>
      </c>
      <c r="H118" s="5" t="s">
        <v>2292</v>
      </c>
      <c r="I118" s="60">
        <v>0</v>
      </c>
      <c r="J118" s="5" t="s">
        <v>1425</v>
      </c>
      <c r="K118" s="58">
        <v>0</v>
      </c>
      <c r="L118" s="5" t="s">
        <v>993</v>
      </c>
      <c r="M118" s="5" t="s">
        <v>1408</v>
      </c>
      <c r="N118" t="str">
        <f>_xlfn.XLOOKUP(A118,Monitoring!A:A,Monitoring!D:D)</f>
        <v>OFFICES</v>
      </c>
    </row>
    <row r="119" spans="1:14" x14ac:dyDescent="0.35">
      <c r="A119" s="5">
        <v>10001314</v>
      </c>
      <c r="B119" s="5" t="s">
        <v>1295</v>
      </c>
      <c r="C119" s="5" t="s">
        <v>1318</v>
      </c>
      <c r="D119" s="61">
        <v>46146</v>
      </c>
      <c r="E119" s="61">
        <v>46160</v>
      </c>
      <c r="F119" s="5" t="s">
        <v>1364</v>
      </c>
      <c r="G119" s="5" t="s">
        <v>2283</v>
      </c>
      <c r="H119" s="5" t="s">
        <v>2291</v>
      </c>
      <c r="I119" s="60">
        <v>0</v>
      </c>
      <c r="J119" s="5" t="s">
        <v>1425</v>
      </c>
      <c r="K119" s="58">
        <v>0</v>
      </c>
      <c r="L119" s="5" t="s">
        <v>993</v>
      </c>
      <c r="M119" s="5" t="s">
        <v>1408</v>
      </c>
      <c r="N119" t="str">
        <f>_xlfn.XLOOKUP(A119,Monitoring!A:A,Monitoring!D:D)</f>
        <v>OFFICES</v>
      </c>
    </row>
    <row r="120" spans="1:14" x14ac:dyDescent="0.35">
      <c r="A120" s="5">
        <v>10001314</v>
      </c>
      <c r="B120" s="5" t="s">
        <v>1295</v>
      </c>
      <c r="C120" s="5" t="s">
        <v>1318</v>
      </c>
      <c r="D120" s="61">
        <v>46146</v>
      </c>
      <c r="E120" s="61">
        <v>46160</v>
      </c>
      <c r="F120" s="5" t="s">
        <v>1364</v>
      </c>
      <c r="G120" s="5" t="s">
        <v>2283</v>
      </c>
      <c r="H120" s="5" t="s">
        <v>2290</v>
      </c>
      <c r="I120" s="60">
        <v>0</v>
      </c>
      <c r="J120" s="5" t="s">
        <v>1425</v>
      </c>
      <c r="K120" s="58">
        <v>0</v>
      </c>
      <c r="L120" s="5" t="s">
        <v>993</v>
      </c>
      <c r="M120" s="5" t="s">
        <v>1408</v>
      </c>
      <c r="N120" t="str">
        <f>_xlfn.XLOOKUP(A120,Monitoring!A:A,Monitoring!D:D)</f>
        <v>OFFICES</v>
      </c>
    </row>
    <row r="121" spans="1:14" x14ac:dyDescent="0.35">
      <c r="A121" s="5">
        <v>10001314</v>
      </c>
      <c r="B121" s="5" t="s">
        <v>1295</v>
      </c>
      <c r="C121" s="5" t="s">
        <v>1318</v>
      </c>
      <c r="D121" s="61">
        <v>46146</v>
      </c>
      <c r="E121" s="61">
        <v>46160</v>
      </c>
      <c r="F121" s="5" t="s">
        <v>1364</v>
      </c>
      <c r="G121" s="5" t="s">
        <v>2283</v>
      </c>
      <c r="H121" s="5" t="s">
        <v>2289</v>
      </c>
      <c r="I121" s="60">
        <v>0</v>
      </c>
      <c r="J121" s="5" t="s">
        <v>1425</v>
      </c>
      <c r="K121" s="58">
        <v>0</v>
      </c>
      <c r="L121" s="5" t="s">
        <v>993</v>
      </c>
      <c r="M121" s="5" t="s">
        <v>1408</v>
      </c>
      <c r="N121" t="str">
        <f>_xlfn.XLOOKUP(A121,Monitoring!A:A,Monitoring!D:D)</f>
        <v>OFFICES</v>
      </c>
    </row>
    <row r="122" spans="1:14" x14ac:dyDescent="0.35">
      <c r="A122" s="5">
        <v>10001314</v>
      </c>
      <c r="B122" s="5" t="s">
        <v>1295</v>
      </c>
      <c r="C122" s="5" t="s">
        <v>1318</v>
      </c>
      <c r="D122" s="61">
        <v>46036</v>
      </c>
      <c r="E122" s="61">
        <v>46062</v>
      </c>
      <c r="F122" s="5" t="s">
        <v>1364</v>
      </c>
      <c r="G122" s="5" t="s">
        <v>1413</v>
      </c>
      <c r="H122" s="5" t="s">
        <v>1414</v>
      </c>
      <c r="I122" s="60">
        <v>0</v>
      </c>
      <c r="J122" s="5" t="s">
        <v>1300</v>
      </c>
      <c r="K122" s="58">
        <v>0</v>
      </c>
      <c r="L122" s="5" t="s">
        <v>993</v>
      </c>
      <c r="M122" s="5" t="s">
        <v>1408</v>
      </c>
      <c r="N122" t="str">
        <f>_xlfn.XLOOKUP(A122,Monitoring!A:A,Monitoring!D:D)</f>
        <v>OFFICES</v>
      </c>
    </row>
    <row r="123" spans="1:14" x14ac:dyDescent="0.35">
      <c r="A123" s="5">
        <v>10001314</v>
      </c>
      <c r="B123" s="5" t="s">
        <v>1295</v>
      </c>
      <c r="C123" s="5" t="s">
        <v>1318</v>
      </c>
      <c r="D123" s="61">
        <v>46036</v>
      </c>
      <c r="E123" s="61">
        <v>46081</v>
      </c>
      <c r="F123" s="5" t="s">
        <v>1364</v>
      </c>
      <c r="G123" s="5" t="s">
        <v>1411</v>
      </c>
      <c r="H123" s="5" t="s">
        <v>1412</v>
      </c>
      <c r="I123" s="60">
        <v>0</v>
      </c>
      <c r="J123" s="5" t="s">
        <v>1300</v>
      </c>
      <c r="K123" s="58">
        <v>0</v>
      </c>
      <c r="L123" s="5" t="s">
        <v>993</v>
      </c>
      <c r="M123" s="5" t="s">
        <v>1408</v>
      </c>
      <c r="N123" t="str">
        <f>_xlfn.XLOOKUP(A123,Monitoring!A:A,Monitoring!D:D)</f>
        <v>OFFICES</v>
      </c>
    </row>
    <row r="124" spans="1:14" x14ac:dyDescent="0.35">
      <c r="A124" s="5">
        <v>10001314</v>
      </c>
      <c r="B124" s="5" t="s">
        <v>1295</v>
      </c>
      <c r="C124" s="5" t="s">
        <v>1318</v>
      </c>
      <c r="D124" s="61">
        <v>46008</v>
      </c>
      <c r="E124" s="61">
        <v>46017</v>
      </c>
      <c r="F124" s="5" t="s">
        <v>1364</v>
      </c>
      <c r="G124" s="5" t="s">
        <v>1403</v>
      </c>
      <c r="H124" s="5" t="s">
        <v>1404</v>
      </c>
      <c r="I124" s="60">
        <v>0</v>
      </c>
      <c r="J124" s="5" t="s">
        <v>1300</v>
      </c>
      <c r="K124" s="58">
        <v>0</v>
      </c>
      <c r="L124" s="5" t="s">
        <v>993</v>
      </c>
      <c r="M124" s="5" t="s">
        <v>1405</v>
      </c>
      <c r="N124" t="str">
        <f>_xlfn.XLOOKUP(A124,Monitoring!A:A,Monitoring!D:D)</f>
        <v>OFFICES</v>
      </c>
    </row>
    <row r="125" spans="1:14" x14ac:dyDescent="0.35">
      <c r="A125" s="5">
        <v>10001314</v>
      </c>
      <c r="B125" s="5" t="s">
        <v>1295</v>
      </c>
      <c r="C125" s="5" t="s">
        <v>1318</v>
      </c>
      <c r="D125" s="61">
        <v>46162</v>
      </c>
      <c r="E125" s="61">
        <v>46160</v>
      </c>
      <c r="F125" s="5" t="s">
        <v>1297</v>
      </c>
      <c r="G125" s="5" t="s">
        <v>2300</v>
      </c>
      <c r="H125" s="5" t="s">
        <v>2299</v>
      </c>
      <c r="I125" s="60">
        <v>1</v>
      </c>
      <c r="J125" s="5" t="s">
        <v>1300</v>
      </c>
      <c r="K125" s="58">
        <v>16964.29</v>
      </c>
      <c r="L125" s="5" t="s">
        <v>1103</v>
      </c>
      <c r="M125" s="5" t="s">
        <v>1408</v>
      </c>
      <c r="N125" t="str">
        <f>_xlfn.XLOOKUP(A125,Monitoring!A:A,Monitoring!D:D)</f>
        <v>OFFICES</v>
      </c>
    </row>
    <row r="126" spans="1:14" x14ac:dyDescent="0.35">
      <c r="A126" s="5">
        <v>10001314</v>
      </c>
      <c r="B126" s="5" t="s">
        <v>1295</v>
      </c>
      <c r="C126" s="5" t="s">
        <v>1318</v>
      </c>
      <c r="D126" s="61">
        <v>46162</v>
      </c>
      <c r="E126" s="61">
        <v>46160</v>
      </c>
      <c r="F126" s="5" t="s">
        <v>1297</v>
      </c>
      <c r="G126" s="5" t="s">
        <v>2300</v>
      </c>
      <c r="H126" s="5" t="s">
        <v>2298</v>
      </c>
      <c r="I126" s="60">
        <v>1</v>
      </c>
      <c r="J126" s="5" t="s">
        <v>1425</v>
      </c>
      <c r="K126" s="58">
        <v>133.93</v>
      </c>
      <c r="L126" s="5" t="s">
        <v>1103</v>
      </c>
      <c r="M126" s="5" t="s">
        <v>1408</v>
      </c>
      <c r="N126" t="str">
        <f>_xlfn.XLOOKUP(A126,Monitoring!A:A,Monitoring!D:D)</f>
        <v>OFFICES</v>
      </c>
    </row>
    <row r="127" spans="1:14" x14ac:dyDescent="0.35">
      <c r="A127" s="5">
        <v>10001314</v>
      </c>
      <c r="B127" s="5" t="s">
        <v>1295</v>
      </c>
      <c r="C127" s="5" t="s">
        <v>1318</v>
      </c>
      <c r="D127" s="61">
        <v>46162</v>
      </c>
      <c r="E127" s="61">
        <v>46160</v>
      </c>
      <c r="F127" s="5" t="s">
        <v>1297</v>
      </c>
      <c r="G127" s="5" t="s">
        <v>2300</v>
      </c>
      <c r="H127" s="5" t="s">
        <v>2297</v>
      </c>
      <c r="I127" s="60">
        <v>1</v>
      </c>
      <c r="J127" s="5" t="s">
        <v>1425</v>
      </c>
      <c r="K127" s="58">
        <v>10357.14</v>
      </c>
      <c r="L127" s="5" t="s">
        <v>1103</v>
      </c>
      <c r="M127" s="5" t="s">
        <v>1408</v>
      </c>
      <c r="N127" t="str">
        <f>_xlfn.XLOOKUP(A127,Monitoring!A:A,Monitoring!D:D)</f>
        <v>OFFICES</v>
      </c>
    </row>
    <row r="128" spans="1:14" x14ac:dyDescent="0.35">
      <c r="A128" s="5">
        <v>10001314</v>
      </c>
      <c r="B128" s="5" t="s">
        <v>1295</v>
      </c>
      <c r="C128" s="5" t="s">
        <v>1318</v>
      </c>
      <c r="D128" s="61">
        <v>46162</v>
      </c>
      <c r="E128" s="61">
        <v>46160</v>
      </c>
      <c r="F128" s="5" t="s">
        <v>1297</v>
      </c>
      <c r="G128" s="5" t="s">
        <v>2300</v>
      </c>
      <c r="H128" s="5" t="s">
        <v>2296</v>
      </c>
      <c r="I128" s="60">
        <v>1</v>
      </c>
      <c r="J128" s="5" t="s">
        <v>1425</v>
      </c>
      <c r="K128" s="58">
        <v>1562.5</v>
      </c>
      <c r="L128" s="5" t="s">
        <v>1103</v>
      </c>
      <c r="M128" s="5" t="s">
        <v>1408</v>
      </c>
      <c r="N128" t="str">
        <f>_xlfn.XLOOKUP(A128,Monitoring!A:A,Monitoring!D:D)</f>
        <v>OFFICES</v>
      </c>
    </row>
    <row r="129" spans="1:14" x14ac:dyDescent="0.35">
      <c r="A129" s="5">
        <v>10001314</v>
      </c>
      <c r="B129" s="5" t="s">
        <v>1295</v>
      </c>
      <c r="C129" s="5" t="s">
        <v>1318</v>
      </c>
      <c r="D129" s="61">
        <v>46162</v>
      </c>
      <c r="E129" s="61">
        <v>46160</v>
      </c>
      <c r="F129" s="5" t="s">
        <v>1297</v>
      </c>
      <c r="G129" s="5" t="s">
        <v>2300</v>
      </c>
      <c r="H129" s="5" t="s">
        <v>2295</v>
      </c>
      <c r="I129" s="60">
        <v>2</v>
      </c>
      <c r="J129" s="5" t="s">
        <v>1425</v>
      </c>
      <c r="K129" s="58">
        <v>1250</v>
      </c>
      <c r="L129" s="5" t="s">
        <v>1103</v>
      </c>
      <c r="M129" s="5" t="s">
        <v>1408</v>
      </c>
      <c r="N129" t="str">
        <f>_xlfn.XLOOKUP(A129,Monitoring!A:A,Monitoring!D:D)</f>
        <v>OFFICES</v>
      </c>
    </row>
    <row r="130" spans="1:14" x14ac:dyDescent="0.35">
      <c r="A130" s="5">
        <v>10001314</v>
      </c>
      <c r="B130" s="5" t="s">
        <v>1295</v>
      </c>
      <c r="C130" s="5" t="s">
        <v>1318</v>
      </c>
      <c r="D130" s="61">
        <v>46162</v>
      </c>
      <c r="E130" s="61">
        <v>46160</v>
      </c>
      <c r="F130" s="5" t="s">
        <v>1297</v>
      </c>
      <c r="G130" s="5" t="s">
        <v>2300</v>
      </c>
      <c r="H130" s="5" t="s">
        <v>2294</v>
      </c>
      <c r="I130" s="60">
        <v>30</v>
      </c>
      <c r="J130" s="5" t="s">
        <v>1425</v>
      </c>
      <c r="K130" s="58">
        <v>1339.29</v>
      </c>
      <c r="L130" s="5" t="s">
        <v>1103</v>
      </c>
      <c r="M130" s="5" t="s">
        <v>1408</v>
      </c>
      <c r="N130" t="str">
        <f>_xlfn.XLOOKUP(A130,Monitoring!A:A,Monitoring!D:D)</f>
        <v>OFFICES</v>
      </c>
    </row>
    <row r="131" spans="1:14" x14ac:dyDescent="0.35">
      <c r="A131" s="5">
        <v>10001314</v>
      </c>
      <c r="B131" s="5" t="s">
        <v>1295</v>
      </c>
      <c r="C131" s="5" t="s">
        <v>1318</v>
      </c>
      <c r="D131" s="61">
        <v>46111</v>
      </c>
      <c r="E131" s="61">
        <v>46111</v>
      </c>
      <c r="F131" s="5" t="s">
        <v>1297</v>
      </c>
      <c r="G131" s="5" t="s">
        <v>1446</v>
      </c>
      <c r="H131" s="5" t="s">
        <v>1427</v>
      </c>
      <c r="I131" s="60">
        <v>0</v>
      </c>
      <c r="J131" s="5" t="s">
        <v>1342</v>
      </c>
      <c r="K131" s="58">
        <v>0</v>
      </c>
      <c r="L131" s="5" t="s">
        <v>1103</v>
      </c>
      <c r="M131" s="5" t="s">
        <v>1306</v>
      </c>
      <c r="N131" t="str">
        <f>_xlfn.XLOOKUP(A131,Monitoring!A:A,Monitoring!D:D)</f>
        <v>OFFICES</v>
      </c>
    </row>
    <row r="132" spans="1:14" x14ac:dyDescent="0.35">
      <c r="A132" s="5">
        <v>10001314</v>
      </c>
      <c r="B132" s="5" t="s">
        <v>1295</v>
      </c>
      <c r="C132" s="5" t="s">
        <v>1318</v>
      </c>
      <c r="D132" s="61">
        <v>46111</v>
      </c>
      <c r="E132" s="61">
        <v>46111</v>
      </c>
      <c r="F132" s="5" t="s">
        <v>1297</v>
      </c>
      <c r="G132" s="5" t="s">
        <v>1446</v>
      </c>
      <c r="H132" s="5" t="s">
        <v>1426</v>
      </c>
      <c r="I132" s="60">
        <v>0</v>
      </c>
      <c r="J132" s="5" t="s">
        <v>1342</v>
      </c>
      <c r="K132" s="58">
        <v>0</v>
      </c>
      <c r="L132" s="5" t="s">
        <v>1103</v>
      </c>
      <c r="M132" s="5" t="s">
        <v>1306</v>
      </c>
      <c r="N132" t="str">
        <f>_xlfn.XLOOKUP(A132,Monitoring!A:A,Monitoring!D:D)</f>
        <v>OFFICES</v>
      </c>
    </row>
    <row r="133" spans="1:14" x14ac:dyDescent="0.35">
      <c r="A133" s="5">
        <v>10001314</v>
      </c>
      <c r="B133" s="5" t="s">
        <v>1295</v>
      </c>
      <c r="C133" s="5" t="s">
        <v>1318</v>
      </c>
      <c r="D133" s="61">
        <v>46111</v>
      </c>
      <c r="E133" s="61">
        <v>46111</v>
      </c>
      <c r="F133" s="5" t="s">
        <v>1297</v>
      </c>
      <c r="G133" s="5" t="s">
        <v>1446</v>
      </c>
      <c r="H133" s="5" t="s">
        <v>1424</v>
      </c>
      <c r="I133" s="60">
        <v>0</v>
      </c>
      <c r="J133" s="5" t="s">
        <v>1425</v>
      </c>
      <c r="K133" s="58">
        <v>0</v>
      </c>
      <c r="L133" s="5" t="s">
        <v>1103</v>
      </c>
      <c r="M133" s="5" t="s">
        <v>1306</v>
      </c>
      <c r="N133" t="str">
        <f>_xlfn.XLOOKUP(A133,Monitoring!A:A,Monitoring!D:D)</f>
        <v>OFFICES</v>
      </c>
    </row>
    <row r="134" spans="1:14" x14ac:dyDescent="0.35">
      <c r="A134" s="5">
        <v>10001314</v>
      </c>
      <c r="B134" s="5" t="s">
        <v>1295</v>
      </c>
      <c r="C134" s="5" t="s">
        <v>1318</v>
      </c>
      <c r="D134" s="61">
        <v>45972</v>
      </c>
      <c r="E134" s="61">
        <v>46022</v>
      </c>
      <c r="F134" s="5" t="s">
        <v>1297</v>
      </c>
      <c r="G134" s="5" t="s">
        <v>1033</v>
      </c>
      <c r="H134" s="5" t="s">
        <v>1046</v>
      </c>
      <c r="I134" s="60">
        <v>0</v>
      </c>
      <c r="J134" s="5" t="s">
        <v>1380</v>
      </c>
      <c r="K134" s="58">
        <v>0</v>
      </c>
      <c r="L134" s="5" t="s">
        <v>1103</v>
      </c>
      <c r="M134" s="5" t="s">
        <v>1306</v>
      </c>
      <c r="N134" t="str">
        <f>_xlfn.XLOOKUP(A134,Monitoring!A:A,Monitoring!D:D)</f>
        <v>OFFICES</v>
      </c>
    </row>
    <row r="135" spans="1:14" x14ac:dyDescent="0.35">
      <c r="A135" s="5">
        <v>10001314</v>
      </c>
      <c r="B135" s="5" t="s">
        <v>1295</v>
      </c>
      <c r="C135" s="5" t="s">
        <v>1318</v>
      </c>
      <c r="D135" s="61">
        <v>45972</v>
      </c>
      <c r="E135" s="61">
        <v>46022</v>
      </c>
      <c r="F135" s="5" t="s">
        <v>1297</v>
      </c>
      <c r="G135" s="5" t="s">
        <v>1033</v>
      </c>
      <c r="H135" s="5" t="s">
        <v>1035</v>
      </c>
      <c r="I135" s="60">
        <v>0</v>
      </c>
      <c r="J135" s="5" t="s">
        <v>1380</v>
      </c>
      <c r="K135" s="58">
        <v>0</v>
      </c>
      <c r="L135" s="5" t="s">
        <v>1103</v>
      </c>
      <c r="M135" s="5" t="s">
        <v>1306</v>
      </c>
      <c r="N135" t="str">
        <f>_xlfn.XLOOKUP(A135,Monitoring!A:A,Monitoring!D:D)</f>
        <v>OFFICES</v>
      </c>
    </row>
    <row r="136" spans="1:14" x14ac:dyDescent="0.35">
      <c r="A136" s="5">
        <v>10001314</v>
      </c>
      <c r="B136" s="5" t="s">
        <v>1295</v>
      </c>
      <c r="C136" s="5" t="s">
        <v>1318</v>
      </c>
      <c r="D136" s="61">
        <v>45905</v>
      </c>
      <c r="E136" s="61">
        <v>45905</v>
      </c>
      <c r="F136" s="5" t="s">
        <v>1297</v>
      </c>
      <c r="G136" s="5" t="s">
        <v>1433</v>
      </c>
      <c r="H136" s="5" t="s">
        <v>1434</v>
      </c>
      <c r="I136" s="60">
        <v>1</v>
      </c>
      <c r="J136" s="5" t="s">
        <v>1300</v>
      </c>
      <c r="K136" s="58">
        <v>491071.43</v>
      </c>
      <c r="L136" s="5" t="s">
        <v>1329</v>
      </c>
      <c r="M136" s="5" t="s">
        <v>1408</v>
      </c>
      <c r="N136" t="str">
        <f>_xlfn.XLOOKUP(A136,Monitoring!A:A,Monitoring!D:D)</f>
        <v>OFFICES</v>
      </c>
    </row>
    <row r="137" spans="1:14" x14ac:dyDescent="0.35">
      <c r="A137" s="5">
        <v>10001314</v>
      </c>
      <c r="B137" s="5" t="s">
        <v>1295</v>
      </c>
      <c r="C137" s="5" t="s">
        <v>1318</v>
      </c>
      <c r="D137" s="61">
        <v>45897</v>
      </c>
      <c r="E137" s="61">
        <v>45897</v>
      </c>
      <c r="F137" s="5" t="s">
        <v>1297</v>
      </c>
      <c r="G137" s="5" t="s">
        <v>1029</v>
      </c>
      <c r="H137" s="5" t="s">
        <v>1031</v>
      </c>
      <c r="I137" s="60">
        <v>0</v>
      </c>
      <c r="J137" s="5" t="s">
        <v>1300</v>
      </c>
      <c r="K137" s="58">
        <v>0</v>
      </c>
      <c r="L137" s="5" t="s">
        <v>1432</v>
      </c>
      <c r="M137" s="5" t="s">
        <v>1339</v>
      </c>
      <c r="N137" t="str">
        <f>_xlfn.XLOOKUP(A137,Monitoring!A:A,Monitoring!D:D)</f>
        <v>OFFICES</v>
      </c>
    </row>
    <row r="138" spans="1:14" x14ac:dyDescent="0.35">
      <c r="A138" s="5">
        <v>10001314</v>
      </c>
      <c r="B138" s="5" t="s">
        <v>1295</v>
      </c>
      <c r="C138" s="5" t="s">
        <v>1318</v>
      </c>
      <c r="D138" s="61">
        <v>45897</v>
      </c>
      <c r="E138" s="61">
        <v>45897</v>
      </c>
      <c r="F138" s="5" t="s">
        <v>1297</v>
      </c>
      <c r="G138" s="5" t="s">
        <v>1430</v>
      </c>
      <c r="H138" s="5" t="s">
        <v>1431</v>
      </c>
      <c r="I138" s="59">
        <v>0.02</v>
      </c>
      <c r="J138" s="5" t="s">
        <v>1300</v>
      </c>
      <c r="K138" s="58">
        <v>10714.29</v>
      </c>
      <c r="L138" s="5" t="s">
        <v>1305</v>
      </c>
      <c r="M138" s="5" t="s">
        <v>1339</v>
      </c>
      <c r="N138" t="str">
        <f>_xlfn.XLOOKUP(A138,Monitoring!A:A,Monitoring!D:D)</f>
        <v>OFFICES</v>
      </c>
    </row>
    <row r="139" spans="1:14" x14ac:dyDescent="0.35">
      <c r="A139" s="5">
        <v>10001314</v>
      </c>
      <c r="B139" s="5" t="s">
        <v>1295</v>
      </c>
      <c r="C139" s="5" t="s">
        <v>1318</v>
      </c>
      <c r="D139" s="61">
        <v>46146</v>
      </c>
      <c r="E139" s="61">
        <v>46160</v>
      </c>
      <c r="F139" s="5" t="s">
        <v>1364</v>
      </c>
      <c r="G139" s="5" t="s">
        <v>2283</v>
      </c>
      <c r="H139" s="5" t="s">
        <v>2288</v>
      </c>
      <c r="I139" s="60">
        <v>0</v>
      </c>
      <c r="J139" s="5" t="s">
        <v>1425</v>
      </c>
      <c r="K139" s="58">
        <v>0</v>
      </c>
      <c r="L139" s="5" t="s">
        <v>993</v>
      </c>
      <c r="M139" s="5" t="s">
        <v>1408</v>
      </c>
      <c r="N139" t="str">
        <f>_xlfn.XLOOKUP(A139,Monitoring!A:A,Monitoring!D:D)</f>
        <v>OFFICES</v>
      </c>
    </row>
    <row r="140" spans="1:14" x14ac:dyDescent="0.35">
      <c r="A140" s="5">
        <v>10001314</v>
      </c>
      <c r="B140" s="5" t="s">
        <v>1295</v>
      </c>
      <c r="C140" s="5" t="s">
        <v>1318</v>
      </c>
      <c r="D140" s="61">
        <v>46146</v>
      </c>
      <c r="E140" s="61">
        <v>46160</v>
      </c>
      <c r="F140" s="5" t="s">
        <v>1364</v>
      </c>
      <c r="G140" s="5" t="s">
        <v>2283</v>
      </c>
      <c r="H140" s="5" t="s">
        <v>2287</v>
      </c>
      <c r="I140" s="60">
        <v>0</v>
      </c>
      <c r="J140" s="5" t="s">
        <v>1425</v>
      </c>
      <c r="K140" s="58">
        <v>0</v>
      </c>
      <c r="L140" s="5" t="s">
        <v>993</v>
      </c>
      <c r="M140" s="5" t="s">
        <v>1408</v>
      </c>
      <c r="N140" t="str">
        <f>_xlfn.XLOOKUP(A140,Monitoring!A:A,Monitoring!D:D)</f>
        <v>OFFICES</v>
      </c>
    </row>
    <row r="141" spans="1:14" x14ac:dyDescent="0.35">
      <c r="A141" s="5">
        <v>10001314</v>
      </c>
      <c r="B141" s="5" t="s">
        <v>1295</v>
      </c>
      <c r="C141" s="5" t="s">
        <v>1318</v>
      </c>
      <c r="D141" s="61">
        <v>46146</v>
      </c>
      <c r="E141" s="61">
        <v>46160</v>
      </c>
      <c r="F141" s="5" t="s">
        <v>1364</v>
      </c>
      <c r="G141" s="5" t="s">
        <v>2283</v>
      </c>
      <c r="H141" s="5" t="s">
        <v>2286</v>
      </c>
      <c r="I141" s="60">
        <v>0</v>
      </c>
      <c r="J141" s="5" t="s">
        <v>1425</v>
      </c>
      <c r="K141" s="58">
        <v>0</v>
      </c>
      <c r="L141" s="5" t="s">
        <v>993</v>
      </c>
      <c r="M141" s="5" t="s">
        <v>1408</v>
      </c>
      <c r="N141" t="str">
        <f>_xlfn.XLOOKUP(A141,Monitoring!A:A,Monitoring!D:D)</f>
        <v>OFFICES</v>
      </c>
    </row>
    <row r="142" spans="1:14" x14ac:dyDescent="0.35">
      <c r="A142" s="5">
        <v>10001314</v>
      </c>
      <c r="B142" s="5" t="s">
        <v>1295</v>
      </c>
      <c r="C142" s="5" t="s">
        <v>1318</v>
      </c>
      <c r="D142" s="61">
        <v>46146</v>
      </c>
      <c r="E142" s="61">
        <v>46160</v>
      </c>
      <c r="F142" s="5" t="s">
        <v>1364</v>
      </c>
      <c r="G142" s="5" t="s">
        <v>2283</v>
      </c>
      <c r="H142" s="5" t="s">
        <v>2284</v>
      </c>
      <c r="I142" s="60">
        <v>0</v>
      </c>
      <c r="J142" s="5" t="s">
        <v>1425</v>
      </c>
      <c r="K142" s="58">
        <v>0</v>
      </c>
      <c r="L142" s="5" t="s">
        <v>993</v>
      </c>
      <c r="M142" s="5" t="s">
        <v>1408</v>
      </c>
      <c r="N142" t="str">
        <f>_xlfn.XLOOKUP(A142,Monitoring!A:A,Monitoring!D:D)</f>
        <v>OFFICES</v>
      </c>
    </row>
    <row r="143" spans="1:14" x14ac:dyDescent="0.35">
      <c r="A143" s="5">
        <v>10001314</v>
      </c>
      <c r="B143" s="5" t="s">
        <v>1295</v>
      </c>
      <c r="C143" s="5" t="s">
        <v>1318</v>
      </c>
      <c r="D143" s="61">
        <v>46146</v>
      </c>
      <c r="E143" s="61">
        <v>46160</v>
      </c>
      <c r="F143" s="5" t="s">
        <v>1364</v>
      </c>
      <c r="G143" s="5" t="s">
        <v>2283</v>
      </c>
      <c r="H143" s="5" t="s">
        <v>2285</v>
      </c>
      <c r="I143" s="60">
        <v>0</v>
      </c>
      <c r="J143" s="5" t="s">
        <v>1425</v>
      </c>
      <c r="K143" s="58">
        <v>0</v>
      </c>
      <c r="L143" s="5" t="s">
        <v>993</v>
      </c>
      <c r="M143" s="5" t="s">
        <v>1408</v>
      </c>
      <c r="N143" t="str">
        <f>_xlfn.XLOOKUP(A143,Monitoring!A:A,Monitoring!D:D)</f>
        <v>OFFICES</v>
      </c>
    </row>
    <row r="144" spans="1:14" x14ac:dyDescent="0.35">
      <c r="A144" s="5">
        <v>10001314</v>
      </c>
      <c r="B144" s="5" t="s">
        <v>1295</v>
      </c>
      <c r="C144" s="5" t="s">
        <v>1318</v>
      </c>
      <c r="D144" s="61">
        <v>46146</v>
      </c>
      <c r="E144" s="61">
        <v>46160</v>
      </c>
      <c r="F144" s="5" t="s">
        <v>1364</v>
      </c>
      <c r="G144" s="5" t="s">
        <v>2283</v>
      </c>
      <c r="H144" s="5" t="s">
        <v>2284</v>
      </c>
      <c r="I144" s="60">
        <v>0</v>
      </c>
      <c r="J144" s="5" t="s">
        <v>1425</v>
      </c>
      <c r="K144" s="58">
        <v>0</v>
      </c>
      <c r="L144" s="5" t="s">
        <v>993</v>
      </c>
      <c r="M144" s="5" t="s">
        <v>1408</v>
      </c>
      <c r="N144" t="str">
        <f>_xlfn.XLOOKUP(A144,Monitoring!A:A,Monitoring!D:D)</f>
        <v>OFFICES</v>
      </c>
    </row>
    <row r="145" spans="1:14" x14ac:dyDescent="0.35">
      <c r="A145" s="5">
        <v>10001314</v>
      </c>
      <c r="B145" s="5" t="s">
        <v>1295</v>
      </c>
      <c r="C145" s="5" t="s">
        <v>1318</v>
      </c>
      <c r="D145" s="61">
        <v>46098</v>
      </c>
      <c r="E145" s="61">
        <v>46105</v>
      </c>
      <c r="F145" s="5" t="s">
        <v>1364</v>
      </c>
      <c r="G145" s="5" t="s">
        <v>1423</v>
      </c>
      <c r="H145" s="5" t="s">
        <v>1427</v>
      </c>
      <c r="I145" s="60">
        <v>0</v>
      </c>
      <c r="J145" s="5" t="s">
        <v>1342</v>
      </c>
      <c r="K145" s="58">
        <v>0</v>
      </c>
      <c r="L145" s="5" t="s">
        <v>993</v>
      </c>
      <c r="M145" s="5" t="s">
        <v>1408</v>
      </c>
      <c r="N145" t="str">
        <f>_xlfn.XLOOKUP(A145,Monitoring!A:A,Monitoring!D:D)</f>
        <v>OFFICES</v>
      </c>
    </row>
    <row r="146" spans="1:14" x14ac:dyDescent="0.35">
      <c r="A146" s="5">
        <v>10001314</v>
      </c>
      <c r="B146" s="5" t="s">
        <v>1295</v>
      </c>
      <c r="C146" s="5" t="s">
        <v>1318</v>
      </c>
      <c r="D146" s="61">
        <v>46098</v>
      </c>
      <c r="E146" s="61">
        <v>46105</v>
      </c>
      <c r="F146" s="5" t="s">
        <v>1364</v>
      </c>
      <c r="G146" s="5" t="s">
        <v>1423</v>
      </c>
      <c r="H146" s="5" t="s">
        <v>1426</v>
      </c>
      <c r="I146" s="60">
        <v>0</v>
      </c>
      <c r="J146" s="5" t="s">
        <v>1342</v>
      </c>
      <c r="K146" s="58">
        <v>0</v>
      </c>
      <c r="L146" s="5" t="s">
        <v>993</v>
      </c>
      <c r="M146" s="5" t="s">
        <v>1408</v>
      </c>
      <c r="N146" t="str">
        <f>_xlfn.XLOOKUP(A146,Monitoring!A:A,Monitoring!D:D)</f>
        <v>OFFICES</v>
      </c>
    </row>
    <row r="147" spans="1:14" x14ac:dyDescent="0.35">
      <c r="A147" s="5">
        <v>10001314</v>
      </c>
      <c r="B147" s="5" t="s">
        <v>1295</v>
      </c>
      <c r="C147" s="5" t="s">
        <v>1318</v>
      </c>
      <c r="D147" s="61">
        <v>46098</v>
      </c>
      <c r="E147" s="61">
        <v>46105</v>
      </c>
      <c r="F147" s="5" t="s">
        <v>1364</v>
      </c>
      <c r="G147" s="5" t="s">
        <v>1423</v>
      </c>
      <c r="H147" s="5" t="s">
        <v>1424</v>
      </c>
      <c r="I147" s="60">
        <v>0</v>
      </c>
      <c r="J147" s="5" t="s">
        <v>1425</v>
      </c>
      <c r="K147" s="58">
        <v>0</v>
      </c>
      <c r="L147" s="5" t="s">
        <v>993</v>
      </c>
      <c r="M147" s="5" t="s">
        <v>1408</v>
      </c>
      <c r="N147" t="str">
        <f>_xlfn.XLOOKUP(A147,Monitoring!A:A,Monitoring!D:D)</f>
        <v>OFFICES</v>
      </c>
    </row>
    <row r="148" spans="1:14" x14ac:dyDescent="0.35">
      <c r="A148" s="5">
        <v>10001314</v>
      </c>
      <c r="B148" s="5" t="s">
        <v>1295</v>
      </c>
      <c r="C148" s="5" t="s">
        <v>1318</v>
      </c>
      <c r="D148" s="61">
        <v>46043</v>
      </c>
      <c r="E148" s="61">
        <v>46048</v>
      </c>
      <c r="F148" s="5" t="s">
        <v>1364</v>
      </c>
      <c r="G148" s="5" t="s">
        <v>1422</v>
      </c>
      <c r="H148" s="5" t="s">
        <v>1101</v>
      </c>
      <c r="I148" s="60">
        <v>0</v>
      </c>
      <c r="J148" s="5" t="s">
        <v>1300</v>
      </c>
      <c r="K148" s="58">
        <v>0</v>
      </c>
      <c r="L148" s="5" t="s">
        <v>993</v>
      </c>
      <c r="M148" s="5" t="s">
        <v>1408</v>
      </c>
      <c r="N148" t="str">
        <f>_xlfn.XLOOKUP(A148,Monitoring!A:A,Monitoring!D:D)</f>
        <v>OFFICES</v>
      </c>
    </row>
    <row r="149" spans="1:14" x14ac:dyDescent="0.35">
      <c r="A149" s="5">
        <v>10001314</v>
      </c>
      <c r="B149" s="5" t="s">
        <v>1295</v>
      </c>
      <c r="C149" s="5" t="s">
        <v>1318</v>
      </c>
      <c r="D149" s="61">
        <v>46043</v>
      </c>
      <c r="E149" s="61">
        <v>46048</v>
      </c>
      <c r="F149" s="5" t="s">
        <v>1364</v>
      </c>
      <c r="G149" s="5" t="s">
        <v>1422</v>
      </c>
      <c r="H149" s="5" t="s">
        <v>1027</v>
      </c>
      <c r="I149" s="60">
        <v>0</v>
      </c>
      <c r="J149" s="5" t="s">
        <v>1300</v>
      </c>
      <c r="K149" s="58">
        <v>0</v>
      </c>
      <c r="L149" s="5" t="s">
        <v>993</v>
      </c>
      <c r="M149" s="5" t="s">
        <v>1408</v>
      </c>
      <c r="N149" t="str">
        <f>_xlfn.XLOOKUP(A149,Monitoring!A:A,Monitoring!D:D)</f>
        <v>OFFICES</v>
      </c>
    </row>
    <row r="150" spans="1:14" x14ac:dyDescent="0.35">
      <c r="A150" s="5">
        <v>10001314</v>
      </c>
      <c r="B150" s="5" t="s">
        <v>1295</v>
      </c>
      <c r="C150" s="5" t="s">
        <v>1318</v>
      </c>
      <c r="D150" s="61">
        <v>46043</v>
      </c>
      <c r="E150" s="61">
        <v>46043</v>
      </c>
      <c r="F150" s="5" t="s">
        <v>1364</v>
      </c>
      <c r="G150" s="5" t="s">
        <v>1415</v>
      </c>
      <c r="H150" s="5" t="s">
        <v>1421</v>
      </c>
      <c r="I150" s="60">
        <v>0</v>
      </c>
      <c r="J150" s="5" t="s">
        <v>1300</v>
      </c>
      <c r="K150" s="58">
        <v>0</v>
      </c>
      <c r="L150" s="5" t="s">
        <v>993</v>
      </c>
      <c r="M150" s="5" t="s">
        <v>1405</v>
      </c>
      <c r="N150" t="str">
        <f>_xlfn.XLOOKUP(A150,Monitoring!A:A,Monitoring!D:D)</f>
        <v>OFFICES</v>
      </c>
    </row>
    <row r="151" spans="1:14" x14ac:dyDescent="0.35">
      <c r="A151" s="5">
        <v>10001314</v>
      </c>
      <c r="B151" s="5" t="s">
        <v>1295</v>
      </c>
      <c r="C151" s="5" t="s">
        <v>1318</v>
      </c>
      <c r="D151" s="61">
        <v>46043</v>
      </c>
      <c r="E151" s="61">
        <v>46043</v>
      </c>
      <c r="F151" s="5" t="s">
        <v>1364</v>
      </c>
      <c r="G151" s="5" t="s">
        <v>1415</v>
      </c>
      <c r="H151" s="5" t="s">
        <v>1420</v>
      </c>
      <c r="I151" s="60">
        <v>0</v>
      </c>
      <c r="J151" s="5" t="s">
        <v>1342</v>
      </c>
      <c r="K151" s="58">
        <v>0</v>
      </c>
      <c r="L151" s="5" t="s">
        <v>993</v>
      </c>
      <c r="M151" s="5" t="s">
        <v>1405</v>
      </c>
      <c r="N151" t="str">
        <f>_xlfn.XLOOKUP(A151,Monitoring!A:A,Monitoring!D:D)</f>
        <v>OFFICES</v>
      </c>
    </row>
    <row r="152" spans="1:14" x14ac:dyDescent="0.35">
      <c r="A152" s="5">
        <v>10001314</v>
      </c>
      <c r="B152" s="5" t="s">
        <v>1295</v>
      </c>
      <c r="C152" s="5" t="s">
        <v>1318</v>
      </c>
      <c r="D152" s="61">
        <v>46043</v>
      </c>
      <c r="E152" s="61">
        <v>46043</v>
      </c>
      <c r="F152" s="5" t="s">
        <v>1364</v>
      </c>
      <c r="G152" s="5" t="s">
        <v>1415</v>
      </c>
      <c r="H152" s="5" t="s">
        <v>1419</v>
      </c>
      <c r="I152" s="60">
        <v>0</v>
      </c>
      <c r="J152" s="5" t="s">
        <v>1342</v>
      </c>
      <c r="K152" s="58">
        <v>0</v>
      </c>
      <c r="L152" s="5" t="s">
        <v>993</v>
      </c>
      <c r="M152" s="5" t="s">
        <v>1405</v>
      </c>
      <c r="N152" t="str">
        <f>_xlfn.XLOOKUP(A152,Monitoring!A:A,Monitoring!D:D)</f>
        <v>OFFICES</v>
      </c>
    </row>
    <row r="153" spans="1:14" x14ac:dyDescent="0.35">
      <c r="A153" s="5">
        <v>10001314</v>
      </c>
      <c r="B153" s="5" t="s">
        <v>1295</v>
      </c>
      <c r="C153" s="5" t="s">
        <v>1318</v>
      </c>
      <c r="D153" s="61">
        <v>46043</v>
      </c>
      <c r="E153" s="61">
        <v>46043</v>
      </c>
      <c r="F153" s="5" t="s">
        <v>1364</v>
      </c>
      <c r="G153" s="5" t="s">
        <v>1415</v>
      </c>
      <c r="H153" s="5" t="s">
        <v>1418</v>
      </c>
      <c r="I153" s="60">
        <v>0</v>
      </c>
      <c r="J153" s="5" t="s">
        <v>1342</v>
      </c>
      <c r="K153" s="58">
        <v>0</v>
      </c>
      <c r="L153" s="5" t="s">
        <v>993</v>
      </c>
      <c r="M153" s="5" t="s">
        <v>1405</v>
      </c>
      <c r="N153" t="str">
        <f>_xlfn.XLOOKUP(A153,Monitoring!A:A,Monitoring!D:D)</f>
        <v>OFFICES</v>
      </c>
    </row>
    <row r="154" spans="1:14" x14ac:dyDescent="0.35">
      <c r="A154" s="5">
        <v>10001314</v>
      </c>
      <c r="B154" s="5" t="s">
        <v>1295</v>
      </c>
      <c r="C154" s="5" t="s">
        <v>1318</v>
      </c>
      <c r="D154" s="61">
        <v>46043</v>
      </c>
      <c r="E154" s="61">
        <v>46043</v>
      </c>
      <c r="F154" s="5" t="s">
        <v>1364</v>
      </c>
      <c r="G154" s="5" t="s">
        <v>1415</v>
      </c>
      <c r="H154" s="5" t="s">
        <v>1417</v>
      </c>
      <c r="I154" s="60">
        <v>0</v>
      </c>
      <c r="J154" s="5" t="s">
        <v>1342</v>
      </c>
      <c r="K154" s="58">
        <v>0</v>
      </c>
      <c r="L154" s="5" t="s">
        <v>993</v>
      </c>
      <c r="M154" s="5" t="s">
        <v>1405</v>
      </c>
      <c r="N154" t="str">
        <f>_xlfn.XLOOKUP(A154,Monitoring!A:A,Monitoring!D:D)</f>
        <v>OFFICES</v>
      </c>
    </row>
    <row r="155" spans="1:14" x14ac:dyDescent="0.35">
      <c r="A155" s="5">
        <v>10001314</v>
      </c>
      <c r="B155" s="5" t="s">
        <v>1295</v>
      </c>
      <c r="C155" s="5" t="s">
        <v>1318</v>
      </c>
      <c r="D155" s="61">
        <v>46043</v>
      </c>
      <c r="E155" s="61">
        <v>46043</v>
      </c>
      <c r="F155" s="5" t="s">
        <v>1364</v>
      </c>
      <c r="G155" s="5" t="s">
        <v>1415</v>
      </c>
      <c r="H155" s="5" t="s">
        <v>1416</v>
      </c>
      <c r="I155" s="60">
        <v>0</v>
      </c>
      <c r="J155" s="5" t="s">
        <v>1342</v>
      </c>
      <c r="K155" s="58">
        <v>0</v>
      </c>
      <c r="L155" s="5" t="s">
        <v>993</v>
      </c>
      <c r="M155" s="5" t="s">
        <v>1405</v>
      </c>
      <c r="N155" t="str">
        <f>_xlfn.XLOOKUP(A155,Monitoring!A:A,Monitoring!D:D)</f>
        <v>OFFICES</v>
      </c>
    </row>
    <row r="156" spans="1:14" x14ac:dyDescent="0.35">
      <c r="A156" s="5">
        <v>10001314</v>
      </c>
      <c r="B156" s="5" t="s">
        <v>1295</v>
      </c>
      <c r="C156" s="5" t="s">
        <v>1318</v>
      </c>
      <c r="D156" s="61">
        <v>46028</v>
      </c>
      <c r="E156" s="61">
        <v>46048</v>
      </c>
      <c r="F156" s="5" t="s">
        <v>1364</v>
      </c>
      <c r="G156" s="5" t="s">
        <v>1409</v>
      </c>
      <c r="H156" s="5" t="s">
        <v>1410</v>
      </c>
      <c r="I156" s="60">
        <v>0</v>
      </c>
      <c r="J156" s="5" t="s">
        <v>1300</v>
      </c>
      <c r="K156" s="58">
        <v>0</v>
      </c>
      <c r="L156" s="5" t="s">
        <v>993</v>
      </c>
      <c r="M156" s="5" t="s">
        <v>1408</v>
      </c>
      <c r="N156" t="str">
        <f>_xlfn.XLOOKUP(A156,Monitoring!A:A,Monitoring!D:D)</f>
        <v>OFFICES</v>
      </c>
    </row>
    <row r="157" spans="1:14" x14ac:dyDescent="0.35">
      <c r="A157" s="5">
        <v>10001314</v>
      </c>
      <c r="B157" s="5" t="s">
        <v>1295</v>
      </c>
      <c r="C157" s="5" t="s">
        <v>1318</v>
      </c>
      <c r="D157" s="61">
        <v>46028</v>
      </c>
      <c r="E157" s="61">
        <v>46031</v>
      </c>
      <c r="F157" s="5" t="s">
        <v>1364</v>
      </c>
      <c r="G157" s="5" t="s">
        <v>1406</v>
      </c>
      <c r="H157" s="5" t="s">
        <v>1407</v>
      </c>
      <c r="I157" s="60">
        <v>0</v>
      </c>
      <c r="J157" s="5" t="s">
        <v>1342</v>
      </c>
      <c r="K157" s="58">
        <v>0</v>
      </c>
      <c r="L157" s="5" t="s">
        <v>993</v>
      </c>
      <c r="M157" s="5" t="s">
        <v>1408</v>
      </c>
      <c r="N157" t="str">
        <f>_xlfn.XLOOKUP(A157,Monitoring!A:A,Monitoring!D:D)</f>
        <v>OFFICES</v>
      </c>
    </row>
    <row r="158" spans="1:14" x14ac:dyDescent="0.35">
      <c r="A158" s="5">
        <v>10001314</v>
      </c>
      <c r="B158" s="5" t="s">
        <v>1295</v>
      </c>
      <c r="C158" s="5" t="s">
        <v>1318</v>
      </c>
      <c r="D158" s="61">
        <v>46028</v>
      </c>
      <c r="E158" s="61">
        <v>46031</v>
      </c>
      <c r="F158" s="5" t="s">
        <v>1364</v>
      </c>
      <c r="G158" s="5" t="s">
        <v>1406</v>
      </c>
      <c r="H158" s="5" t="s">
        <v>1407</v>
      </c>
      <c r="I158" s="60">
        <v>0</v>
      </c>
      <c r="J158" s="5" t="s">
        <v>1342</v>
      </c>
      <c r="K158" s="58">
        <v>0</v>
      </c>
      <c r="L158" s="5" t="s">
        <v>993</v>
      </c>
      <c r="M158" s="5" t="s">
        <v>1408</v>
      </c>
      <c r="N158" t="str">
        <f>_xlfn.XLOOKUP(A158,Monitoring!A:A,Monitoring!D:D)</f>
        <v>OFFICES</v>
      </c>
    </row>
    <row r="159" spans="1:14" x14ac:dyDescent="0.35">
      <c r="A159" s="5">
        <v>10001315</v>
      </c>
      <c r="B159" s="5" t="s">
        <v>1295</v>
      </c>
      <c r="C159" s="5" t="s">
        <v>1318</v>
      </c>
      <c r="D159" s="61">
        <v>45916</v>
      </c>
      <c r="E159" s="61">
        <v>45930</v>
      </c>
      <c r="F159" s="5" t="s">
        <v>1297</v>
      </c>
      <c r="G159" s="5" t="s">
        <v>1127</v>
      </c>
      <c r="H159" s="5" t="s">
        <v>1129</v>
      </c>
      <c r="I159" s="60">
        <v>0</v>
      </c>
      <c r="J159" s="5" t="s">
        <v>1425</v>
      </c>
      <c r="K159" s="58">
        <v>0</v>
      </c>
      <c r="L159" s="5" t="s">
        <v>1447</v>
      </c>
      <c r="M159" s="5" t="s">
        <v>1310</v>
      </c>
      <c r="N159" t="str">
        <f>_xlfn.XLOOKUP(A159,Monitoring!A:A,Monitoring!D:D)</f>
        <v>MALLS</v>
      </c>
    </row>
    <row r="160" spans="1:14" x14ac:dyDescent="0.35">
      <c r="A160" s="5">
        <v>10001320</v>
      </c>
      <c r="B160" s="5" t="s">
        <v>1295</v>
      </c>
      <c r="C160" s="5" t="s">
        <v>1318</v>
      </c>
      <c r="D160" s="61">
        <v>45854</v>
      </c>
      <c r="E160" s="61">
        <v>45838</v>
      </c>
      <c r="F160" s="5" t="s">
        <v>1297</v>
      </c>
      <c r="G160" s="5" t="s">
        <v>1448</v>
      </c>
      <c r="H160" s="5" t="s">
        <v>1449</v>
      </c>
      <c r="I160" s="60">
        <v>1</v>
      </c>
      <c r="J160" s="5" t="s">
        <v>1300</v>
      </c>
      <c r="K160" s="58">
        <v>875000</v>
      </c>
      <c r="L160" s="5" t="s">
        <v>1450</v>
      </c>
      <c r="M160" s="5" t="s">
        <v>1344</v>
      </c>
      <c r="N160" t="str">
        <f>_xlfn.XLOOKUP(A160,Monitoring!A:A,Monitoring!D:D)</f>
        <v>ESTATES</v>
      </c>
    </row>
    <row r="161" spans="1:14" x14ac:dyDescent="0.35">
      <c r="A161" s="5">
        <v>10001322</v>
      </c>
      <c r="B161" s="5" t="s">
        <v>1295</v>
      </c>
      <c r="C161" s="5" t="s">
        <v>1296</v>
      </c>
      <c r="D161" s="61">
        <v>45821</v>
      </c>
      <c r="E161" s="61">
        <v>45884</v>
      </c>
      <c r="F161" s="5" t="s">
        <v>1297</v>
      </c>
      <c r="G161" s="5" t="s">
        <v>1451</v>
      </c>
      <c r="H161" s="5" t="s">
        <v>1452</v>
      </c>
      <c r="I161" s="59">
        <v>0.57999999999999996</v>
      </c>
      <c r="J161" s="5" t="s">
        <v>1300</v>
      </c>
      <c r="K161" s="58">
        <v>8700000</v>
      </c>
      <c r="L161" s="5" t="s">
        <v>1453</v>
      </c>
      <c r="M161" s="5" t="s">
        <v>1306</v>
      </c>
      <c r="N161" t="str">
        <f>_xlfn.XLOOKUP(A161,Monitoring!A:A,Monitoring!D:D)</f>
        <v>ESTATES</v>
      </c>
    </row>
    <row r="162" spans="1:14" x14ac:dyDescent="0.35">
      <c r="A162" s="5">
        <v>10001340</v>
      </c>
      <c r="B162" s="5" t="s">
        <v>1295</v>
      </c>
      <c r="C162" s="5" t="s">
        <v>1318</v>
      </c>
      <c r="D162" s="61">
        <v>45923</v>
      </c>
      <c r="E162" s="61">
        <v>45899</v>
      </c>
      <c r="F162" s="5" t="s">
        <v>1297</v>
      </c>
      <c r="G162" s="5" t="s">
        <v>175</v>
      </c>
      <c r="H162" s="5" t="s">
        <v>1132</v>
      </c>
      <c r="I162" s="60">
        <v>0</v>
      </c>
      <c r="J162" s="5" t="s">
        <v>1300</v>
      </c>
      <c r="K162" s="58">
        <v>0</v>
      </c>
      <c r="L162" s="5" t="s">
        <v>1454</v>
      </c>
      <c r="M162" s="5" t="s">
        <v>1306</v>
      </c>
      <c r="N162" t="str">
        <f>_xlfn.XLOOKUP(A162,Monitoring!A:A,Monitoring!D:D)</f>
        <v>OFFICES</v>
      </c>
    </row>
    <row r="163" spans="1:14" x14ac:dyDescent="0.35">
      <c r="A163" s="5">
        <v>10001341</v>
      </c>
      <c r="B163" s="5" t="s">
        <v>1295</v>
      </c>
      <c r="C163" s="5" t="s">
        <v>1296</v>
      </c>
      <c r="D163" s="61">
        <v>46231</v>
      </c>
      <c r="E163" s="61">
        <v>46246</v>
      </c>
      <c r="F163" s="5" t="s">
        <v>1364</v>
      </c>
      <c r="G163" s="5" t="s">
        <v>2940</v>
      </c>
      <c r="H163" s="5" t="s">
        <v>2941</v>
      </c>
      <c r="I163" s="60">
        <v>0</v>
      </c>
      <c r="J163" s="5" t="s">
        <v>1300</v>
      </c>
      <c r="K163" s="58">
        <v>0</v>
      </c>
      <c r="L163" s="5" t="s">
        <v>993</v>
      </c>
      <c r="M163" s="5" t="s">
        <v>1408</v>
      </c>
      <c r="N163" t="str">
        <f>_xlfn.XLOOKUP(A163,Monitoring!A:A,Monitoring!D:D)</f>
        <v>ESTATES</v>
      </c>
    </row>
    <row r="164" spans="1:14" x14ac:dyDescent="0.35">
      <c r="A164" s="5">
        <v>10001341</v>
      </c>
      <c r="B164" s="5" t="s">
        <v>1295</v>
      </c>
      <c r="C164" s="5" t="s">
        <v>1296</v>
      </c>
      <c r="D164" s="61">
        <v>46202</v>
      </c>
      <c r="E164" s="61">
        <v>46203</v>
      </c>
      <c r="F164" s="5" t="s">
        <v>1297</v>
      </c>
      <c r="G164" s="5" t="s">
        <v>2680</v>
      </c>
      <c r="H164" s="5" t="s">
        <v>2681</v>
      </c>
      <c r="I164" s="60">
        <v>65</v>
      </c>
      <c r="J164" s="5" t="s">
        <v>1425</v>
      </c>
      <c r="K164" s="58">
        <v>174107.14</v>
      </c>
      <c r="L164" s="5" t="s">
        <v>1444</v>
      </c>
      <c r="M164" s="5" t="s">
        <v>1408</v>
      </c>
      <c r="N164" t="str">
        <f>_xlfn.XLOOKUP(A164,Monitoring!A:A,Monitoring!D:D)</f>
        <v>ESTATES</v>
      </c>
    </row>
    <row r="165" spans="1:14" x14ac:dyDescent="0.35">
      <c r="A165" s="5">
        <v>10001341</v>
      </c>
      <c r="B165" s="5" t="s">
        <v>1295</v>
      </c>
      <c r="C165" s="5" t="s">
        <v>1296</v>
      </c>
      <c r="D165" s="61">
        <v>46260</v>
      </c>
      <c r="E165" s="61">
        <v>46252</v>
      </c>
      <c r="F165" s="5" t="s">
        <v>1297</v>
      </c>
      <c r="G165" s="5" t="s">
        <v>3286</v>
      </c>
      <c r="H165" s="5" t="s">
        <v>2944</v>
      </c>
      <c r="I165" s="60">
        <v>2</v>
      </c>
      <c r="J165" s="5" t="s">
        <v>1425</v>
      </c>
      <c r="K165" s="58">
        <v>11322.57</v>
      </c>
      <c r="L165" s="5" t="s">
        <v>3287</v>
      </c>
      <c r="M165" s="5" t="s">
        <v>1344</v>
      </c>
      <c r="N165" t="str">
        <f>_xlfn.XLOOKUP(A165,Monitoring!A:A,Monitoring!D:D)</f>
        <v>ESTATES</v>
      </c>
    </row>
    <row r="166" spans="1:14" x14ac:dyDescent="0.35">
      <c r="A166" s="5">
        <v>10001341</v>
      </c>
      <c r="B166" s="5" t="s">
        <v>1295</v>
      </c>
      <c r="C166" s="5" t="s">
        <v>1296</v>
      </c>
      <c r="D166" s="61">
        <v>46260</v>
      </c>
      <c r="E166" s="61">
        <v>46252</v>
      </c>
      <c r="F166" s="5" t="s">
        <v>1297</v>
      </c>
      <c r="G166" s="5" t="s">
        <v>3286</v>
      </c>
      <c r="H166" s="5" t="s">
        <v>2945</v>
      </c>
      <c r="I166" s="60">
        <v>2</v>
      </c>
      <c r="J166" s="5" t="s">
        <v>1425</v>
      </c>
      <c r="K166" s="58">
        <v>13368.93</v>
      </c>
      <c r="L166" s="5" t="s">
        <v>3287</v>
      </c>
      <c r="M166" s="5" t="s">
        <v>1344</v>
      </c>
      <c r="N166" t="str">
        <f>_xlfn.XLOOKUP(A166,Monitoring!A:A,Monitoring!D:D)</f>
        <v>ESTATES</v>
      </c>
    </row>
    <row r="167" spans="1:14" x14ac:dyDescent="0.35">
      <c r="A167" s="5">
        <v>10001341</v>
      </c>
      <c r="B167" s="5" t="s">
        <v>1295</v>
      </c>
      <c r="C167" s="5" t="s">
        <v>1296</v>
      </c>
      <c r="D167" s="61">
        <v>45880</v>
      </c>
      <c r="E167" s="61">
        <v>45930</v>
      </c>
      <c r="F167" s="5" t="s">
        <v>1297</v>
      </c>
      <c r="G167" s="5" t="s">
        <v>1161</v>
      </c>
      <c r="H167" s="5" t="s">
        <v>1163</v>
      </c>
      <c r="I167" s="60">
        <v>0</v>
      </c>
      <c r="J167" s="5" t="s">
        <v>1300</v>
      </c>
      <c r="K167" s="58">
        <v>0</v>
      </c>
      <c r="L167" s="5" t="s">
        <v>1462</v>
      </c>
      <c r="M167" s="5" t="s">
        <v>1306</v>
      </c>
      <c r="N167" t="str">
        <f>_xlfn.XLOOKUP(A167,Monitoring!A:A,Monitoring!D:D)</f>
        <v>ESTATES</v>
      </c>
    </row>
    <row r="168" spans="1:14" x14ac:dyDescent="0.35">
      <c r="A168" s="5">
        <v>10001341</v>
      </c>
      <c r="B168" s="5" t="s">
        <v>1295</v>
      </c>
      <c r="C168" s="5" t="s">
        <v>1296</v>
      </c>
      <c r="D168" s="61">
        <v>46276</v>
      </c>
      <c r="E168" s="61">
        <v>46293</v>
      </c>
      <c r="F168" s="5" t="s">
        <v>1364</v>
      </c>
      <c r="G168" s="5" t="s">
        <v>3288</v>
      </c>
      <c r="H168" s="5" t="s">
        <v>3289</v>
      </c>
      <c r="I168" s="60">
        <v>48</v>
      </c>
      <c r="J168" s="5" t="s">
        <v>1425</v>
      </c>
      <c r="K168" s="58">
        <v>154285.92000000001</v>
      </c>
      <c r="L168" s="5" t="s">
        <v>993</v>
      </c>
      <c r="M168" s="5" t="s">
        <v>1339</v>
      </c>
      <c r="N168" t="str">
        <f>_xlfn.XLOOKUP(A168,Monitoring!A:A,Monitoring!D:D)</f>
        <v>ESTATES</v>
      </c>
    </row>
    <row r="169" spans="1:14" x14ac:dyDescent="0.35">
      <c r="A169" s="5">
        <v>10001341</v>
      </c>
      <c r="B169" s="5" t="s">
        <v>1295</v>
      </c>
      <c r="C169" s="5" t="s">
        <v>1296</v>
      </c>
      <c r="D169" s="61">
        <v>46238</v>
      </c>
      <c r="E169" s="61">
        <v>46252</v>
      </c>
      <c r="F169" s="5" t="s">
        <v>1364</v>
      </c>
      <c r="G169" s="5" t="s">
        <v>2943</v>
      </c>
      <c r="H169" s="5" t="s">
        <v>2944</v>
      </c>
      <c r="I169" s="60">
        <v>0</v>
      </c>
      <c r="J169" s="5" t="s">
        <v>1425</v>
      </c>
      <c r="K169" s="58">
        <v>0</v>
      </c>
      <c r="L169" s="5" t="s">
        <v>993</v>
      </c>
      <c r="M169" s="5" t="s">
        <v>1344</v>
      </c>
      <c r="N169" t="str">
        <f>_xlfn.XLOOKUP(A169,Monitoring!A:A,Monitoring!D:D)</f>
        <v>ESTATES</v>
      </c>
    </row>
    <row r="170" spans="1:14" x14ac:dyDescent="0.35">
      <c r="A170" s="5">
        <v>10001341</v>
      </c>
      <c r="B170" s="5" t="s">
        <v>1295</v>
      </c>
      <c r="C170" s="5" t="s">
        <v>1296</v>
      </c>
      <c r="D170" s="61">
        <v>46238</v>
      </c>
      <c r="E170" s="61">
        <v>46252</v>
      </c>
      <c r="F170" s="5" t="s">
        <v>1364</v>
      </c>
      <c r="G170" s="5" t="s">
        <v>2943</v>
      </c>
      <c r="H170" s="5" t="s">
        <v>2945</v>
      </c>
      <c r="I170" s="60">
        <v>0</v>
      </c>
      <c r="J170" s="5" t="s">
        <v>1425</v>
      </c>
      <c r="K170" s="58">
        <v>0</v>
      </c>
      <c r="L170" s="5" t="s">
        <v>993</v>
      </c>
      <c r="M170" s="5" t="s">
        <v>1344</v>
      </c>
      <c r="N170" t="str">
        <f>_xlfn.XLOOKUP(A170,Monitoring!A:A,Monitoring!D:D)</f>
        <v>ESTATES</v>
      </c>
    </row>
    <row r="171" spans="1:14" x14ac:dyDescent="0.35">
      <c r="A171" s="5">
        <v>10001341</v>
      </c>
      <c r="B171" s="5" t="s">
        <v>1295</v>
      </c>
      <c r="C171" s="5" t="s">
        <v>1296</v>
      </c>
      <c r="D171" s="61">
        <v>46190</v>
      </c>
      <c r="E171" s="61">
        <v>46203</v>
      </c>
      <c r="F171" s="5" t="s">
        <v>1364</v>
      </c>
      <c r="G171" s="5" t="s">
        <v>2678</v>
      </c>
      <c r="H171" s="5" t="s">
        <v>2679</v>
      </c>
      <c r="I171" s="60">
        <v>0</v>
      </c>
      <c r="J171" s="5" t="s">
        <v>1425</v>
      </c>
      <c r="K171" s="58">
        <v>0</v>
      </c>
      <c r="L171" s="5" t="s">
        <v>993</v>
      </c>
      <c r="M171" s="5" t="s">
        <v>1344</v>
      </c>
      <c r="N171" t="str">
        <f>_xlfn.XLOOKUP(A171,Monitoring!A:A,Monitoring!D:D)</f>
        <v>ESTATES</v>
      </c>
    </row>
    <row r="172" spans="1:14" x14ac:dyDescent="0.35">
      <c r="A172" s="5">
        <v>10001341</v>
      </c>
      <c r="B172" s="5" t="s">
        <v>1295</v>
      </c>
      <c r="C172" s="5" t="s">
        <v>1296</v>
      </c>
      <c r="D172" s="61">
        <v>46241</v>
      </c>
      <c r="E172" s="61">
        <v>46246</v>
      </c>
      <c r="F172" s="5" t="s">
        <v>1297</v>
      </c>
      <c r="G172" s="5" t="s">
        <v>2942</v>
      </c>
      <c r="H172" s="5" t="s">
        <v>2941</v>
      </c>
      <c r="I172" s="60">
        <v>0</v>
      </c>
      <c r="J172" s="5" t="s">
        <v>1300</v>
      </c>
      <c r="K172" s="58">
        <v>0</v>
      </c>
      <c r="L172" s="5" t="s">
        <v>1465</v>
      </c>
      <c r="M172" s="5" t="s">
        <v>1326</v>
      </c>
      <c r="N172" t="str">
        <f>_xlfn.XLOOKUP(A172,Monitoring!A:A,Monitoring!D:D)</f>
        <v>ESTATES</v>
      </c>
    </row>
    <row r="173" spans="1:14" x14ac:dyDescent="0.35">
      <c r="A173" s="5">
        <v>10001341</v>
      </c>
      <c r="B173" s="5" t="s">
        <v>1295</v>
      </c>
      <c r="C173" s="5" t="s">
        <v>1296</v>
      </c>
      <c r="D173" s="61">
        <v>45918</v>
      </c>
      <c r="E173" s="61">
        <v>45900</v>
      </c>
      <c r="F173" s="5" t="s">
        <v>1297</v>
      </c>
      <c r="G173" s="5" t="s">
        <v>1467</v>
      </c>
      <c r="H173" s="5" t="s">
        <v>1468</v>
      </c>
      <c r="I173" s="59">
        <v>8.0000000000000002E-3</v>
      </c>
      <c r="J173" s="5" t="s">
        <v>1300</v>
      </c>
      <c r="K173" s="58">
        <v>92857.14</v>
      </c>
      <c r="L173" s="5" t="s">
        <v>1469</v>
      </c>
      <c r="M173" s="5" t="s">
        <v>1306</v>
      </c>
      <c r="N173" t="str">
        <f>_xlfn.XLOOKUP(A173,Monitoring!A:A,Monitoring!D:D)</f>
        <v>ESTATES</v>
      </c>
    </row>
    <row r="174" spans="1:14" x14ac:dyDescent="0.35">
      <c r="A174" s="5">
        <v>10001341</v>
      </c>
      <c r="B174" s="5" t="s">
        <v>1295</v>
      </c>
      <c r="C174" s="5" t="s">
        <v>1296</v>
      </c>
      <c r="D174" s="61">
        <v>45910</v>
      </c>
      <c r="E174" s="61">
        <v>45930</v>
      </c>
      <c r="F174" s="5" t="s">
        <v>1297</v>
      </c>
      <c r="G174" s="5" t="s">
        <v>1144</v>
      </c>
      <c r="H174" s="5" t="s">
        <v>1146</v>
      </c>
      <c r="I174" s="60">
        <v>0</v>
      </c>
      <c r="J174" s="5" t="s">
        <v>1425</v>
      </c>
      <c r="K174" s="58">
        <v>0</v>
      </c>
      <c r="L174" s="5" t="s">
        <v>1466</v>
      </c>
      <c r="M174" s="5" t="s">
        <v>1317</v>
      </c>
      <c r="N174" t="str">
        <f>_xlfn.XLOOKUP(A174,Monitoring!A:A,Monitoring!D:D)</f>
        <v>ESTATES</v>
      </c>
    </row>
    <row r="175" spans="1:14" x14ac:dyDescent="0.35">
      <c r="A175" s="5">
        <v>10001341</v>
      </c>
      <c r="B175" s="5" t="s">
        <v>1295</v>
      </c>
      <c r="C175" s="5" t="s">
        <v>1296</v>
      </c>
      <c r="D175" s="61">
        <v>45891</v>
      </c>
      <c r="E175" s="61">
        <v>45900</v>
      </c>
      <c r="F175" s="5" t="s">
        <v>1297</v>
      </c>
      <c r="G175" s="5" t="s">
        <v>1463</v>
      </c>
      <c r="H175" s="5" t="s">
        <v>1464</v>
      </c>
      <c r="I175" s="59">
        <v>0.1</v>
      </c>
      <c r="J175" s="5" t="s">
        <v>1300</v>
      </c>
      <c r="K175" s="58">
        <v>401785.71</v>
      </c>
      <c r="L175" s="5" t="s">
        <v>1465</v>
      </c>
      <c r="M175" s="5" t="s">
        <v>1326</v>
      </c>
      <c r="N175" t="str">
        <f>_xlfn.XLOOKUP(A175,Monitoring!A:A,Monitoring!D:D)</f>
        <v>ESTATES</v>
      </c>
    </row>
    <row r="176" spans="1:14" x14ac:dyDescent="0.35">
      <c r="A176" s="5">
        <v>10001341</v>
      </c>
      <c r="B176" s="5" t="s">
        <v>1295</v>
      </c>
      <c r="C176" s="5" t="s">
        <v>1296</v>
      </c>
      <c r="D176" s="61">
        <v>45869</v>
      </c>
      <c r="E176" s="61">
        <v>45900</v>
      </c>
      <c r="F176" s="5" t="s">
        <v>1364</v>
      </c>
      <c r="G176" s="5" t="s">
        <v>1460</v>
      </c>
      <c r="H176" s="5" t="s">
        <v>1461</v>
      </c>
      <c r="I176" s="60">
        <v>1</v>
      </c>
      <c r="J176" s="5" t="s">
        <v>1300</v>
      </c>
      <c r="K176" s="58">
        <v>572400</v>
      </c>
      <c r="L176" s="5" t="s">
        <v>993</v>
      </c>
      <c r="M176" s="5" t="s">
        <v>1457</v>
      </c>
      <c r="N176" t="str">
        <f>_xlfn.XLOOKUP(A176,Monitoring!A:A,Monitoring!D:D)</f>
        <v>ESTATES</v>
      </c>
    </row>
    <row r="177" spans="1:14" x14ac:dyDescent="0.35">
      <c r="A177" s="5">
        <v>10001341</v>
      </c>
      <c r="B177" s="5" t="s">
        <v>1295</v>
      </c>
      <c r="C177" s="5" t="s">
        <v>1296</v>
      </c>
      <c r="D177" s="61">
        <v>45869</v>
      </c>
      <c r="E177" s="61">
        <v>45900</v>
      </c>
      <c r="F177" s="5" t="s">
        <v>1364</v>
      </c>
      <c r="G177" s="5" t="s">
        <v>1458</v>
      </c>
      <c r="H177" s="5" t="s">
        <v>1459</v>
      </c>
      <c r="I177" s="60">
        <v>1</v>
      </c>
      <c r="J177" s="5" t="s">
        <v>1300</v>
      </c>
      <c r="K177" s="58">
        <v>1000000</v>
      </c>
      <c r="L177" s="5" t="s">
        <v>993</v>
      </c>
      <c r="M177" s="5" t="s">
        <v>1457</v>
      </c>
      <c r="N177" t="str">
        <f>_xlfn.XLOOKUP(A177,Monitoring!A:A,Monitoring!D:D)</f>
        <v>ESTATES</v>
      </c>
    </row>
    <row r="178" spans="1:14" x14ac:dyDescent="0.35">
      <c r="A178" s="5">
        <v>10001341</v>
      </c>
      <c r="B178" s="5" t="s">
        <v>1295</v>
      </c>
      <c r="C178" s="5" t="s">
        <v>1296</v>
      </c>
      <c r="D178" s="61">
        <v>45869</v>
      </c>
      <c r="E178" s="61">
        <v>45900</v>
      </c>
      <c r="F178" s="5" t="s">
        <v>1364</v>
      </c>
      <c r="G178" s="5" t="s">
        <v>1455</v>
      </c>
      <c r="H178" s="5" t="s">
        <v>1456</v>
      </c>
      <c r="I178" s="60">
        <v>1</v>
      </c>
      <c r="J178" s="5" t="s">
        <v>1300</v>
      </c>
      <c r="K178" s="58">
        <v>17900000</v>
      </c>
      <c r="L178" s="5" t="s">
        <v>993</v>
      </c>
      <c r="M178" s="5" t="s">
        <v>1457</v>
      </c>
      <c r="N178" t="str">
        <f>_xlfn.XLOOKUP(A178,Monitoring!A:A,Monitoring!D:D)</f>
        <v>ESTATES</v>
      </c>
    </row>
    <row r="179" spans="1:14" x14ac:dyDescent="0.35">
      <c r="A179" s="5">
        <v>10001342</v>
      </c>
      <c r="B179" s="5" t="s">
        <v>1295</v>
      </c>
      <c r="C179" s="5" t="s">
        <v>1318</v>
      </c>
      <c r="D179" s="61">
        <v>45982</v>
      </c>
      <c r="E179" s="61">
        <v>45982</v>
      </c>
      <c r="F179" s="5" t="s">
        <v>1297</v>
      </c>
      <c r="G179" s="5" t="s">
        <v>1472</v>
      </c>
      <c r="H179" s="5" t="s">
        <v>1473</v>
      </c>
      <c r="I179" s="60">
        <v>0</v>
      </c>
      <c r="J179" s="5" t="s">
        <v>1300</v>
      </c>
      <c r="K179" s="58">
        <v>0</v>
      </c>
      <c r="L179" s="5" t="s">
        <v>1474</v>
      </c>
      <c r="M179" s="5" t="s">
        <v>1555</v>
      </c>
      <c r="N179" t="str">
        <f>_xlfn.XLOOKUP(A179,Monitoring!A:A,Monitoring!D:D)</f>
        <v>MALLS</v>
      </c>
    </row>
    <row r="180" spans="1:14" x14ac:dyDescent="0.35">
      <c r="A180" s="5">
        <v>10001342</v>
      </c>
      <c r="B180" s="5" t="s">
        <v>1295</v>
      </c>
      <c r="C180" s="5" t="s">
        <v>1318</v>
      </c>
      <c r="D180" s="61">
        <v>45968</v>
      </c>
      <c r="E180" s="61">
        <v>45982</v>
      </c>
      <c r="F180" s="5" t="s">
        <v>1364</v>
      </c>
      <c r="G180" s="5" t="s">
        <v>1470</v>
      </c>
      <c r="H180" s="5" t="s">
        <v>1471</v>
      </c>
      <c r="I180" s="60">
        <v>1</v>
      </c>
      <c r="J180" s="5" t="s">
        <v>1300</v>
      </c>
      <c r="K180" s="58">
        <v>133745.76</v>
      </c>
      <c r="L180" s="5" t="s">
        <v>993</v>
      </c>
      <c r="M180" s="5" t="s">
        <v>1391</v>
      </c>
      <c r="N180" t="str">
        <f>_xlfn.XLOOKUP(A180,Monitoring!A:A,Monitoring!D:D)</f>
        <v>MALLS</v>
      </c>
    </row>
    <row r="181" spans="1:14" x14ac:dyDescent="0.35">
      <c r="A181" s="5">
        <v>10001348</v>
      </c>
      <c r="B181" s="5" t="s">
        <v>1295</v>
      </c>
      <c r="C181" s="5" t="s">
        <v>1318</v>
      </c>
      <c r="D181" s="61">
        <v>45877</v>
      </c>
      <c r="E181" s="61">
        <v>45888</v>
      </c>
      <c r="F181" s="5" t="s">
        <v>1364</v>
      </c>
      <c r="G181" s="5" t="s">
        <v>1475</v>
      </c>
      <c r="H181" s="5" t="s">
        <v>1476</v>
      </c>
      <c r="I181" s="60">
        <v>1</v>
      </c>
      <c r="J181" s="5" t="s">
        <v>1300</v>
      </c>
      <c r="K181" s="58">
        <v>373757.14</v>
      </c>
      <c r="L181" s="5" t="s">
        <v>993</v>
      </c>
      <c r="M181" s="5" t="s">
        <v>1344</v>
      </c>
      <c r="N181" t="str">
        <f>_xlfn.XLOOKUP(A181,Monitoring!A:A,Monitoring!D:D)</f>
        <v>MALLS</v>
      </c>
    </row>
    <row r="182" spans="1:14" x14ac:dyDescent="0.35">
      <c r="A182" s="5">
        <v>10001348</v>
      </c>
      <c r="B182" s="5" t="s">
        <v>1295</v>
      </c>
      <c r="C182" s="5" t="s">
        <v>1318</v>
      </c>
      <c r="D182" s="61">
        <v>45940</v>
      </c>
      <c r="E182" s="61">
        <v>45961</v>
      </c>
      <c r="F182" s="5" t="s">
        <v>1297</v>
      </c>
      <c r="G182" s="5" t="s">
        <v>1477</v>
      </c>
      <c r="H182" s="5" t="s">
        <v>1478</v>
      </c>
      <c r="I182" s="59">
        <v>0.2</v>
      </c>
      <c r="J182" s="5" t="s">
        <v>1300</v>
      </c>
      <c r="K182" s="58">
        <v>112500</v>
      </c>
      <c r="L182" s="5" t="s">
        <v>1479</v>
      </c>
      <c r="M182" s="5" t="s">
        <v>1310</v>
      </c>
      <c r="N182" t="str">
        <f>_xlfn.XLOOKUP(A182,Monitoring!A:A,Monitoring!D:D)</f>
        <v>MALLS</v>
      </c>
    </row>
    <row r="183" spans="1:14" x14ac:dyDescent="0.35">
      <c r="A183" s="5">
        <v>10001350</v>
      </c>
      <c r="B183" s="5" t="s">
        <v>1295</v>
      </c>
      <c r="C183" s="5" t="s">
        <v>1296</v>
      </c>
      <c r="D183" s="61">
        <v>46085</v>
      </c>
      <c r="E183" s="61">
        <v>46085</v>
      </c>
      <c r="F183" s="5" t="s">
        <v>1297</v>
      </c>
      <c r="G183" s="5" t="s">
        <v>1502</v>
      </c>
      <c r="H183" s="5" t="s">
        <v>1488</v>
      </c>
      <c r="I183" s="59">
        <v>0.2</v>
      </c>
      <c r="J183" s="5" t="s">
        <v>1300</v>
      </c>
      <c r="K183" s="58">
        <v>178571.43</v>
      </c>
      <c r="L183" s="5" t="s">
        <v>1494</v>
      </c>
      <c r="M183" s="5" t="s">
        <v>1306</v>
      </c>
      <c r="N183" t="str">
        <f>_xlfn.XLOOKUP(A183,Monitoring!A:A,Monitoring!D:D)</f>
        <v>ESTATES</v>
      </c>
    </row>
    <row r="184" spans="1:14" x14ac:dyDescent="0.35">
      <c r="A184" s="5">
        <v>10001350</v>
      </c>
      <c r="B184" s="5" t="s">
        <v>1295</v>
      </c>
      <c r="C184" s="5" t="s">
        <v>1296</v>
      </c>
      <c r="D184" s="61">
        <v>46259</v>
      </c>
      <c r="E184" s="61">
        <v>46259</v>
      </c>
      <c r="F184" s="5" t="s">
        <v>1297</v>
      </c>
      <c r="G184" s="5" t="s">
        <v>3290</v>
      </c>
      <c r="H184" s="5" t="s">
        <v>2947</v>
      </c>
      <c r="I184" s="60">
        <v>1</v>
      </c>
      <c r="J184" s="5" t="s">
        <v>1300</v>
      </c>
      <c r="K184" s="58">
        <v>526785.71</v>
      </c>
      <c r="L184" s="5" t="s">
        <v>3012</v>
      </c>
      <c r="M184" s="5" t="s">
        <v>1408</v>
      </c>
      <c r="N184" t="str">
        <f>_xlfn.XLOOKUP(A184,Monitoring!A:A,Monitoring!D:D)</f>
        <v>ESTATES</v>
      </c>
    </row>
    <row r="185" spans="1:14" x14ac:dyDescent="0.35">
      <c r="A185" s="5">
        <v>10001350</v>
      </c>
      <c r="B185" s="5" t="s">
        <v>1295</v>
      </c>
      <c r="C185" s="5" t="s">
        <v>1296</v>
      </c>
      <c r="D185" s="61">
        <v>46238</v>
      </c>
      <c r="E185" s="61">
        <v>46269</v>
      </c>
      <c r="F185" s="5" t="s">
        <v>1364</v>
      </c>
      <c r="G185" s="5" t="s">
        <v>2946</v>
      </c>
      <c r="H185" s="5" t="s">
        <v>2947</v>
      </c>
      <c r="I185" s="60">
        <v>0</v>
      </c>
      <c r="J185" s="5" t="s">
        <v>1300</v>
      </c>
      <c r="K185" s="58">
        <v>0</v>
      </c>
      <c r="L185" s="5" t="s">
        <v>993</v>
      </c>
      <c r="M185" s="5" t="s">
        <v>1408</v>
      </c>
      <c r="N185" t="str">
        <f>_xlfn.XLOOKUP(A185,Monitoring!A:A,Monitoring!D:D)</f>
        <v>ESTATES</v>
      </c>
    </row>
    <row r="186" spans="1:14" x14ac:dyDescent="0.35">
      <c r="A186" s="5">
        <v>10001350</v>
      </c>
      <c r="B186" s="5" t="s">
        <v>1295</v>
      </c>
      <c r="C186" s="5" t="s">
        <v>1296</v>
      </c>
      <c r="D186" s="61">
        <v>46064</v>
      </c>
      <c r="E186" s="61">
        <v>46094</v>
      </c>
      <c r="F186" s="5" t="s">
        <v>1364</v>
      </c>
      <c r="G186" s="5" t="s">
        <v>1485</v>
      </c>
      <c r="H186" s="5" t="s">
        <v>1188</v>
      </c>
      <c r="I186" s="60">
        <v>0</v>
      </c>
      <c r="J186" s="5" t="s">
        <v>1342</v>
      </c>
      <c r="K186" s="58">
        <v>0</v>
      </c>
      <c r="L186" s="5" t="s">
        <v>993</v>
      </c>
      <c r="M186" s="5" t="s">
        <v>1486</v>
      </c>
      <c r="N186" t="str">
        <f>_xlfn.XLOOKUP(A186,Monitoring!A:A,Monitoring!D:D)</f>
        <v>ESTATES</v>
      </c>
    </row>
    <row r="187" spans="1:14" x14ac:dyDescent="0.35">
      <c r="A187" s="5">
        <v>10001350</v>
      </c>
      <c r="B187" s="5" t="s">
        <v>1295</v>
      </c>
      <c r="C187" s="5" t="s">
        <v>1296</v>
      </c>
      <c r="D187" s="61">
        <v>46064</v>
      </c>
      <c r="E187" s="61">
        <v>46094</v>
      </c>
      <c r="F187" s="5" t="s">
        <v>1364</v>
      </c>
      <c r="G187" s="5" t="s">
        <v>1485</v>
      </c>
      <c r="H187" s="5" t="s">
        <v>1186</v>
      </c>
      <c r="I187" s="60">
        <v>0</v>
      </c>
      <c r="J187" s="5" t="s">
        <v>1342</v>
      </c>
      <c r="K187" s="58">
        <v>0</v>
      </c>
      <c r="L187" s="5" t="s">
        <v>993</v>
      </c>
      <c r="M187" s="5" t="s">
        <v>1486</v>
      </c>
      <c r="N187" t="str">
        <f>_xlfn.XLOOKUP(A187,Monitoring!A:A,Monitoring!D:D)</f>
        <v>ESTATES</v>
      </c>
    </row>
    <row r="188" spans="1:14" x14ac:dyDescent="0.35">
      <c r="A188" s="5">
        <v>10001350</v>
      </c>
      <c r="B188" s="5" t="s">
        <v>1295</v>
      </c>
      <c r="C188" s="5" t="s">
        <v>1296</v>
      </c>
      <c r="D188" s="61">
        <v>46162</v>
      </c>
      <c r="E188" s="61">
        <v>46162</v>
      </c>
      <c r="F188" s="5" t="s">
        <v>1297</v>
      </c>
      <c r="G188" s="5" t="s">
        <v>2304</v>
      </c>
      <c r="H188" s="5" t="s">
        <v>2302</v>
      </c>
      <c r="I188" s="60">
        <v>1</v>
      </c>
      <c r="J188" s="5" t="s">
        <v>1300</v>
      </c>
      <c r="K188" s="58">
        <v>357142.86</v>
      </c>
      <c r="L188" s="5" t="s">
        <v>1394</v>
      </c>
      <c r="M188" s="5" t="s">
        <v>1486</v>
      </c>
      <c r="N188" t="str">
        <f>_xlfn.XLOOKUP(A188,Monitoring!A:A,Monitoring!D:D)</f>
        <v>ESTATES</v>
      </c>
    </row>
    <row r="189" spans="1:14" x14ac:dyDescent="0.35">
      <c r="A189" s="5">
        <v>10001350</v>
      </c>
      <c r="B189" s="5" t="s">
        <v>1295</v>
      </c>
      <c r="C189" s="5" t="s">
        <v>1296</v>
      </c>
      <c r="D189" s="61">
        <v>46146</v>
      </c>
      <c r="E189" s="61">
        <v>46161</v>
      </c>
      <c r="F189" s="5" t="s">
        <v>1297</v>
      </c>
      <c r="G189" s="5" t="s">
        <v>2303</v>
      </c>
      <c r="H189" s="5" t="s">
        <v>1188</v>
      </c>
      <c r="I189" s="60">
        <v>0</v>
      </c>
      <c r="J189" s="5" t="s">
        <v>1342</v>
      </c>
      <c r="K189" s="58">
        <v>0</v>
      </c>
      <c r="L189" s="5" t="s">
        <v>1501</v>
      </c>
      <c r="M189" s="5" t="s">
        <v>1339</v>
      </c>
      <c r="N189" t="str">
        <f>_xlfn.XLOOKUP(A189,Monitoring!A:A,Monitoring!D:D)</f>
        <v>ESTATES</v>
      </c>
    </row>
    <row r="190" spans="1:14" x14ac:dyDescent="0.35">
      <c r="A190" s="5">
        <v>10001350</v>
      </c>
      <c r="B190" s="5" t="s">
        <v>1295</v>
      </c>
      <c r="C190" s="5" t="s">
        <v>1296</v>
      </c>
      <c r="D190" s="61">
        <v>46146</v>
      </c>
      <c r="E190" s="61">
        <v>46161</v>
      </c>
      <c r="F190" s="5" t="s">
        <v>1297</v>
      </c>
      <c r="G190" s="5" t="s">
        <v>2303</v>
      </c>
      <c r="H190" s="5" t="s">
        <v>1186</v>
      </c>
      <c r="I190" s="60">
        <v>0</v>
      </c>
      <c r="J190" s="5" t="s">
        <v>1342</v>
      </c>
      <c r="K190" s="58">
        <v>0</v>
      </c>
      <c r="L190" s="5" t="s">
        <v>1501</v>
      </c>
      <c r="M190" s="5" t="s">
        <v>1339</v>
      </c>
      <c r="N190" t="str">
        <f>_xlfn.XLOOKUP(A190,Monitoring!A:A,Monitoring!D:D)</f>
        <v>ESTATES</v>
      </c>
    </row>
    <row r="191" spans="1:14" x14ac:dyDescent="0.35">
      <c r="A191" s="5">
        <v>10001350</v>
      </c>
      <c r="B191" s="5" t="s">
        <v>1295</v>
      </c>
      <c r="C191" s="5" t="s">
        <v>1296</v>
      </c>
      <c r="D191" s="61">
        <v>46069</v>
      </c>
      <c r="E191" s="61">
        <v>46073</v>
      </c>
      <c r="F191" s="5" t="s">
        <v>1297</v>
      </c>
      <c r="G191" s="5" t="s">
        <v>1184</v>
      </c>
      <c r="H191" s="5" t="s">
        <v>1188</v>
      </c>
      <c r="I191" s="60">
        <v>0</v>
      </c>
      <c r="J191" s="5" t="s">
        <v>1342</v>
      </c>
      <c r="K191" s="58">
        <v>0</v>
      </c>
      <c r="L191" s="5" t="s">
        <v>1501</v>
      </c>
      <c r="M191" s="5" t="s">
        <v>1306</v>
      </c>
      <c r="N191" t="str">
        <f>_xlfn.XLOOKUP(A191,Monitoring!A:A,Monitoring!D:D)</f>
        <v>ESTATES</v>
      </c>
    </row>
    <row r="192" spans="1:14" x14ac:dyDescent="0.35">
      <c r="A192" s="5">
        <v>10001350</v>
      </c>
      <c r="B192" s="5" t="s">
        <v>1295</v>
      </c>
      <c r="C192" s="5" t="s">
        <v>1296</v>
      </c>
      <c r="D192" s="61">
        <v>46069</v>
      </c>
      <c r="E192" s="61">
        <v>46073</v>
      </c>
      <c r="F192" s="5" t="s">
        <v>1297</v>
      </c>
      <c r="G192" s="5" t="s">
        <v>1184</v>
      </c>
      <c r="H192" s="5" t="s">
        <v>1186</v>
      </c>
      <c r="I192" s="60">
        <v>0</v>
      </c>
      <c r="J192" s="5" t="s">
        <v>1342</v>
      </c>
      <c r="K192" s="58">
        <v>0</v>
      </c>
      <c r="L192" s="5" t="s">
        <v>1501</v>
      </c>
      <c r="M192" s="5" t="s">
        <v>1306</v>
      </c>
      <c r="N192" t="str">
        <f>_xlfn.XLOOKUP(A192,Monitoring!A:A,Monitoring!D:D)</f>
        <v>ESTATES</v>
      </c>
    </row>
    <row r="193" spans="1:14" x14ac:dyDescent="0.35">
      <c r="A193" s="5">
        <v>10001350</v>
      </c>
      <c r="B193" s="5" t="s">
        <v>1295</v>
      </c>
      <c r="C193" s="5" t="s">
        <v>1296</v>
      </c>
      <c r="D193" s="61">
        <v>46006</v>
      </c>
      <c r="E193" s="61">
        <v>46011</v>
      </c>
      <c r="F193" s="5" t="s">
        <v>1297</v>
      </c>
      <c r="G193" s="5" t="s">
        <v>1165</v>
      </c>
      <c r="H193" s="5" t="s">
        <v>1182</v>
      </c>
      <c r="I193" s="60">
        <v>0</v>
      </c>
      <c r="J193" s="5" t="s">
        <v>1499</v>
      </c>
      <c r="K193" s="58">
        <v>0</v>
      </c>
      <c r="L193" s="5" t="s">
        <v>1500</v>
      </c>
      <c r="M193" s="5" t="s">
        <v>1306</v>
      </c>
      <c r="N193" t="str">
        <f>_xlfn.XLOOKUP(A193,Monitoring!A:A,Monitoring!D:D)</f>
        <v>ESTATES</v>
      </c>
    </row>
    <row r="194" spans="1:14" x14ac:dyDescent="0.35">
      <c r="A194" s="5">
        <v>10001350</v>
      </c>
      <c r="B194" s="5" t="s">
        <v>1295</v>
      </c>
      <c r="C194" s="5" t="s">
        <v>1296</v>
      </c>
      <c r="D194" s="61">
        <v>46006</v>
      </c>
      <c r="E194" s="61">
        <v>46011</v>
      </c>
      <c r="F194" s="5" t="s">
        <v>1297</v>
      </c>
      <c r="G194" s="5" t="s">
        <v>1165</v>
      </c>
      <c r="H194" s="5" t="s">
        <v>1177</v>
      </c>
      <c r="I194" s="60">
        <v>0</v>
      </c>
      <c r="J194" s="5" t="s">
        <v>1499</v>
      </c>
      <c r="K194" s="58">
        <v>0</v>
      </c>
      <c r="L194" s="5" t="s">
        <v>1500</v>
      </c>
      <c r="M194" s="5" t="s">
        <v>1339</v>
      </c>
      <c r="N194" t="str">
        <f>_xlfn.XLOOKUP(A194,Monitoring!A:A,Monitoring!D:D)</f>
        <v>ESTATES</v>
      </c>
    </row>
    <row r="195" spans="1:14" x14ac:dyDescent="0.35">
      <c r="A195" s="5">
        <v>10001350</v>
      </c>
      <c r="B195" s="5" t="s">
        <v>1295</v>
      </c>
      <c r="C195" s="5" t="s">
        <v>1296</v>
      </c>
      <c r="D195" s="61">
        <v>45987</v>
      </c>
      <c r="E195" s="61">
        <v>46020</v>
      </c>
      <c r="F195" s="5" t="s">
        <v>1297</v>
      </c>
      <c r="G195" s="5" t="s">
        <v>1189</v>
      </c>
      <c r="H195" s="5" t="s">
        <v>1191</v>
      </c>
      <c r="I195" s="59">
        <v>8.1000000000000003E-2</v>
      </c>
      <c r="J195" s="5" t="s">
        <v>1300</v>
      </c>
      <c r="K195" s="58">
        <v>542410.71</v>
      </c>
      <c r="L195" s="5" t="s">
        <v>1498</v>
      </c>
      <c r="M195" s="5" t="s">
        <v>1306</v>
      </c>
      <c r="N195" t="str">
        <f>_xlfn.XLOOKUP(A195,Monitoring!A:A,Monitoring!D:D)</f>
        <v>ESTATES</v>
      </c>
    </row>
    <row r="196" spans="1:14" x14ac:dyDescent="0.35">
      <c r="A196" s="5">
        <v>10001350</v>
      </c>
      <c r="B196" s="5" t="s">
        <v>1295</v>
      </c>
      <c r="C196" s="5" t="s">
        <v>1296</v>
      </c>
      <c r="D196" s="61">
        <v>45898</v>
      </c>
      <c r="E196" s="61">
        <v>45912</v>
      </c>
      <c r="F196" s="5" t="s">
        <v>1297</v>
      </c>
      <c r="G196" s="5" t="s">
        <v>1496</v>
      </c>
      <c r="H196" s="5" t="s">
        <v>1497</v>
      </c>
      <c r="I196" s="60">
        <v>1</v>
      </c>
      <c r="J196" s="5" t="s">
        <v>1300</v>
      </c>
      <c r="K196" s="58">
        <v>178571.43</v>
      </c>
      <c r="L196" s="5" t="s">
        <v>1305</v>
      </c>
      <c r="M196" s="5" t="s">
        <v>1486</v>
      </c>
      <c r="N196" t="str">
        <f>_xlfn.XLOOKUP(A196,Monitoring!A:A,Monitoring!D:D)</f>
        <v>ESTATES</v>
      </c>
    </row>
    <row r="197" spans="1:14" x14ac:dyDescent="0.35">
      <c r="A197" s="5">
        <v>10001350</v>
      </c>
      <c r="B197" s="5" t="s">
        <v>1295</v>
      </c>
      <c r="C197" s="5" t="s">
        <v>1296</v>
      </c>
      <c r="D197" s="61">
        <v>45888</v>
      </c>
      <c r="E197" s="61">
        <v>45888</v>
      </c>
      <c r="F197" s="5" t="s">
        <v>1297</v>
      </c>
      <c r="G197" s="5" t="s">
        <v>1172</v>
      </c>
      <c r="H197" s="5" t="s">
        <v>1174</v>
      </c>
      <c r="I197" s="59">
        <v>0.05</v>
      </c>
      <c r="J197" s="5" t="s">
        <v>1300</v>
      </c>
      <c r="K197" s="58">
        <v>142857.14000000001</v>
      </c>
      <c r="L197" s="5" t="s">
        <v>1495</v>
      </c>
      <c r="M197" s="5" t="s">
        <v>1306</v>
      </c>
      <c r="N197" t="str">
        <f>_xlfn.XLOOKUP(A197,Monitoring!A:A,Monitoring!D:D)</f>
        <v>ESTATES</v>
      </c>
    </row>
    <row r="198" spans="1:14" x14ac:dyDescent="0.35">
      <c r="A198" s="5">
        <v>10001350</v>
      </c>
      <c r="B198" s="5" t="s">
        <v>1295</v>
      </c>
      <c r="C198" s="5" t="s">
        <v>1296</v>
      </c>
      <c r="D198" s="61">
        <v>45881</v>
      </c>
      <c r="E198" s="61">
        <v>45881</v>
      </c>
      <c r="F198" s="5" t="s">
        <v>1297</v>
      </c>
      <c r="G198" s="5" t="s">
        <v>1492</v>
      </c>
      <c r="H198" s="5" t="s">
        <v>1493</v>
      </c>
      <c r="I198" s="59">
        <v>0.2</v>
      </c>
      <c r="J198" s="5" t="s">
        <v>1300</v>
      </c>
      <c r="K198" s="58">
        <v>1035714.29</v>
      </c>
      <c r="L198" s="5" t="s">
        <v>1494</v>
      </c>
      <c r="M198" s="5" t="s">
        <v>1339</v>
      </c>
      <c r="N198" t="str">
        <f>_xlfn.XLOOKUP(A198,Monitoring!A:A,Monitoring!D:D)</f>
        <v>ESTATES</v>
      </c>
    </row>
    <row r="199" spans="1:14" x14ac:dyDescent="0.35">
      <c r="A199" s="5">
        <v>10001350</v>
      </c>
      <c r="B199" s="5" t="s">
        <v>1295</v>
      </c>
      <c r="C199" s="5" t="s">
        <v>1296</v>
      </c>
      <c r="D199" s="61">
        <v>45881</v>
      </c>
      <c r="E199" s="61">
        <v>45884</v>
      </c>
      <c r="F199" s="5" t="s">
        <v>1297</v>
      </c>
      <c r="G199" s="5" t="s">
        <v>1489</v>
      </c>
      <c r="H199" s="5" t="s">
        <v>1490</v>
      </c>
      <c r="I199" s="59">
        <v>0.02</v>
      </c>
      <c r="J199" s="5" t="s">
        <v>1300</v>
      </c>
      <c r="K199" s="58">
        <v>12142.86</v>
      </c>
      <c r="L199" s="5" t="s">
        <v>1491</v>
      </c>
      <c r="M199" s="5" t="s">
        <v>1339</v>
      </c>
      <c r="N199" t="str">
        <f>_xlfn.XLOOKUP(A199,Monitoring!A:A,Monitoring!D:D)</f>
        <v>ESTATES</v>
      </c>
    </row>
    <row r="200" spans="1:14" x14ac:dyDescent="0.35">
      <c r="A200" s="5">
        <v>10001350</v>
      </c>
      <c r="B200" s="5" t="s">
        <v>1295</v>
      </c>
      <c r="C200" s="5" t="s">
        <v>1296</v>
      </c>
      <c r="D200" s="61">
        <v>46274</v>
      </c>
      <c r="E200" s="61">
        <v>46304</v>
      </c>
      <c r="F200" s="5" t="s">
        <v>1364</v>
      </c>
      <c r="G200" s="5" t="s">
        <v>3291</v>
      </c>
      <c r="H200" s="5" t="s">
        <v>3292</v>
      </c>
      <c r="I200" s="60">
        <v>1</v>
      </c>
      <c r="J200" s="5" t="s">
        <v>1300</v>
      </c>
      <c r="K200" s="58">
        <v>890058.3</v>
      </c>
      <c r="L200" s="5" t="s">
        <v>993</v>
      </c>
      <c r="M200" s="5" t="s">
        <v>1339</v>
      </c>
      <c r="N200" t="str">
        <f>_xlfn.XLOOKUP(A200,Monitoring!A:A,Monitoring!D:D)</f>
        <v>ESTATES</v>
      </c>
    </row>
    <row r="201" spans="1:14" x14ac:dyDescent="0.35">
      <c r="A201" s="5">
        <v>10001350</v>
      </c>
      <c r="B201" s="5" t="s">
        <v>1295</v>
      </c>
      <c r="C201" s="5" t="s">
        <v>1296</v>
      </c>
      <c r="D201" s="61">
        <v>46153</v>
      </c>
      <c r="E201" s="61">
        <v>46185</v>
      </c>
      <c r="F201" s="5" t="s">
        <v>1364</v>
      </c>
      <c r="G201" s="5" t="s">
        <v>2301</v>
      </c>
      <c r="H201" s="5" t="s">
        <v>2302</v>
      </c>
      <c r="I201" s="60">
        <v>0</v>
      </c>
      <c r="J201" s="5" t="s">
        <v>1300</v>
      </c>
      <c r="K201" s="58">
        <v>0</v>
      </c>
      <c r="L201" s="5" t="s">
        <v>993</v>
      </c>
      <c r="M201" s="5" t="s">
        <v>1486</v>
      </c>
      <c r="N201" t="str">
        <f>_xlfn.XLOOKUP(A201,Monitoring!A:A,Monitoring!D:D)</f>
        <v>ESTATES</v>
      </c>
    </row>
    <row r="202" spans="1:14" x14ac:dyDescent="0.35">
      <c r="A202" s="5">
        <v>10001350</v>
      </c>
      <c r="B202" s="5" t="s">
        <v>1295</v>
      </c>
      <c r="C202" s="5" t="s">
        <v>1296</v>
      </c>
      <c r="D202" s="61">
        <v>46127</v>
      </c>
      <c r="E202" s="61">
        <v>46161</v>
      </c>
      <c r="F202" s="5" t="s">
        <v>1364</v>
      </c>
      <c r="G202" s="5" t="s">
        <v>1967</v>
      </c>
      <c r="H202" s="5" t="s">
        <v>1188</v>
      </c>
      <c r="I202" s="60">
        <v>0</v>
      </c>
      <c r="J202" s="5" t="s">
        <v>1342</v>
      </c>
      <c r="K202" s="58">
        <v>0</v>
      </c>
      <c r="L202" s="5" t="s">
        <v>993</v>
      </c>
      <c r="M202" s="5" t="s">
        <v>1408</v>
      </c>
      <c r="N202" t="str">
        <f>_xlfn.XLOOKUP(A202,Monitoring!A:A,Monitoring!D:D)</f>
        <v>ESTATES</v>
      </c>
    </row>
    <row r="203" spans="1:14" x14ac:dyDescent="0.35">
      <c r="A203" s="5">
        <v>10001350</v>
      </c>
      <c r="B203" s="5" t="s">
        <v>1295</v>
      </c>
      <c r="C203" s="5" t="s">
        <v>1296</v>
      </c>
      <c r="D203" s="61">
        <v>46127</v>
      </c>
      <c r="E203" s="61">
        <v>46161</v>
      </c>
      <c r="F203" s="5" t="s">
        <v>1364</v>
      </c>
      <c r="G203" s="5" t="s">
        <v>1967</v>
      </c>
      <c r="H203" s="5" t="s">
        <v>1186</v>
      </c>
      <c r="I203" s="60">
        <v>0</v>
      </c>
      <c r="J203" s="5" t="s">
        <v>1342</v>
      </c>
      <c r="K203" s="58">
        <v>0</v>
      </c>
      <c r="L203" s="5" t="s">
        <v>993</v>
      </c>
      <c r="M203" s="5" t="s">
        <v>1408</v>
      </c>
      <c r="N203" t="str">
        <f>_xlfn.XLOOKUP(A203,Monitoring!A:A,Monitoring!D:D)</f>
        <v>ESTATES</v>
      </c>
    </row>
    <row r="204" spans="1:14" x14ac:dyDescent="0.35">
      <c r="A204" s="5">
        <v>10001350</v>
      </c>
      <c r="B204" s="5" t="s">
        <v>1295</v>
      </c>
      <c r="C204" s="5" t="s">
        <v>1296</v>
      </c>
      <c r="D204" s="61">
        <v>46066</v>
      </c>
      <c r="E204" s="61">
        <v>46098</v>
      </c>
      <c r="F204" s="5" t="s">
        <v>1364</v>
      </c>
      <c r="G204" s="5" t="s">
        <v>1487</v>
      </c>
      <c r="H204" s="5" t="s">
        <v>1488</v>
      </c>
      <c r="I204" s="60">
        <v>0</v>
      </c>
      <c r="J204" s="5" t="s">
        <v>1300</v>
      </c>
      <c r="K204" s="58">
        <v>0</v>
      </c>
      <c r="L204" s="5" t="s">
        <v>993</v>
      </c>
      <c r="M204" s="5" t="s">
        <v>1486</v>
      </c>
      <c r="N204" t="str">
        <f>_xlfn.XLOOKUP(A204,Monitoring!A:A,Monitoring!D:D)</f>
        <v>ESTATES</v>
      </c>
    </row>
    <row r="205" spans="1:14" x14ac:dyDescent="0.35">
      <c r="A205" s="5">
        <v>10001350</v>
      </c>
      <c r="B205" s="5" t="s">
        <v>1295</v>
      </c>
      <c r="C205" s="5" t="s">
        <v>1296</v>
      </c>
      <c r="D205" s="61">
        <v>45932</v>
      </c>
      <c r="E205" s="61">
        <v>45965</v>
      </c>
      <c r="F205" s="5" t="s">
        <v>1364</v>
      </c>
      <c r="G205" s="5" t="s">
        <v>1480</v>
      </c>
      <c r="H205" s="5" t="s">
        <v>1484</v>
      </c>
      <c r="I205" s="60">
        <v>2</v>
      </c>
      <c r="J205" s="5" t="s">
        <v>1425</v>
      </c>
      <c r="K205" s="58">
        <v>6836.6</v>
      </c>
      <c r="L205" s="5" t="s">
        <v>993</v>
      </c>
      <c r="M205" s="5" t="s">
        <v>1482</v>
      </c>
      <c r="N205" t="str">
        <f>_xlfn.XLOOKUP(A205,Monitoring!A:A,Monitoring!D:D)</f>
        <v>ESTATES</v>
      </c>
    </row>
    <row r="206" spans="1:14" x14ac:dyDescent="0.35">
      <c r="A206" s="5">
        <v>10001350</v>
      </c>
      <c r="B206" s="5" t="s">
        <v>1295</v>
      </c>
      <c r="C206" s="5" t="s">
        <v>1296</v>
      </c>
      <c r="D206" s="61">
        <v>45932</v>
      </c>
      <c r="E206" s="61">
        <v>45965</v>
      </c>
      <c r="F206" s="5" t="s">
        <v>1364</v>
      </c>
      <c r="G206" s="5" t="s">
        <v>1480</v>
      </c>
      <c r="H206" s="5" t="s">
        <v>1483</v>
      </c>
      <c r="I206" s="60">
        <v>1</v>
      </c>
      <c r="J206" s="5" t="s">
        <v>1425</v>
      </c>
      <c r="K206" s="58">
        <v>15071.53</v>
      </c>
      <c r="L206" s="5" t="s">
        <v>993</v>
      </c>
      <c r="M206" s="5" t="s">
        <v>1482</v>
      </c>
      <c r="N206" t="str">
        <f>_xlfn.XLOOKUP(A206,Monitoring!A:A,Monitoring!D:D)</f>
        <v>ESTATES</v>
      </c>
    </row>
    <row r="207" spans="1:14" x14ac:dyDescent="0.35">
      <c r="A207" s="5">
        <v>10001350</v>
      </c>
      <c r="B207" s="5" t="s">
        <v>1295</v>
      </c>
      <c r="C207" s="5" t="s">
        <v>1296</v>
      </c>
      <c r="D207" s="61">
        <v>45932</v>
      </c>
      <c r="E207" s="61">
        <v>45965</v>
      </c>
      <c r="F207" s="5" t="s">
        <v>1364</v>
      </c>
      <c r="G207" s="5" t="s">
        <v>1480</v>
      </c>
      <c r="H207" s="5" t="s">
        <v>1481</v>
      </c>
      <c r="I207" s="60">
        <v>9</v>
      </c>
      <c r="J207" s="5" t="s">
        <v>1425</v>
      </c>
      <c r="K207" s="58">
        <v>79877.52</v>
      </c>
      <c r="L207" s="5" t="s">
        <v>993</v>
      </c>
      <c r="M207" s="5" t="s">
        <v>1482</v>
      </c>
      <c r="N207" t="str">
        <f>_xlfn.XLOOKUP(A207,Monitoring!A:A,Monitoring!D:D)</f>
        <v>ESTATES</v>
      </c>
    </row>
    <row r="208" spans="1:14" x14ac:dyDescent="0.35">
      <c r="A208" s="5">
        <v>10001360</v>
      </c>
      <c r="B208" s="5" t="s">
        <v>1295</v>
      </c>
      <c r="C208" s="5" t="s">
        <v>1318</v>
      </c>
      <c r="D208" s="61">
        <v>45926</v>
      </c>
      <c r="E208" s="61">
        <v>45930</v>
      </c>
      <c r="F208" s="5" t="s">
        <v>1297</v>
      </c>
      <c r="G208" s="5" t="s">
        <v>178</v>
      </c>
      <c r="H208" s="5" t="s">
        <v>1194</v>
      </c>
      <c r="I208" s="60">
        <v>0</v>
      </c>
      <c r="J208" s="5" t="s">
        <v>1300</v>
      </c>
      <c r="K208" s="58">
        <v>0</v>
      </c>
      <c r="L208" s="5" t="s">
        <v>1453</v>
      </c>
      <c r="M208" s="5" t="s">
        <v>1306</v>
      </c>
      <c r="N208" t="str">
        <f>_xlfn.XLOOKUP(A208,Monitoring!A:A,Monitoring!D:D)</f>
        <v>OFFICES</v>
      </c>
    </row>
    <row r="209" spans="1:14" x14ac:dyDescent="0.35">
      <c r="A209" s="5">
        <v>10001361</v>
      </c>
      <c r="B209" s="5" t="s">
        <v>1295</v>
      </c>
      <c r="C209" s="5" t="s">
        <v>1318</v>
      </c>
      <c r="D209" s="61">
        <v>46006</v>
      </c>
      <c r="E209" s="61">
        <v>46022</v>
      </c>
      <c r="F209" s="5" t="s">
        <v>1297</v>
      </c>
      <c r="G209" s="5" t="s">
        <v>181</v>
      </c>
      <c r="H209" s="5" t="s">
        <v>1197</v>
      </c>
      <c r="I209" s="60">
        <v>0</v>
      </c>
      <c r="J209" s="5" t="s">
        <v>1300</v>
      </c>
      <c r="K209" s="58">
        <v>0</v>
      </c>
      <c r="L209" s="5" t="s">
        <v>1503</v>
      </c>
      <c r="M209" s="5" t="s">
        <v>1339</v>
      </c>
      <c r="N209" t="str">
        <f>_xlfn.XLOOKUP(A209,Monitoring!A:A,Monitoring!D:D)</f>
        <v>OFFICES</v>
      </c>
    </row>
    <row r="210" spans="1:14" x14ac:dyDescent="0.35">
      <c r="A210" s="5">
        <v>10001361</v>
      </c>
      <c r="B210" s="5" t="s">
        <v>1295</v>
      </c>
      <c r="C210" s="5" t="s">
        <v>1318</v>
      </c>
      <c r="D210" s="61">
        <v>46006</v>
      </c>
      <c r="E210" s="61">
        <v>46022</v>
      </c>
      <c r="F210" s="5" t="s">
        <v>1297</v>
      </c>
      <c r="G210" s="5" t="s">
        <v>181</v>
      </c>
      <c r="H210" s="5" t="s">
        <v>1196</v>
      </c>
      <c r="I210" s="60">
        <v>0</v>
      </c>
      <c r="J210" s="5" t="s">
        <v>1300</v>
      </c>
      <c r="K210" s="58">
        <v>0</v>
      </c>
      <c r="L210" s="5" t="s">
        <v>1503</v>
      </c>
      <c r="M210" s="5" t="s">
        <v>1339</v>
      </c>
      <c r="N210" t="str">
        <f>_xlfn.XLOOKUP(A210,Monitoring!A:A,Monitoring!D:D)</f>
        <v>OFFICES</v>
      </c>
    </row>
    <row r="211" spans="1:14" x14ac:dyDescent="0.35">
      <c r="A211" s="5">
        <v>10001362</v>
      </c>
      <c r="B211" s="5" t="s">
        <v>1295</v>
      </c>
      <c r="C211" s="5" t="s">
        <v>1296</v>
      </c>
      <c r="D211" s="61">
        <v>45919</v>
      </c>
      <c r="E211" s="61">
        <v>45968</v>
      </c>
      <c r="F211" s="5" t="s">
        <v>1297</v>
      </c>
      <c r="G211" s="5" t="s">
        <v>1504</v>
      </c>
      <c r="H211" s="5" t="s">
        <v>1505</v>
      </c>
      <c r="I211" s="60">
        <v>0</v>
      </c>
      <c r="J211" s="5" t="s">
        <v>1300</v>
      </c>
      <c r="K211" s="58">
        <v>0</v>
      </c>
      <c r="L211" s="5" t="s">
        <v>1506</v>
      </c>
      <c r="M211" s="5" t="s">
        <v>1306</v>
      </c>
      <c r="N211" t="str">
        <f>_xlfn.XLOOKUP(A211,Monitoring!A:A,Monitoring!D:D)</f>
        <v>ESTATES</v>
      </c>
    </row>
    <row r="212" spans="1:14" x14ac:dyDescent="0.35">
      <c r="A212" s="5">
        <v>10001363</v>
      </c>
      <c r="B212" s="5" t="s">
        <v>1295</v>
      </c>
      <c r="C212" s="5" t="s">
        <v>1318</v>
      </c>
      <c r="D212" s="61">
        <v>46044</v>
      </c>
      <c r="E212" s="61">
        <v>46053</v>
      </c>
      <c r="F212" s="5" t="s">
        <v>1297</v>
      </c>
      <c r="G212" s="5" t="s">
        <v>184</v>
      </c>
      <c r="H212" s="5" t="s">
        <v>1509</v>
      </c>
      <c r="I212" s="60">
        <v>0</v>
      </c>
      <c r="J212" s="5" t="s">
        <v>1300</v>
      </c>
      <c r="K212" s="58">
        <v>0</v>
      </c>
      <c r="L212" s="5" t="s">
        <v>1305</v>
      </c>
      <c r="M212" s="5" t="s">
        <v>1339</v>
      </c>
      <c r="N212" t="str">
        <f>_xlfn.XLOOKUP(A212,Monitoring!A:A,Monitoring!D:D)</f>
        <v>OFFICES</v>
      </c>
    </row>
    <row r="213" spans="1:14" x14ac:dyDescent="0.35">
      <c r="A213" s="5">
        <v>10001363</v>
      </c>
      <c r="B213" s="5" t="s">
        <v>1295</v>
      </c>
      <c r="C213" s="5" t="s">
        <v>1318</v>
      </c>
      <c r="D213" s="61">
        <v>45909</v>
      </c>
      <c r="E213" s="61">
        <v>45930</v>
      </c>
      <c r="F213" s="5" t="s">
        <v>1364</v>
      </c>
      <c r="G213" s="5" t="s">
        <v>1507</v>
      </c>
      <c r="H213" s="5" t="s">
        <v>1508</v>
      </c>
      <c r="I213" s="60">
        <v>0</v>
      </c>
      <c r="J213" s="5" t="s">
        <v>1300</v>
      </c>
      <c r="K213" s="58">
        <v>0</v>
      </c>
      <c r="L213" s="5" t="s">
        <v>993</v>
      </c>
      <c r="M213" s="5" t="s">
        <v>1330</v>
      </c>
      <c r="N213" t="str">
        <f>_xlfn.XLOOKUP(A213,Monitoring!A:A,Monitoring!D:D)</f>
        <v>OFFICES</v>
      </c>
    </row>
    <row r="214" spans="1:14" x14ac:dyDescent="0.35">
      <c r="A214" s="5">
        <v>10001364</v>
      </c>
      <c r="B214" s="5" t="s">
        <v>1295</v>
      </c>
      <c r="C214" s="5" t="s">
        <v>1318</v>
      </c>
      <c r="D214" s="61">
        <v>45945</v>
      </c>
      <c r="E214" s="61">
        <v>45960</v>
      </c>
      <c r="F214" s="5" t="s">
        <v>1364</v>
      </c>
      <c r="G214" s="5" t="s">
        <v>188</v>
      </c>
      <c r="H214" s="5" t="s">
        <v>1510</v>
      </c>
      <c r="I214" s="60">
        <v>0</v>
      </c>
      <c r="J214" s="5" t="s">
        <v>1300</v>
      </c>
      <c r="K214" s="58">
        <v>0</v>
      </c>
      <c r="L214" s="5" t="s">
        <v>993</v>
      </c>
      <c r="M214" s="5" t="s">
        <v>1405</v>
      </c>
      <c r="N214" t="str">
        <f>_xlfn.XLOOKUP(A214,Monitoring!A:A,Monitoring!D:D)</f>
        <v>OFFICES</v>
      </c>
    </row>
    <row r="215" spans="1:14" x14ac:dyDescent="0.35">
      <c r="A215" s="5">
        <v>10001364</v>
      </c>
      <c r="B215" s="5" t="s">
        <v>1295</v>
      </c>
      <c r="C215" s="5" t="s">
        <v>1318</v>
      </c>
      <c r="D215" s="61">
        <v>46106</v>
      </c>
      <c r="E215" s="61">
        <v>46203</v>
      </c>
      <c r="F215" s="5" t="s">
        <v>1297</v>
      </c>
      <c r="G215" s="5" t="s">
        <v>1513</v>
      </c>
      <c r="H215" s="5" t="s">
        <v>1512</v>
      </c>
      <c r="I215" s="59">
        <v>0.1</v>
      </c>
      <c r="J215" s="5" t="s">
        <v>1300</v>
      </c>
      <c r="K215" s="58">
        <v>342533.48</v>
      </c>
      <c r="L215" s="5" t="s">
        <v>1506</v>
      </c>
      <c r="M215" s="5" t="s">
        <v>1306</v>
      </c>
      <c r="N215" t="str">
        <f>_xlfn.XLOOKUP(A215,Monitoring!A:A,Monitoring!D:D)</f>
        <v>OFFICES</v>
      </c>
    </row>
    <row r="216" spans="1:14" x14ac:dyDescent="0.35">
      <c r="A216" s="5">
        <v>10001364</v>
      </c>
      <c r="B216" s="5" t="s">
        <v>1295</v>
      </c>
      <c r="C216" s="5" t="s">
        <v>1318</v>
      </c>
      <c r="D216" s="61">
        <v>46098</v>
      </c>
      <c r="E216" s="61">
        <v>46127</v>
      </c>
      <c r="F216" s="5" t="s">
        <v>1364</v>
      </c>
      <c r="G216" s="5" t="s">
        <v>1511</v>
      </c>
      <c r="H216" s="5" t="s">
        <v>1512</v>
      </c>
      <c r="I216" s="60">
        <v>0</v>
      </c>
      <c r="J216" s="5" t="s">
        <v>1300</v>
      </c>
      <c r="K216" s="58">
        <v>0</v>
      </c>
      <c r="L216" s="5" t="s">
        <v>993</v>
      </c>
      <c r="M216" s="5" t="s">
        <v>1330</v>
      </c>
      <c r="N216" t="str">
        <f>_xlfn.XLOOKUP(A216,Monitoring!A:A,Monitoring!D:D)</f>
        <v>OFFICES</v>
      </c>
    </row>
    <row r="217" spans="1:14" x14ac:dyDescent="0.35">
      <c r="A217" s="5">
        <v>10001365</v>
      </c>
      <c r="B217" s="5" t="s">
        <v>1295</v>
      </c>
      <c r="C217" s="5" t="s">
        <v>1318</v>
      </c>
      <c r="D217" s="61">
        <v>45945</v>
      </c>
      <c r="E217" s="61">
        <v>45960</v>
      </c>
      <c r="F217" s="5" t="s">
        <v>1364</v>
      </c>
      <c r="G217" s="5" t="s">
        <v>192</v>
      </c>
      <c r="H217" s="5" t="s">
        <v>1510</v>
      </c>
      <c r="I217" s="60">
        <v>0</v>
      </c>
      <c r="J217" s="5" t="s">
        <v>1300</v>
      </c>
      <c r="K217" s="58">
        <v>0</v>
      </c>
      <c r="L217" s="5" t="s">
        <v>993</v>
      </c>
      <c r="M217" s="5" t="s">
        <v>1405</v>
      </c>
      <c r="N217" t="str">
        <f>_xlfn.XLOOKUP(A217,Monitoring!A:A,Monitoring!D:D)</f>
        <v>OFFICES</v>
      </c>
    </row>
    <row r="218" spans="1:14" x14ac:dyDescent="0.35">
      <c r="A218" s="5">
        <v>10001365</v>
      </c>
      <c r="B218" s="5" t="s">
        <v>1295</v>
      </c>
      <c r="C218" s="5" t="s">
        <v>1318</v>
      </c>
      <c r="D218" s="61">
        <v>46106</v>
      </c>
      <c r="E218" s="61">
        <v>46203</v>
      </c>
      <c r="F218" s="5" t="s">
        <v>1297</v>
      </c>
      <c r="G218" s="5" t="s">
        <v>1513</v>
      </c>
      <c r="H218" s="5" t="s">
        <v>1514</v>
      </c>
      <c r="I218" s="59">
        <v>0.1</v>
      </c>
      <c r="J218" s="5" t="s">
        <v>1300</v>
      </c>
      <c r="K218" s="58">
        <v>260524.55</v>
      </c>
      <c r="L218" s="5" t="s">
        <v>1506</v>
      </c>
      <c r="M218" s="5" t="s">
        <v>1306</v>
      </c>
      <c r="N218" t="str">
        <f>_xlfn.XLOOKUP(A218,Monitoring!A:A,Monitoring!D:D)</f>
        <v>OFFICES</v>
      </c>
    </row>
    <row r="219" spans="1:14" x14ac:dyDescent="0.35">
      <c r="A219" s="5">
        <v>10001365</v>
      </c>
      <c r="B219" s="5" t="s">
        <v>1295</v>
      </c>
      <c r="C219" s="5" t="s">
        <v>1318</v>
      </c>
      <c r="D219" s="61">
        <v>46098</v>
      </c>
      <c r="E219" s="61">
        <v>46127</v>
      </c>
      <c r="F219" s="5" t="s">
        <v>1364</v>
      </c>
      <c r="G219" s="5" t="s">
        <v>1511</v>
      </c>
      <c r="H219" s="5" t="s">
        <v>1514</v>
      </c>
      <c r="I219" s="60">
        <v>0</v>
      </c>
      <c r="J219" s="5" t="s">
        <v>1300</v>
      </c>
      <c r="K219" s="58">
        <v>0</v>
      </c>
      <c r="L219" s="5" t="s">
        <v>993</v>
      </c>
      <c r="M219" s="5" t="s">
        <v>1330</v>
      </c>
      <c r="N219" t="str">
        <f>_xlfn.XLOOKUP(A219,Monitoring!A:A,Monitoring!D:D)</f>
        <v>OFFICES</v>
      </c>
    </row>
    <row r="220" spans="1:14" x14ac:dyDescent="0.35">
      <c r="A220" s="5">
        <v>10001366</v>
      </c>
      <c r="B220" s="5" t="s">
        <v>1295</v>
      </c>
      <c r="C220" s="5" t="s">
        <v>1318</v>
      </c>
      <c r="D220" s="61">
        <v>45945</v>
      </c>
      <c r="E220" s="61">
        <v>45960</v>
      </c>
      <c r="F220" s="5" t="s">
        <v>1364</v>
      </c>
      <c r="G220" s="5" t="s">
        <v>194</v>
      </c>
      <c r="H220" s="5" t="s">
        <v>1510</v>
      </c>
      <c r="I220" s="60">
        <v>0</v>
      </c>
      <c r="J220" s="5" t="s">
        <v>1300</v>
      </c>
      <c r="K220" s="58">
        <v>0</v>
      </c>
      <c r="L220" s="5" t="s">
        <v>993</v>
      </c>
      <c r="M220" s="5" t="s">
        <v>1405</v>
      </c>
      <c r="N220" t="str">
        <f>_xlfn.XLOOKUP(A220,Monitoring!A:A,Monitoring!D:D)</f>
        <v>OFFICES</v>
      </c>
    </row>
    <row r="221" spans="1:14" x14ac:dyDescent="0.35">
      <c r="A221" s="5">
        <v>10001366</v>
      </c>
      <c r="B221" s="5" t="s">
        <v>1295</v>
      </c>
      <c r="C221" s="5" t="s">
        <v>1318</v>
      </c>
      <c r="D221" s="61">
        <v>46106</v>
      </c>
      <c r="E221" s="61">
        <v>46203</v>
      </c>
      <c r="F221" s="5" t="s">
        <v>1297</v>
      </c>
      <c r="G221" s="5" t="s">
        <v>1513</v>
      </c>
      <c r="H221" s="5" t="s">
        <v>1515</v>
      </c>
      <c r="I221" s="59">
        <v>0.1</v>
      </c>
      <c r="J221" s="5" t="s">
        <v>1300</v>
      </c>
      <c r="K221" s="58">
        <v>197979.91</v>
      </c>
      <c r="L221" s="5" t="s">
        <v>1506</v>
      </c>
      <c r="M221" s="5" t="s">
        <v>1306</v>
      </c>
      <c r="N221" t="str">
        <f>_xlfn.XLOOKUP(A221,Monitoring!A:A,Monitoring!D:D)</f>
        <v>OFFICES</v>
      </c>
    </row>
    <row r="222" spans="1:14" x14ac:dyDescent="0.35">
      <c r="A222" s="5">
        <v>10001366</v>
      </c>
      <c r="B222" s="5" t="s">
        <v>1295</v>
      </c>
      <c r="C222" s="5" t="s">
        <v>1318</v>
      </c>
      <c r="D222" s="61">
        <v>46098</v>
      </c>
      <c r="E222" s="61">
        <v>46127</v>
      </c>
      <c r="F222" s="5" t="s">
        <v>1364</v>
      </c>
      <c r="G222" s="5" t="s">
        <v>1511</v>
      </c>
      <c r="H222" s="5" t="s">
        <v>1515</v>
      </c>
      <c r="I222" s="60">
        <v>0</v>
      </c>
      <c r="J222" s="5" t="s">
        <v>1300</v>
      </c>
      <c r="K222" s="58">
        <v>0</v>
      </c>
      <c r="L222" s="5" t="s">
        <v>993</v>
      </c>
      <c r="M222" s="5" t="s">
        <v>1330</v>
      </c>
      <c r="N222" t="str">
        <f>_xlfn.XLOOKUP(A222,Monitoring!A:A,Monitoring!D:D)</f>
        <v>OFFICES</v>
      </c>
    </row>
    <row r="223" spans="1:14" x14ac:dyDescent="0.35">
      <c r="A223" s="5">
        <v>10001372</v>
      </c>
      <c r="B223" s="5" t="s">
        <v>1295</v>
      </c>
      <c r="C223" s="5" t="s">
        <v>1318</v>
      </c>
      <c r="D223" s="61">
        <v>45968</v>
      </c>
      <c r="E223" s="61">
        <v>45960</v>
      </c>
      <c r="F223" s="5" t="s">
        <v>1297</v>
      </c>
      <c r="G223" s="5" t="s">
        <v>1516</v>
      </c>
      <c r="H223" s="5" t="s">
        <v>1521</v>
      </c>
      <c r="I223" s="60">
        <v>1</v>
      </c>
      <c r="J223" s="5" t="s">
        <v>1300</v>
      </c>
      <c r="K223" s="58">
        <v>29196.43</v>
      </c>
      <c r="L223" s="5" t="s">
        <v>1518</v>
      </c>
      <c r="M223" s="5" t="s">
        <v>1344</v>
      </c>
      <c r="N223" t="str">
        <f>_xlfn.XLOOKUP(A223,Monitoring!A:A,Monitoring!D:D)</f>
        <v>ESTATES</v>
      </c>
    </row>
    <row r="224" spans="1:14" x14ac:dyDescent="0.35">
      <c r="A224" s="5">
        <v>10001372</v>
      </c>
      <c r="B224" s="5" t="s">
        <v>1295</v>
      </c>
      <c r="C224" s="5" t="s">
        <v>1318</v>
      </c>
      <c r="D224" s="61">
        <v>45968</v>
      </c>
      <c r="E224" s="61">
        <v>45960</v>
      </c>
      <c r="F224" s="5" t="s">
        <v>1297</v>
      </c>
      <c r="G224" s="5" t="s">
        <v>1516</v>
      </c>
      <c r="H224" s="5" t="s">
        <v>1520</v>
      </c>
      <c r="I224" s="60">
        <v>1</v>
      </c>
      <c r="J224" s="5" t="s">
        <v>1380</v>
      </c>
      <c r="K224" s="58">
        <v>89285.71</v>
      </c>
      <c r="L224" s="5" t="s">
        <v>1518</v>
      </c>
      <c r="M224" s="5" t="s">
        <v>1344</v>
      </c>
      <c r="N224" t="str">
        <f>_xlfn.XLOOKUP(A224,Monitoring!A:A,Monitoring!D:D)</f>
        <v>ESTATES</v>
      </c>
    </row>
    <row r="225" spans="1:14" x14ac:dyDescent="0.35">
      <c r="A225" s="5">
        <v>10001372</v>
      </c>
      <c r="B225" s="5" t="s">
        <v>1295</v>
      </c>
      <c r="C225" s="5" t="s">
        <v>1318</v>
      </c>
      <c r="D225" s="61">
        <v>45968</v>
      </c>
      <c r="E225" s="61">
        <v>45960</v>
      </c>
      <c r="F225" s="5" t="s">
        <v>1297</v>
      </c>
      <c r="G225" s="5" t="s">
        <v>1516</v>
      </c>
      <c r="H225" s="5" t="s">
        <v>1519</v>
      </c>
      <c r="I225" s="60">
        <v>1</v>
      </c>
      <c r="J225" s="5" t="s">
        <v>1300</v>
      </c>
      <c r="K225" s="58">
        <v>25000</v>
      </c>
      <c r="L225" s="5" t="s">
        <v>1518</v>
      </c>
      <c r="M225" s="5" t="s">
        <v>1344</v>
      </c>
      <c r="N225" t="str">
        <f>_xlfn.XLOOKUP(A225,Monitoring!A:A,Monitoring!D:D)</f>
        <v>ESTATES</v>
      </c>
    </row>
    <row r="226" spans="1:14" x14ac:dyDescent="0.35">
      <c r="A226" s="5">
        <v>10001372</v>
      </c>
      <c r="B226" s="5" t="s">
        <v>1295</v>
      </c>
      <c r="C226" s="5" t="s">
        <v>1318</v>
      </c>
      <c r="D226" s="61">
        <v>45968</v>
      </c>
      <c r="E226" s="61">
        <v>45960</v>
      </c>
      <c r="F226" s="5" t="s">
        <v>1297</v>
      </c>
      <c r="G226" s="5" t="s">
        <v>1516</v>
      </c>
      <c r="H226" s="5" t="s">
        <v>1517</v>
      </c>
      <c r="I226" s="60">
        <v>1</v>
      </c>
      <c r="J226" s="5" t="s">
        <v>1300</v>
      </c>
      <c r="K226" s="58">
        <v>177946.43</v>
      </c>
      <c r="L226" s="5" t="s">
        <v>1518</v>
      </c>
      <c r="M226" s="5" t="s">
        <v>1344</v>
      </c>
      <c r="N226" t="str">
        <f>_xlfn.XLOOKUP(A226,Monitoring!A:A,Monitoring!D:D)</f>
        <v>ESTATES</v>
      </c>
    </row>
    <row r="227" spans="1:14" x14ac:dyDescent="0.35">
      <c r="A227" s="5">
        <v>10001374</v>
      </c>
      <c r="B227" s="5" t="s">
        <v>1295</v>
      </c>
      <c r="C227" s="5" t="s">
        <v>1318</v>
      </c>
      <c r="D227" s="61">
        <v>45985</v>
      </c>
      <c r="E227" s="61">
        <v>46022</v>
      </c>
      <c r="F227" s="5" t="s">
        <v>1297</v>
      </c>
      <c r="G227" s="5" t="s">
        <v>1202</v>
      </c>
      <c r="H227" s="5" t="s">
        <v>1204</v>
      </c>
      <c r="I227" s="60">
        <v>0</v>
      </c>
      <c r="J227" s="5" t="s">
        <v>1300</v>
      </c>
      <c r="K227" s="58">
        <v>0</v>
      </c>
      <c r="L227" s="5" t="s">
        <v>1522</v>
      </c>
      <c r="M227" s="5" t="s">
        <v>1310</v>
      </c>
      <c r="N227" t="str">
        <f>_xlfn.XLOOKUP(A227,Monitoring!A:A,Monitoring!D:D)</f>
        <v>MALLS</v>
      </c>
    </row>
    <row r="228" spans="1:14" x14ac:dyDescent="0.35">
      <c r="A228" s="5">
        <v>10001374</v>
      </c>
      <c r="B228" s="5" t="s">
        <v>1295</v>
      </c>
      <c r="C228" s="5" t="s">
        <v>1318</v>
      </c>
      <c r="D228" s="61">
        <v>45985</v>
      </c>
      <c r="E228" s="61">
        <v>46022</v>
      </c>
      <c r="F228" s="5" t="s">
        <v>1297</v>
      </c>
      <c r="G228" s="5" t="s">
        <v>1199</v>
      </c>
      <c r="H228" s="5" t="s">
        <v>1201</v>
      </c>
      <c r="I228" s="60">
        <v>0</v>
      </c>
      <c r="J228" s="5" t="s">
        <v>1300</v>
      </c>
      <c r="K228" s="58">
        <v>0</v>
      </c>
      <c r="L228" s="5" t="s">
        <v>1348</v>
      </c>
      <c r="M228" s="5" t="s">
        <v>1310</v>
      </c>
      <c r="N228" t="str">
        <f>_xlfn.XLOOKUP(A228,Monitoring!A:A,Monitoring!D:D)</f>
        <v>MALLS</v>
      </c>
    </row>
    <row r="229" spans="1:14" x14ac:dyDescent="0.35">
      <c r="A229" s="5">
        <v>10001378</v>
      </c>
      <c r="B229" s="5" t="s">
        <v>1295</v>
      </c>
      <c r="C229" s="5" t="s">
        <v>1318</v>
      </c>
      <c r="D229" s="61">
        <v>45995</v>
      </c>
      <c r="E229" s="61">
        <v>45998</v>
      </c>
      <c r="F229" s="5" t="s">
        <v>1297</v>
      </c>
      <c r="G229" s="5" t="s">
        <v>1523</v>
      </c>
      <c r="H229" s="5" t="s">
        <v>1524</v>
      </c>
      <c r="I229" s="60">
        <v>1</v>
      </c>
      <c r="J229" s="5" t="s">
        <v>1300</v>
      </c>
      <c r="K229" s="58">
        <v>107142.86</v>
      </c>
      <c r="L229" s="5" t="s">
        <v>1373</v>
      </c>
      <c r="M229" s="5" t="s">
        <v>1330</v>
      </c>
      <c r="N229" t="str">
        <f>_xlfn.XLOOKUP(A229,Monitoring!A:A,Monitoring!D:D)</f>
        <v>ESTATES</v>
      </c>
    </row>
    <row r="230" spans="1:14" x14ac:dyDescent="0.35">
      <c r="A230" s="5">
        <v>10001378</v>
      </c>
      <c r="B230" s="5" t="s">
        <v>1295</v>
      </c>
      <c r="C230" s="5" t="s">
        <v>1318</v>
      </c>
      <c r="D230" s="61">
        <v>45995</v>
      </c>
      <c r="E230" s="61">
        <v>46022</v>
      </c>
      <c r="F230" s="5" t="s">
        <v>1297</v>
      </c>
      <c r="G230" s="5" t="s">
        <v>1525</v>
      </c>
      <c r="H230" s="5" t="s">
        <v>1526</v>
      </c>
      <c r="I230" s="59">
        <v>0.67700000000000005</v>
      </c>
      <c r="J230" s="5" t="s">
        <v>1300</v>
      </c>
      <c r="K230" s="58">
        <v>725357.14</v>
      </c>
      <c r="L230" s="5" t="s">
        <v>1527</v>
      </c>
      <c r="M230" s="5" t="s">
        <v>1339</v>
      </c>
      <c r="N230" t="str">
        <f>_xlfn.XLOOKUP(A230,Monitoring!A:A,Monitoring!D:D)</f>
        <v>ESTATES</v>
      </c>
    </row>
    <row r="231" spans="1:14" x14ac:dyDescent="0.35">
      <c r="A231" s="5">
        <v>10001381</v>
      </c>
      <c r="B231" s="5" t="s">
        <v>1295</v>
      </c>
      <c r="C231" s="5" t="s">
        <v>1318</v>
      </c>
      <c r="D231" s="61">
        <v>45982</v>
      </c>
      <c r="E231" s="61">
        <v>45991</v>
      </c>
      <c r="F231" s="5" t="s">
        <v>1364</v>
      </c>
      <c r="G231" s="5" t="s">
        <v>196</v>
      </c>
      <c r="H231" s="5" t="s">
        <v>1528</v>
      </c>
      <c r="I231" s="60">
        <v>0</v>
      </c>
      <c r="J231" s="5" t="s">
        <v>1300</v>
      </c>
      <c r="K231" s="58">
        <v>0</v>
      </c>
      <c r="L231" s="5" t="s">
        <v>993</v>
      </c>
      <c r="M231" s="5" t="s">
        <v>1344</v>
      </c>
      <c r="N231" t="str">
        <f>_xlfn.XLOOKUP(A231,Monitoring!A:A,Monitoring!D:D)</f>
        <v>OFFICES</v>
      </c>
    </row>
    <row r="232" spans="1:14" x14ac:dyDescent="0.35">
      <c r="A232" s="5">
        <v>10001381</v>
      </c>
      <c r="B232" s="5" t="s">
        <v>1295</v>
      </c>
      <c r="C232" s="5" t="s">
        <v>1318</v>
      </c>
      <c r="D232" s="61">
        <v>46099</v>
      </c>
      <c r="E232" s="61">
        <v>46099</v>
      </c>
      <c r="F232" s="5" t="s">
        <v>1297</v>
      </c>
      <c r="G232" s="5" t="s">
        <v>1529</v>
      </c>
      <c r="H232" s="5" t="s">
        <v>1530</v>
      </c>
      <c r="I232" s="60">
        <v>0</v>
      </c>
      <c r="J232" s="5" t="s">
        <v>1300</v>
      </c>
      <c r="K232" s="58">
        <v>0</v>
      </c>
      <c r="L232" s="5" t="s">
        <v>1531</v>
      </c>
      <c r="M232" s="5" t="s">
        <v>1306</v>
      </c>
      <c r="N232" t="str">
        <f>_xlfn.XLOOKUP(A232,Monitoring!A:A,Monitoring!D:D)</f>
        <v>OFFICES</v>
      </c>
    </row>
    <row r="233" spans="1:14" x14ac:dyDescent="0.35">
      <c r="A233" s="5">
        <v>10001385</v>
      </c>
      <c r="B233" s="5" t="s">
        <v>1295</v>
      </c>
      <c r="C233" s="5" t="s">
        <v>1318</v>
      </c>
      <c r="D233" s="61">
        <v>46273</v>
      </c>
      <c r="E233" s="61">
        <v>46294</v>
      </c>
      <c r="F233" s="5" t="s">
        <v>1364</v>
      </c>
      <c r="G233" s="5" t="s">
        <v>3293</v>
      </c>
      <c r="H233" s="5" t="s">
        <v>3294</v>
      </c>
      <c r="I233" s="60">
        <v>1</v>
      </c>
      <c r="J233" s="5" t="s">
        <v>1300</v>
      </c>
      <c r="K233" s="58">
        <v>2987276.78</v>
      </c>
      <c r="L233" s="5" t="s">
        <v>993</v>
      </c>
      <c r="M233" s="5" t="s">
        <v>1377</v>
      </c>
      <c r="N233" t="str">
        <f>_xlfn.XLOOKUP(A233,Monitoring!A:A,Monitoring!D:D)</f>
        <v>MALLS</v>
      </c>
    </row>
    <row r="234" spans="1:14" x14ac:dyDescent="0.35">
      <c r="A234" s="5">
        <v>10001385</v>
      </c>
      <c r="B234" s="5" t="s">
        <v>1295</v>
      </c>
      <c r="C234" s="5" t="s">
        <v>1318</v>
      </c>
      <c r="D234" s="61">
        <v>46210</v>
      </c>
      <c r="E234" s="61">
        <v>46217</v>
      </c>
      <c r="F234" s="5" t="s">
        <v>1297</v>
      </c>
      <c r="G234" s="5" t="s">
        <v>2684</v>
      </c>
      <c r="H234" s="5" t="s">
        <v>2685</v>
      </c>
      <c r="I234" s="60">
        <v>0</v>
      </c>
      <c r="J234" s="5" t="s">
        <v>1300</v>
      </c>
      <c r="K234" s="58">
        <v>0</v>
      </c>
      <c r="L234" s="5" t="s">
        <v>2686</v>
      </c>
      <c r="M234" s="5" t="s">
        <v>1555</v>
      </c>
      <c r="N234" t="str">
        <f>_xlfn.XLOOKUP(A234,Monitoring!A:A,Monitoring!D:D)</f>
        <v>MALLS</v>
      </c>
    </row>
    <row r="235" spans="1:14" x14ac:dyDescent="0.35">
      <c r="A235" s="5">
        <v>10001385</v>
      </c>
      <c r="B235" s="5" t="s">
        <v>1295</v>
      </c>
      <c r="C235" s="5" t="s">
        <v>1318</v>
      </c>
      <c r="D235" s="61">
        <v>46210</v>
      </c>
      <c r="E235" s="61">
        <v>46230</v>
      </c>
      <c r="F235" s="5" t="s">
        <v>1297</v>
      </c>
      <c r="G235" s="5" t="s">
        <v>2687</v>
      </c>
      <c r="H235" s="5" t="s">
        <v>2683</v>
      </c>
      <c r="I235" s="60">
        <v>20</v>
      </c>
      <c r="J235" s="5" t="s">
        <v>1425</v>
      </c>
      <c r="K235" s="58">
        <v>116071.43</v>
      </c>
      <c r="L235" s="5" t="s">
        <v>2686</v>
      </c>
      <c r="M235" s="5" t="s">
        <v>1408</v>
      </c>
      <c r="N235" t="str">
        <f>_xlfn.XLOOKUP(A235,Monitoring!A:A,Monitoring!D:D)</f>
        <v>MALLS</v>
      </c>
    </row>
    <row r="236" spans="1:14" x14ac:dyDescent="0.35">
      <c r="A236" s="5">
        <v>10001385</v>
      </c>
      <c r="B236" s="5" t="s">
        <v>1295</v>
      </c>
      <c r="C236" s="5" t="s">
        <v>1318</v>
      </c>
      <c r="D236" s="61">
        <v>46227</v>
      </c>
      <c r="E236" s="61">
        <v>46241</v>
      </c>
      <c r="F236" s="5" t="s">
        <v>1297</v>
      </c>
      <c r="G236" s="5" t="s">
        <v>2950</v>
      </c>
      <c r="H236" s="5" t="s">
        <v>2949</v>
      </c>
      <c r="I236" s="60">
        <v>1</v>
      </c>
      <c r="J236" s="5" t="s">
        <v>1300</v>
      </c>
      <c r="K236" s="58">
        <v>133928.57</v>
      </c>
      <c r="L236" s="5" t="s">
        <v>1313</v>
      </c>
      <c r="M236" s="5" t="s">
        <v>1330</v>
      </c>
      <c r="N236" t="str">
        <f>_xlfn.XLOOKUP(A236,Monitoring!A:A,Monitoring!D:D)</f>
        <v>MALLS</v>
      </c>
    </row>
    <row r="237" spans="1:14" x14ac:dyDescent="0.35">
      <c r="A237" s="5">
        <v>10001385</v>
      </c>
      <c r="B237" s="5" t="s">
        <v>1295</v>
      </c>
      <c r="C237" s="5" t="s">
        <v>1318</v>
      </c>
      <c r="D237" s="61">
        <v>46177</v>
      </c>
      <c r="E237" s="61">
        <v>46191</v>
      </c>
      <c r="F237" s="5" t="s">
        <v>1364</v>
      </c>
      <c r="G237" s="5" t="s">
        <v>2305</v>
      </c>
      <c r="H237" s="5" t="s">
        <v>2306</v>
      </c>
      <c r="I237" s="60">
        <v>0</v>
      </c>
      <c r="J237" s="5" t="s">
        <v>1300</v>
      </c>
      <c r="K237" s="58">
        <v>0</v>
      </c>
      <c r="L237" s="5" t="s">
        <v>993</v>
      </c>
      <c r="M237" s="5" t="s">
        <v>1408</v>
      </c>
      <c r="N237" t="str">
        <f>_xlfn.XLOOKUP(A237,Monitoring!A:A,Monitoring!D:D)</f>
        <v>MALLS</v>
      </c>
    </row>
    <row r="238" spans="1:14" x14ac:dyDescent="0.35">
      <c r="A238" s="5">
        <v>10001385</v>
      </c>
      <c r="B238" s="5" t="s">
        <v>1295</v>
      </c>
      <c r="C238" s="5" t="s">
        <v>1318</v>
      </c>
      <c r="D238" s="61">
        <v>46209</v>
      </c>
      <c r="E238" s="61">
        <v>46230</v>
      </c>
      <c r="F238" s="5" t="s">
        <v>1364</v>
      </c>
      <c r="G238" s="5" t="s">
        <v>2682</v>
      </c>
      <c r="H238" s="5" t="s">
        <v>2683</v>
      </c>
      <c r="I238" s="60">
        <v>0</v>
      </c>
      <c r="J238" s="5" t="s">
        <v>1425</v>
      </c>
      <c r="K238" s="58">
        <v>0</v>
      </c>
      <c r="L238" s="5" t="s">
        <v>993</v>
      </c>
      <c r="M238" s="5" t="s">
        <v>1408</v>
      </c>
      <c r="N238" t="str">
        <f>_xlfn.XLOOKUP(A238,Monitoring!A:A,Monitoring!D:D)</f>
        <v>MALLS</v>
      </c>
    </row>
    <row r="239" spans="1:14" x14ac:dyDescent="0.35">
      <c r="A239" s="5">
        <v>10001385</v>
      </c>
      <c r="B239" s="5" t="s">
        <v>1295</v>
      </c>
      <c r="C239" s="5" t="s">
        <v>1318</v>
      </c>
      <c r="D239" s="61">
        <v>46220</v>
      </c>
      <c r="E239" s="61">
        <v>46241</v>
      </c>
      <c r="F239" s="5" t="s">
        <v>1364</v>
      </c>
      <c r="G239" s="5" t="s">
        <v>2948</v>
      </c>
      <c r="H239" s="5" t="s">
        <v>2949</v>
      </c>
      <c r="I239" s="60">
        <v>0</v>
      </c>
      <c r="J239" s="5" t="s">
        <v>1300</v>
      </c>
      <c r="K239" s="58">
        <v>0</v>
      </c>
      <c r="L239" s="5" t="s">
        <v>993</v>
      </c>
      <c r="M239" s="5" t="s">
        <v>1330</v>
      </c>
      <c r="N239" t="str">
        <f>_xlfn.XLOOKUP(A239,Monitoring!A:A,Monitoring!D:D)</f>
        <v>MALLS</v>
      </c>
    </row>
    <row r="240" spans="1:14" x14ac:dyDescent="0.35">
      <c r="A240" s="5">
        <v>10001386</v>
      </c>
      <c r="B240" s="5" t="s">
        <v>1295</v>
      </c>
      <c r="C240" s="5" t="s">
        <v>1318</v>
      </c>
      <c r="D240" s="61">
        <v>46126</v>
      </c>
      <c r="E240" s="61">
        <v>46142</v>
      </c>
      <c r="F240" s="5" t="s">
        <v>1364</v>
      </c>
      <c r="G240" s="5" t="s">
        <v>1968</v>
      </c>
      <c r="H240" s="5" t="s">
        <v>1969</v>
      </c>
      <c r="I240" s="60">
        <v>0</v>
      </c>
      <c r="J240" s="5" t="s">
        <v>1300</v>
      </c>
      <c r="K240" s="58">
        <v>0</v>
      </c>
      <c r="L240" s="5" t="s">
        <v>993</v>
      </c>
      <c r="M240" s="5" t="s">
        <v>1344</v>
      </c>
      <c r="N240" t="str">
        <f>_xlfn.XLOOKUP(A240,Monitoring!A:A,Monitoring!D:D)</f>
        <v>MALLS</v>
      </c>
    </row>
    <row r="241" spans="1:14" x14ac:dyDescent="0.35">
      <c r="A241" s="5">
        <v>10001386</v>
      </c>
      <c r="B241" s="5" t="s">
        <v>1295</v>
      </c>
      <c r="C241" s="5" t="s">
        <v>1318</v>
      </c>
      <c r="D241" s="61">
        <v>46155</v>
      </c>
      <c r="E241" s="61">
        <v>46142</v>
      </c>
      <c r="F241" s="5" t="s">
        <v>1297</v>
      </c>
      <c r="G241" s="5" t="s">
        <v>2309</v>
      </c>
      <c r="H241" s="5" t="s">
        <v>2310</v>
      </c>
      <c r="I241" s="60">
        <v>0</v>
      </c>
      <c r="J241" s="5" t="s">
        <v>1300</v>
      </c>
      <c r="K241" s="58">
        <v>0</v>
      </c>
      <c r="L241" s="5" t="s">
        <v>2311</v>
      </c>
      <c r="M241" s="5" t="s">
        <v>1540</v>
      </c>
      <c r="N241" t="str">
        <f>_xlfn.XLOOKUP(A241,Monitoring!A:A,Monitoring!D:D)</f>
        <v>MALLS</v>
      </c>
    </row>
    <row r="242" spans="1:14" x14ac:dyDescent="0.35">
      <c r="A242" s="5">
        <v>10001386</v>
      </c>
      <c r="B242" s="5" t="s">
        <v>1295</v>
      </c>
      <c r="C242" s="5" t="s">
        <v>1318</v>
      </c>
      <c r="D242" s="61">
        <v>46155</v>
      </c>
      <c r="E242" s="61">
        <v>46173</v>
      </c>
      <c r="F242" s="5" t="s">
        <v>1297</v>
      </c>
      <c r="G242" s="5" t="s">
        <v>2312</v>
      </c>
      <c r="H242" s="5" t="s">
        <v>2313</v>
      </c>
      <c r="I242" s="60">
        <v>0</v>
      </c>
      <c r="J242" s="5" t="s">
        <v>1300</v>
      </c>
      <c r="K242" s="58">
        <v>0</v>
      </c>
      <c r="L242" s="5" t="s">
        <v>1394</v>
      </c>
      <c r="M242" s="5" t="s">
        <v>1551</v>
      </c>
      <c r="N242" t="str">
        <f>_xlfn.XLOOKUP(A242,Monitoring!A:A,Monitoring!D:D)</f>
        <v>MALLS</v>
      </c>
    </row>
    <row r="243" spans="1:14" x14ac:dyDescent="0.35">
      <c r="A243" s="5">
        <v>10001386</v>
      </c>
      <c r="B243" s="5" t="s">
        <v>1295</v>
      </c>
      <c r="C243" s="5" t="s">
        <v>1318</v>
      </c>
      <c r="D243" s="61">
        <v>46083</v>
      </c>
      <c r="E243" s="61">
        <v>46112</v>
      </c>
      <c r="F243" s="5" t="s">
        <v>1364</v>
      </c>
      <c r="G243" s="5" t="s">
        <v>1532</v>
      </c>
      <c r="H243" s="5" t="s">
        <v>1533</v>
      </c>
      <c r="I243" s="60">
        <v>0</v>
      </c>
      <c r="J243" s="5" t="s">
        <v>1425</v>
      </c>
      <c r="K243" s="58">
        <v>0</v>
      </c>
      <c r="L243" s="5" t="s">
        <v>993</v>
      </c>
      <c r="M243" s="5" t="s">
        <v>1344</v>
      </c>
      <c r="N243" t="str">
        <f>_xlfn.XLOOKUP(A243,Monitoring!A:A,Monitoring!D:D)</f>
        <v>MALLS</v>
      </c>
    </row>
    <row r="244" spans="1:14" x14ac:dyDescent="0.35">
      <c r="A244" s="5">
        <v>10001386</v>
      </c>
      <c r="B244" s="5" t="s">
        <v>1295</v>
      </c>
      <c r="C244" s="5" t="s">
        <v>1318</v>
      </c>
      <c r="D244" s="61">
        <v>46083</v>
      </c>
      <c r="E244" s="61">
        <v>46112</v>
      </c>
      <c r="F244" s="5" t="s">
        <v>1364</v>
      </c>
      <c r="G244" s="5" t="s">
        <v>1532</v>
      </c>
      <c r="H244" s="5" t="s">
        <v>1534</v>
      </c>
      <c r="I244" s="60">
        <v>0</v>
      </c>
      <c r="J244" s="5" t="s">
        <v>1380</v>
      </c>
      <c r="K244" s="58">
        <v>0</v>
      </c>
      <c r="L244" s="5" t="s">
        <v>993</v>
      </c>
      <c r="M244" s="5" t="s">
        <v>1344</v>
      </c>
      <c r="N244" t="str">
        <f>_xlfn.XLOOKUP(A244,Monitoring!A:A,Monitoring!D:D)</f>
        <v>MALLS</v>
      </c>
    </row>
    <row r="245" spans="1:14" x14ac:dyDescent="0.35">
      <c r="A245" s="5">
        <v>10001386</v>
      </c>
      <c r="B245" s="5" t="s">
        <v>1295</v>
      </c>
      <c r="C245" s="5" t="s">
        <v>1318</v>
      </c>
      <c r="D245" s="61">
        <v>46083</v>
      </c>
      <c r="E245" s="61">
        <v>46112</v>
      </c>
      <c r="F245" s="5" t="s">
        <v>1364</v>
      </c>
      <c r="G245" s="5" t="s">
        <v>1532</v>
      </c>
      <c r="H245" s="5" t="s">
        <v>1535</v>
      </c>
      <c r="I245" s="60">
        <v>0</v>
      </c>
      <c r="J245" s="5" t="s">
        <v>1425</v>
      </c>
      <c r="K245" s="58">
        <v>0</v>
      </c>
      <c r="L245" s="5" t="s">
        <v>993</v>
      </c>
      <c r="M245" s="5" t="s">
        <v>1344</v>
      </c>
      <c r="N245" t="str">
        <f>_xlfn.XLOOKUP(A245,Monitoring!A:A,Monitoring!D:D)</f>
        <v>MALLS</v>
      </c>
    </row>
    <row r="246" spans="1:14" x14ac:dyDescent="0.35">
      <c r="A246" s="5">
        <v>10001386</v>
      </c>
      <c r="B246" s="5" t="s">
        <v>1295</v>
      </c>
      <c r="C246" s="5" t="s">
        <v>1318</v>
      </c>
      <c r="D246" s="61">
        <v>46083</v>
      </c>
      <c r="E246" s="61">
        <v>46112</v>
      </c>
      <c r="F246" s="5" t="s">
        <v>1364</v>
      </c>
      <c r="G246" s="5" t="s">
        <v>1532</v>
      </c>
      <c r="H246" s="5" t="s">
        <v>1536</v>
      </c>
      <c r="I246" s="60">
        <v>0</v>
      </c>
      <c r="J246" s="5" t="s">
        <v>1425</v>
      </c>
      <c r="K246" s="58">
        <v>0</v>
      </c>
      <c r="L246" s="5" t="s">
        <v>993</v>
      </c>
      <c r="M246" s="5" t="s">
        <v>1344</v>
      </c>
      <c r="N246" t="str">
        <f>_xlfn.XLOOKUP(A246,Monitoring!A:A,Monitoring!D:D)</f>
        <v>MALLS</v>
      </c>
    </row>
    <row r="247" spans="1:14" x14ac:dyDescent="0.35">
      <c r="A247" s="5">
        <v>10001386</v>
      </c>
      <c r="B247" s="5" t="s">
        <v>1295</v>
      </c>
      <c r="C247" s="5" t="s">
        <v>1318</v>
      </c>
      <c r="D247" s="61">
        <v>46083</v>
      </c>
      <c r="E247" s="61">
        <v>46112</v>
      </c>
      <c r="F247" s="5" t="s">
        <v>1364</v>
      </c>
      <c r="G247" s="5" t="s">
        <v>1532</v>
      </c>
      <c r="H247" s="5" t="s">
        <v>1537</v>
      </c>
      <c r="I247" s="60">
        <v>0</v>
      </c>
      <c r="J247" s="5" t="s">
        <v>1300</v>
      </c>
      <c r="K247" s="58">
        <v>0</v>
      </c>
      <c r="L247" s="5" t="s">
        <v>993</v>
      </c>
      <c r="M247" s="5" t="s">
        <v>1344</v>
      </c>
      <c r="N247" t="str">
        <f>_xlfn.XLOOKUP(A247,Monitoring!A:A,Monitoring!D:D)</f>
        <v>MALLS</v>
      </c>
    </row>
    <row r="248" spans="1:14" x14ac:dyDescent="0.35">
      <c r="A248" s="5">
        <v>10001386</v>
      </c>
      <c r="B248" s="5" t="s">
        <v>1295</v>
      </c>
      <c r="C248" s="5" t="s">
        <v>1318</v>
      </c>
      <c r="D248" s="61">
        <v>46098</v>
      </c>
      <c r="E248" s="61">
        <v>46098</v>
      </c>
      <c r="F248" s="5" t="s">
        <v>1364</v>
      </c>
      <c r="G248" s="5" t="s">
        <v>1538</v>
      </c>
      <c r="H248" s="5" t="s">
        <v>1539</v>
      </c>
      <c r="I248" s="60">
        <v>100</v>
      </c>
      <c r="J248" s="5" t="s">
        <v>1425</v>
      </c>
      <c r="K248" s="58">
        <v>44888</v>
      </c>
      <c r="L248" s="5" t="s">
        <v>993</v>
      </c>
      <c r="M248" s="5" t="s">
        <v>1972</v>
      </c>
      <c r="N248" t="str">
        <f>_xlfn.XLOOKUP(A248,Monitoring!A:A,Monitoring!D:D)</f>
        <v>MALLS</v>
      </c>
    </row>
    <row r="249" spans="1:14" x14ac:dyDescent="0.35">
      <c r="A249" s="5">
        <v>10001386</v>
      </c>
      <c r="B249" s="5" t="s">
        <v>1295</v>
      </c>
      <c r="C249" s="5" t="s">
        <v>1318</v>
      </c>
      <c r="D249" s="61">
        <v>46098</v>
      </c>
      <c r="E249" s="61">
        <v>46112</v>
      </c>
      <c r="F249" s="5" t="s">
        <v>1364</v>
      </c>
      <c r="G249" s="5" t="s">
        <v>1541</v>
      </c>
      <c r="H249" s="5" t="s">
        <v>1542</v>
      </c>
      <c r="I249" s="60">
        <v>100</v>
      </c>
      <c r="J249" s="5" t="s">
        <v>1425</v>
      </c>
      <c r="K249" s="58">
        <v>59850</v>
      </c>
      <c r="L249" s="5" t="s">
        <v>993</v>
      </c>
      <c r="M249" s="5" t="s">
        <v>1972</v>
      </c>
      <c r="N249" t="str">
        <f>_xlfn.XLOOKUP(A249,Monitoring!A:A,Monitoring!D:D)</f>
        <v>MALLS</v>
      </c>
    </row>
    <row r="250" spans="1:14" x14ac:dyDescent="0.35">
      <c r="A250" s="5">
        <v>10001386</v>
      </c>
      <c r="B250" s="5" t="s">
        <v>1295</v>
      </c>
      <c r="C250" s="5" t="s">
        <v>1318</v>
      </c>
      <c r="D250" s="61">
        <v>46150</v>
      </c>
      <c r="E250" s="61">
        <v>46173</v>
      </c>
      <c r="F250" s="5" t="s">
        <v>1364</v>
      </c>
      <c r="G250" s="5" t="s">
        <v>2307</v>
      </c>
      <c r="H250" s="5" t="s">
        <v>2308</v>
      </c>
      <c r="I250" s="60">
        <v>0</v>
      </c>
      <c r="J250" s="5" t="s">
        <v>1300</v>
      </c>
      <c r="K250" s="58">
        <v>0</v>
      </c>
      <c r="L250" s="5" t="s">
        <v>993</v>
      </c>
      <c r="M250" s="5" t="s">
        <v>1344</v>
      </c>
      <c r="N250" t="str">
        <f>_xlfn.XLOOKUP(A250,Monitoring!A:A,Monitoring!D:D)</f>
        <v>MALLS</v>
      </c>
    </row>
    <row r="251" spans="1:14" x14ac:dyDescent="0.35">
      <c r="A251" s="5">
        <v>10001386</v>
      </c>
      <c r="B251" s="5" t="s">
        <v>1295</v>
      </c>
      <c r="C251" s="5" t="s">
        <v>1318</v>
      </c>
      <c r="D251" s="61">
        <v>46097</v>
      </c>
      <c r="E251" s="61">
        <v>46112</v>
      </c>
      <c r="F251" s="5" t="s">
        <v>1297</v>
      </c>
      <c r="G251" s="5" t="s">
        <v>1543</v>
      </c>
      <c r="H251" s="5" t="s">
        <v>1544</v>
      </c>
      <c r="I251" s="60">
        <v>0</v>
      </c>
      <c r="J251" s="5" t="s">
        <v>1425</v>
      </c>
      <c r="K251" s="58">
        <v>0</v>
      </c>
      <c r="L251" s="5" t="s">
        <v>1518</v>
      </c>
      <c r="M251" s="5" t="s">
        <v>1551</v>
      </c>
      <c r="N251" t="str">
        <f>_xlfn.XLOOKUP(A251,Monitoring!A:A,Monitoring!D:D)</f>
        <v>MALLS</v>
      </c>
    </row>
    <row r="252" spans="1:14" x14ac:dyDescent="0.35">
      <c r="A252" s="5">
        <v>10001386</v>
      </c>
      <c r="B252" s="5" t="s">
        <v>1295</v>
      </c>
      <c r="C252" s="5" t="s">
        <v>1318</v>
      </c>
      <c r="D252" s="61">
        <v>46097</v>
      </c>
      <c r="E252" s="61">
        <v>46112</v>
      </c>
      <c r="F252" s="5" t="s">
        <v>1297</v>
      </c>
      <c r="G252" s="5" t="s">
        <v>1543</v>
      </c>
      <c r="H252" s="5" t="s">
        <v>1534</v>
      </c>
      <c r="I252" s="60">
        <v>0</v>
      </c>
      <c r="J252" s="5" t="s">
        <v>1380</v>
      </c>
      <c r="K252" s="58">
        <v>0</v>
      </c>
      <c r="L252" s="5" t="s">
        <v>1518</v>
      </c>
      <c r="M252" s="5" t="s">
        <v>1551</v>
      </c>
      <c r="N252" t="str">
        <f>_xlfn.XLOOKUP(A252,Monitoring!A:A,Monitoring!D:D)</f>
        <v>MALLS</v>
      </c>
    </row>
    <row r="253" spans="1:14" x14ac:dyDescent="0.35">
      <c r="A253" s="5">
        <v>10001386</v>
      </c>
      <c r="B253" s="5" t="s">
        <v>1295</v>
      </c>
      <c r="C253" s="5" t="s">
        <v>1318</v>
      </c>
      <c r="D253" s="61">
        <v>46097</v>
      </c>
      <c r="E253" s="61">
        <v>46112</v>
      </c>
      <c r="F253" s="5" t="s">
        <v>1297</v>
      </c>
      <c r="G253" s="5" t="s">
        <v>1543</v>
      </c>
      <c r="H253" s="5" t="s">
        <v>1535</v>
      </c>
      <c r="I253" s="60">
        <v>0</v>
      </c>
      <c r="J253" s="5" t="s">
        <v>1425</v>
      </c>
      <c r="K253" s="58">
        <v>0</v>
      </c>
      <c r="L253" s="5" t="s">
        <v>1518</v>
      </c>
      <c r="M253" s="5" t="s">
        <v>1551</v>
      </c>
      <c r="N253" t="str">
        <f>_xlfn.XLOOKUP(A253,Monitoring!A:A,Monitoring!D:D)</f>
        <v>MALLS</v>
      </c>
    </row>
    <row r="254" spans="1:14" x14ac:dyDescent="0.35">
      <c r="A254" s="5">
        <v>10001386</v>
      </c>
      <c r="B254" s="5" t="s">
        <v>1295</v>
      </c>
      <c r="C254" s="5" t="s">
        <v>1318</v>
      </c>
      <c r="D254" s="61">
        <v>46097</v>
      </c>
      <c r="E254" s="61">
        <v>46112</v>
      </c>
      <c r="F254" s="5" t="s">
        <v>1297</v>
      </c>
      <c r="G254" s="5" t="s">
        <v>1543</v>
      </c>
      <c r="H254" s="5" t="s">
        <v>1536</v>
      </c>
      <c r="I254" s="60">
        <v>0</v>
      </c>
      <c r="J254" s="5" t="s">
        <v>1425</v>
      </c>
      <c r="K254" s="58">
        <v>0</v>
      </c>
      <c r="L254" s="5" t="s">
        <v>1518</v>
      </c>
      <c r="M254" s="5" t="s">
        <v>1551</v>
      </c>
      <c r="N254" t="str">
        <f>_xlfn.XLOOKUP(A254,Monitoring!A:A,Monitoring!D:D)</f>
        <v>MALLS</v>
      </c>
    </row>
    <row r="255" spans="1:14" x14ac:dyDescent="0.35">
      <c r="A255" s="5">
        <v>10001386</v>
      </c>
      <c r="B255" s="5" t="s">
        <v>1295</v>
      </c>
      <c r="C255" s="5" t="s">
        <v>1318</v>
      </c>
      <c r="D255" s="61">
        <v>46097</v>
      </c>
      <c r="E255" s="61">
        <v>46112</v>
      </c>
      <c r="F255" s="5" t="s">
        <v>1297</v>
      </c>
      <c r="G255" s="5" t="s">
        <v>1543</v>
      </c>
      <c r="H255" s="5" t="s">
        <v>1537</v>
      </c>
      <c r="I255" s="60">
        <v>0</v>
      </c>
      <c r="J255" s="5" t="s">
        <v>1300</v>
      </c>
      <c r="K255" s="58">
        <v>0</v>
      </c>
      <c r="L255" s="5" t="s">
        <v>1518</v>
      </c>
      <c r="M255" s="5" t="s">
        <v>1551</v>
      </c>
      <c r="N255" t="str">
        <f>_xlfn.XLOOKUP(A255,Monitoring!A:A,Monitoring!D:D)</f>
        <v>MALLS</v>
      </c>
    </row>
    <row r="256" spans="1:14" x14ac:dyDescent="0.35">
      <c r="A256" s="5">
        <v>10001387</v>
      </c>
      <c r="B256" s="5" t="s">
        <v>1295</v>
      </c>
      <c r="C256" s="5" t="s">
        <v>1318</v>
      </c>
      <c r="D256" s="61">
        <v>46071</v>
      </c>
      <c r="E256" s="61">
        <v>46081</v>
      </c>
      <c r="F256" s="5" t="s">
        <v>1364</v>
      </c>
      <c r="G256" s="5" t="s">
        <v>1545</v>
      </c>
      <c r="H256" s="5" t="s">
        <v>1216</v>
      </c>
      <c r="I256" s="60">
        <v>0</v>
      </c>
      <c r="J256" s="5" t="s">
        <v>1425</v>
      </c>
      <c r="K256" s="58">
        <v>0</v>
      </c>
      <c r="L256" s="5" t="s">
        <v>993</v>
      </c>
      <c r="M256" s="5" t="s">
        <v>1344</v>
      </c>
      <c r="N256" t="str">
        <f>_xlfn.XLOOKUP(A256,Monitoring!A:A,Monitoring!D:D)</f>
        <v>MALLS</v>
      </c>
    </row>
    <row r="257" spans="1:14" x14ac:dyDescent="0.35">
      <c r="A257" s="5">
        <v>10001387</v>
      </c>
      <c r="B257" s="5" t="s">
        <v>1295</v>
      </c>
      <c r="C257" s="5" t="s">
        <v>1318</v>
      </c>
      <c r="D257" s="61">
        <v>46071</v>
      </c>
      <c r="E257" s="61">
        <v>46081</v>
      </c>
      <c r="F257" s="5" t="s">
        <v>1364</v>
      </c>
      <c r="G257" s="5" t="s">
        <v>1545</v>
      </c>
      <c r="H257" s="5" t="s">
        <v>1217</v>
      </c>
      <c r="I257" s="60">
        <v>0</v>
      </c>
      <c r="J257" s="5" t="s">
        <v>1425</v>
      </c>
      <c r="K257" s="58">
        <v>0</v>
      </c>
      <c r="L257" s="5" t="s">
        <v>993</v>
      </c>
      <c r="M257" s="5" t="s">
        <v>1344</v>
      </c>
      <c r="N257" t="str">
        <f>_xlfn.XLOOKUP(A257,Monitoring!A:A,Monitoring!D:D)</f>
        <v>MALLS</v>
      </c>
    </row>
    <row r="258" spans="1:14" x14ac:dyDescent="0.35">
      <c r="A258" s="5">
        <v>10001387</v>
      </c>
      <c r="B258" s="5" t="s">
        <v>1295</v>
      </c>
      <c r="C258" s="5" t="s">
        <v>1318</v>
      </c>
      <c r="D258" s="61">
        <v>46071</v>
      </c>
      <c r="E258" s="61">
        <v>46081</v>
      </c>
      <c r="F258" s="5" t="s">
        <v>1364</v>
      </c>
      <c r="G258" s="5" t="s">
        <v>1545</v>
      </c>
      <c r="H258" s="5" t="s">
        <v>1220</v>
      </c>
      <c r="I258" s="60">
        <v>0</v>
      </c>
      <c r="J258" s="5" t="s">
        <v>1425</v>
      </c>
      <c r="K258" s="58">
        <v>0</v>
      </c>
      <c r="L258" s="5" t="s">
        <v>993</v>
      </c>
      <c r="M258" s="5" t="s">
        <v>1344</v>
      </c>
      <c r="N258" t="str">
        <f>_xlfn.XLOOKUP(A258,Monitoring!A:A,Monitoring!D:D)</f>
        <v>MALLS</v>
      </c>
    </row>
    <row r="259" spans="1:14" x14ac:dyDescent="0.35">
      <c r="A259" s="5">
        <v>10001387</v>
      </c>
      <c r="B259" s="5" t="s">
        <v>1295</v>
      </c>
      <c r="C259" s="5" t="s">
        <v>1318</v>
      </c>
      <c r="D259" s="61">
        <v>46129</v>
      </c>
      <c r="E259" s="61">
        <v>46142</v>
      </c>
      <c r="F259" s="5" t="s">
        <v>1364</v>
      </c>
      <c r="G259" s="5" t="s">
        <v>1970</v>
      </c>
      <c r="H259" s="5" t="s">
        <v>1971</v>
      </c>
      <c r="I259" s="60">
        <v>0</v>
      </c>
      <c r="J259" s="5" t="s">
        <v>1300</v>
      </c>
      <c r="K259" s="58">
        <v>0</v>
      </c>
      <c r="L259" s="5" t="s">
        <v>993</v>
      </c>
      <c r="M259" s="5" t="s">
        <v>1344</v>
      </c>
      <c r="N259" t="str">
        <f>_xlfn.XLOOKUP(A259,Monitoring!A:A,Monitoring!D:D)</f>
        <v>MALLS</v>
      </c>
    </row>
    <row r="260" spans="1:14" x14ac:dyDescent="0.35">
      <c r="A260" s="5">
        <v>10001387</v>
      </c>
      <c r="B260" s="5" t="s">
        <v>1295</v>
      </c>
      <c r="C260" s="5" t="s">
        <v>1318</v>
      </c>
      <c r="D260" s="61">
        <v>46129</v>
      </c>
      <c r="E260" s="61">
        <v>46142</v>
      </c>
      <c r="F260" s="5" t="s">
        <v>1364</v>
      </c>
      <c r="G260" s="5" t="s">
        <v>1973</v>
      </c>
      <c r="H260" s="5" t="s">
        <v>1974</v>
      </c>
      <c r="I260" s="60">
        <v>0</v>
      </c>
      <c r="J260" s="5" t="s">
        <v>1425</v>
      </c>
      <c r="K260" s="58">
        <v>0</v>
      </c>
      <c r="L260" s="5" t="s">
        <v>993</v>
      </c>
      <c r="M260" s="5" t="s">
        <v>1540</v>
      </c>
      <c r="N260" t="str">
        <f>_xlfn.XLOOKUP(A260,Monitoring!A:A,Monitoring!D:D)</f>
        <v>MALLS</v>
      </c>
    </row>
    <row r="261" spans="1:14" x14ac:dyDescent="0.35">
      <c r="A261" s="5">
        <v>10001387</v>
      </c>
      <c r="B261" s="5" t="s">
        <v>1295</v>
      </c>
      <c r="C261" s="5" t="s">
        <v>1318</v>
      </c>
      <c r="D261" s="61">
        <v>46129</v>
      </c>
      <c r="E261" s="61">
        <v>46142</v>
      </c>
      <c r="F261" s="5" t="s">
        <v>1364</v>
      </c>
      <c r="G261" s="5" t="s">
        <v>1973</v>
      </c>
      <c r="H261" s="5" t="s">
        <v>1975</v>
      </c>
      <c r="I261" s="60">
        <v>0</v>
      </c>
      <c r="J261" s="5" t="s">
        <v>1425</v>
      </c>
      <c r="K261" s="58">
        <v>0</v>
      </c>
      <c r="L261" s="5" t="s">
        <v>993</v>
      </c>
      <c r="M261" s="5" t="s">
        <v>1540</v>
      </c>
      <c r="N261" t="str">
        <f>_xlfn.XLOOKUP(A261,Monitoring!A:A,Monitoring!D:D)</f>
        <v>MALLS</v>
      </c>
    </row>
    <row r="262" spans="1:14" x14ac:dyDescent="0.35">
      <c r="A262" s="5">
        <v>10001387</v>
      </c>
      <c r="B262" s="5" t="s">
        <v>1295</v>
      </c>
      <c r="C262" s="5" t="s">
        <v>1318</v>
      </c>
      <c r="D262" s="61">
        <v>46129</v>
      </c>
      <c r="E262" s="61">
        <v>46142</v>
      </c>
      <c r="F262" s="5" t="s">
        <v>1364</v>
      </c>
      <c r="G262" s="5" t="s">
        <v>1973</v>
      </c>
      <c r="H262" s="5" t="s">
        <v>1976</v>
      </c>
      <c r="I262" s="60">
        <v>0</v>
      </c>
      <c r="J262" s="5" t="s">
        <v>1300</v>
      </c>
      <c r="K262" s="58">
        <v>0</v>
      </c>
      <c r="L262" s="5" t="s">
        <v>993</v>
      </c>
      <c r="M262" s="5" t="s">
        <v>1540</v>
      </c>
      <c r="N262" t="str">
        <f>_xlfn.XLOOKUP(A262,Monitoring!A:A,Monitoring!D:D)</f>
        <v>MALLS</v>
      </c>
    </row>
    <row r="263" spans="1:14" x14ac:dyDescent="0.35">
      <c r="A263" s="5">
        <v>10001387</v>
      </c>
      <c r="B263" s="5" t="s">
        <v>1295</v>
      </c>
      <c r="C263" s="5" t="s">
        <v>1318</v>
      </c>
      <c r="D263" s="61">
        <v>46140</v>
      </c>
      <c r="E263" s="61">
        <v>46142</v>
      </c>
      <c r="F263" s="5" t="s">
        <v>1364</v>
      </c>
      <c r="G263" s="5" t="s">
        <v>2087</v>
      </c>
      <c r="H263" s="5" t="s">
        <v>1216</v>
      </c>
      <c r="I263" s="60">
        <v>0</v>
      </c>
      <c r="J263" s="5" t="s">
        <v>1425</v>
      </c>
      <c r="K263" s="58">
        <v>0</v>
      </c>
      <c r="L263" s="5" t="s">
        <v>993</v>
      </c>
      <c r="M263" s="5" t="s">
        <v>1344</v>
      </c>
      <c r="N263" t="str">
        <f>_xlfn.XLOOKUP(A263,Monitoring!A:A,Monitoring!D:D)</f>
        <v>MALLS</v>
      </c>
    </row>
    <row r="264" spans="1:14" x14ac:dyDescent="0.35">
      <c r="A264" s="5">
        <v>10001387</v>
      </c>
      <c r="B264" s="5" t="s">
        <v>1295</v>
      </c>
      <c r="C264" s="5" t="s">
        <v>1318</v>
      </c>
      <c r="D264" s="61">
        <v>46140</v>
      </c>
      <c r="E264" s="61">
        <v>46142</v>
      </c>
      <c r="F264" s="5" t="s">
        <v>1364</v>
      </c>
      <c r="G264" s="5" t="s">
        <v>2087</v>
      </c>
      <c r="H264" s="5" t="s">
        <v>1217</v>
      </c>
      <c r="I264" s="60">
        <v>0</v>
      </c>
      <c r="J264" s="5" t="s">
        <v>1425</v>
      </c>
      <c r="K264" s="58">
        <v>0</v>
      </c>
      <c r="L264" s="5" t="s">
        <v>993</v>
      </c>
      <c r="M264" s="5" t="s">
        <v>1344</v>
      </c>
      <c r="N264" t="str">
        <f>_xlfn.XLOOKUP(A264,Monitoring!A:A,Monitoring!D:D)</f>
        <v>MALLS</v>
      </c>
    </row>
    <row r="265" spans="1:14" x14ac:dyDescent="0.35">
      <c r="A265" s="5">
        <v>10001387</v>
      </c>
      <c r="B265" s="5" t="s">
        <v>1295</v>
      </c>
      <c r="C265" s="5" t="s">
        <v>1318</v>
      </c>
      <c r="D265" s="61">
        <v>46247</v>
      </c>
      <c r="E265" s="61">
        <v>46265</v>
      </c>
      <c r="F265" s="5" t="s">
        <v>1364</v>
      </c>
      <c r="G265" s="5" t="s">
        <v>3115</v>
      </c>
      <c r="H265" s="5" t="s">
        <v>3116</v>
      </c>
      <c r="I265" s="60">
        <v>164</v>
      </c>
      <c r="J265" s="5" t="s">
        <v>1425</v>
      </c>
      <c r="K265" s="58">
        <v>61500</v>
      </c>
      <c r="L265" s="5" t="s">
        <v>993</v>
      </c>
      <c r="M265" s="5" t="s">
        <v>1391</v>
      </c>
      <c r="N265" t="str">
        <f>_xlfn.XLOOKUP(A265,Monitoring!A:A,Monitoring!D:D)</f>
        <v>MALLS</v>
      </c>
    </row>
    <row r="266" spans="1:14" x14ac:dyDescent="0.35">
      <c r="A266" s="5">
        <v>10001387</v>
      </c>
      <c r="B266" s="5" t="s">
        <v>1295</v>
      </c>
      <c r="C266" s="5" t="s">
        <v>1318</v>
      </c>
      <c r="D266" s="61">
        <v>46247</v>
      </c>
      <c r="E266" s="61">
        <v>46265</v>
      </c>
      <c r="F266" s="5" t="s">
        <v>1364</v>
      </c>
      <c r="G266" s="5" t="s">
        <v>3115</v>
      </c>
      <c r="H266" s="5" t="s">
        <v>2061</v>
      </c>
      <c r="I266" s="60">
        <v>1</v>
      </c>
      <c r="J266" s="5" t="s">
        <v>1300</v>
      </c>
      <c r="K266" s="58">
        <v>2678.57</v>
      </c>
      <c r="L266" s="5" t="s">
        <v>993</v>
      </c>
      <c r="M266" s="5" t="s">
        <v>1391</v>
      </c>
      <c r="N266" t="str">
        <f>_xlfn.XLOOKUP(A266,Monitoring!A:A,Monitoring!D:D)</f>
        <v>MALLS</v>
      </c>
    </row>
    <row r="267" spans="1:14" x14ac:dyDescent="0.35">
      <c r="A267" s="5">
        <v>10001387</v>
      </c>
      <c r="B267" s="5" t="s">
        <v>1295</v>
      </c>
      <c r="C267" s="5" t="s">
        <v>1318</v>
      </c>
      <c r="D267" s="61">
        <v>46265</v>
      </c>
      <c r="E267" s="61">
        <v>46295</v>
      </c>
      <c r="F267" s="5" t="s">
        <v>1364</v>
      </c>
      <c r="G267" s="5" t="s">
        <v>3295</v>
      </c>
      <c r="H267" s="5" t="s">
        <v>3296</v>
      </c>
      <c r="I267" s="60">
        <v>184</v>
      </c>
      <c r="J267" s="5" t="s">
        <v>1425</v>
      </c>
      <c r="K267" s="58">
        <v>237928.56</v>
      </c>
      <c r="L267" s="5" t="s">
        <v>993</v>
      </c>
      <c r="M267" s="5" t="s">
        <v>1391</v>
      </c>
      <c r="N267" t="str">
        <f>_xlfn.XLOOKUP(A267,Monitoring!A:A,Monitoring!D:D)</f>
        <v>MALLS</v>
      </c>
    </row>
    <row r="268" spans="1:14" x14ac:dyDescent="0.35">
      <c r="A268" s="5">
        <v>10001387</v>
      </c>
      <c r="B268" s="5" t="s">
        <v>1295</v>
      </c>
      <c r="C268" s="5" t="s">
        <v>1318</v>
      </c>
      <c r="D268" s="61">
        <v>46269</v>
      </c>
      <c r="E268" s="61">
        <v>46295</v>
      </c>
      <c r="F268" s="5" t="s">
        <v>1364</v>
      </c>
      <c r="G268" s="5" t="s">
        <v>3297</v>
      </c>
      <c r="H268" s="5" t="s">
        <v>3298</v>
      </c>
      <c r="I268" s="60">
        <v>20</v>
      </c>
      <c r="J268" s="5" t="s">
        <v>3299</v>
      </c>
      <c r="K268" s="58">
        <v>6785.8</v>
      </c>
      <c r="L268" s="5" t="s">
        <v>993</v>
      </c>
      <c r="M268" s="5" t="s">
        <v>1540</v>
      </c>
      <c r="N268" t="str">
        <f>_xlfn.XLOOKUP(A268,Monitoring!A:A,Monitoring!D:D)</f>
        <v>MALLS</v>
      </c>
    </row>
    <row r="269" spans="1:14" x14ac:dyDescent="0.35">
      <c r="A269" s="5">
        <v>10001387</v>
      </c>
      <c r="B269" s="5" t="s">
        <v>1295</v>
      </c>
      <c r="C269" s="5" t="s">
        <v>1318</v>
      </c>
      <c r="D269" s="61">
        <v>46269</v>
      </c>
      <c r="E269" s="61">
        <v>46295</v>
      </c>
      <c r="F269" s="5" t="s">
        <v>1364</v>
      </c>
      <c r="G269" s="5" t="s">
        <v>3297</v>
      </c>
      <c r="H269" s="5" t="s">
        <v>3300</v>
      </c>
      <c r="I269" s="60">
        <v>20</v>
      </c>
      <c r="J269" s="5" t="s">
        <v>3299</v>
      </c>
      <c r="K269" s="58">
        <v>2500</v>
      </c>
      <c r="L269" s="5" t="s">
        <v>993</v>
      </c>
      <c r="M269" s="5" t="s">
        <v>1540</v>
      </c>
      <c r="N269" t="str">
        <f>_xlfn.XLOOKUP(A269,Monitoring!A:A,Monitoring!D:D)</f>
        <v>MALLS</v>
      </c>
    </row>
    <row r="270" spans="1:14" x14ac:dyDescent="0.35">
      <c r="A270" s="5">
        <v>10001387</v>
      </c>
      <c r="B270" s="5" t="s">
        <v>1295</v>
      </c>
      <c r="C270" s="5" t="s">
        <v>1318</v>
      </c>
      <c r="D270" s="61">
        <v>46269</v>
      </c>
      <c r="E270" s="61">
        <v>46295</v>
      </c>
      <c r="F270" s="5" t="s">
        <v>1364</v>
      </c>
      <c r="G270" s="5" t="s">
        <v>3297</v>
      </c>
      <c r="H270" s="5" t="s">
        <v>3301</v>
      </c>
      <c r="I270" s="60">
        <v>30</v>
      </c>
      <c r="J270" s="5" t="s">
        <v>3299</v>
      </c>
      <c r="K270" s="58">
        <v>1071.3</v>
      </c>
      <c r="L270" s="5" t="s">
        <v>993</v>
      </c>
      <c r="M270" s="5" t="s">
        <v>1540</v>
      </c>
      <c r="N270" t="str">
        <f>_xlfn.XLOOKUP(A270,Monitoring!A:A,Monitoring!D:D)</f>
        <v>MALLS</v>
      </c>
    </row>
    <row r="271" spans="1:14" x14ac:dyDescent="0.35">
      <c r="A271" s="5">
        <v>10001387</v>
      </c>
      <c r="B271" s="5" t="s">
        <v>1295</v>
      </c>
      <c r="C271" s="5" t="s">
        <v>1318</v>
      </c>
      <c r="D271" s="61">
        <v>46269</v>
      </c>
      <c r="E271" s="61">
        <v>46295</v>
      </c>
      <c r="F271" s="5" t="s">
        <v>1364</v>
      </c>
      <c r="G271" s="5" t="s">
        <v>3297</v>
      </c>
      <c r="H271" s="5" t="s">
        <v>3302</v>
      </c>
      <c r="I271" s="60">
        <v>100</v>
      </c>
      <c r="J271" s="5" t="s">
        <v>1425</v>
      </c>
      <c r="K271" s="58">
        <v>5357</v>
      </c>
      <c r="L271" s="5" t="s">
        <v>993</v>
      </c>
      <c r="M271" s="5" t="s">
        <v>1540</v>
      </c>
      <c r="N271" t="str">
        <f>_xlfn.XLOOKUP(A271,Monitoring!A:A,Monitoring!D:D)</f>
        <v>MALLS</v>
      </c>
    </row>
    <row r="272" spans="1:14" x14ac:dyDescent="0.35">
      <c r="A272" s="5">
        <v>10001387</v>
      </c>
      <c r="B272" s="5" t="s">
        <v>1295</v>
      </c>
      <c r="C272" s="5" t="s">
        <v>1318</v>
      </c>
      <c r="D272" s="61">
        <v>46269</v>
      </c>
      <c r="E272" s="61">
        <v>46295</v>
      </c>
      <c r="F272" s="5" t="s">
        <v>1364</v>
      </c>
      <c r="G272" s="5" t="s">
        <v>3297</v>
      </c>
      <c r="H272" s="5" t="s">
        <v>3303</v>
      </c>
      <c r="I272" s="60">
        <v>100</v>
      </c>
      <c r="J272" s="5" t="s">
        <v>1425</v>
      </c>
      <c r="K272" s="58">
        <v>6250</v>
      </c>
      <c r="L272" s="5" t="s">
        <v>993</v>
      </c>
      <c r="M272" s="5" t="s">
        <v>1540</v>
      </c>
      <c r="N272" t="str">
        <f>_xlfn.XLOOKUP(A272,Monitoring!A:A,Monitoring!D:D)</f>
        <v>MALLS</v>
      </c>
    </row>
    <row r="273" spans="1:14" x14ac:dyDescent="0.35">
      <c r="A273" s="5">
        <v>10001387</v>
      </c>
      <c r="B273" s="5" t="s">
        <v>1295</v>
      </c>
      <c r="C273" s="5" t="s">
        <v>1318</v>
      </c>
      <c r="D273" s="61">
        <v>46269</v>
      </c>
      <c r="E273" s="61">
        <v>46295</v>
      </c>
      <c r="F273" s="5" t="s">
        <v>1364</v>
      </c>
      <c r="G273" s="5" t="s">
        <v>3297</v>
      </c>
      <c r="H273" s="5" t="s">
        <v>3304</v>
      </c>
      <c r="I273" s="60">
        <v>500</v>
      </c>
      <c r="J273" s="5" t="s">
        <v>1425</v>
      </c>
      <c r="K273" s="58">
        <v>20090</v>
      </c>
      <c r="L273" s="5" t="s">
        <v>993</v>
      </c>
      <c r="M273" s="5" t="s">
        <v>1540</v>
      </c>
      <c r="N273" t="str">
        <f>_xlfn.XLOOKUP(A273,Monitoring!A:A,Monitoring!D:D)</f>
        <v>MALLS</v>
      </c>
    </row>
    <row r="274" spans="1:14" x14ac:dyDescent="0.35">
      <c r="A274" s="5">
        <v>10001387</v>
      </c>
      <c r="B274" s="5" t="s">
        <v>1295</v>
      </c>
      <c r="C274" s="5" t="s">
        <v>1318</v>
      </c>
      <c r="D274" s="61">
        <v>46269</v>
      </c>
      <c r="E274" s="61">
        <v>46295</v>
      </c>
      <c r="F274" s="5" t="s">
        <v>1364</v>
      </c>
      <c r="G274" s="5" t="s">
        <v>3297</v>
      </c>
      <c r="H274" s="5" t="s">
        <v>3305</v>
      </c>
      <c r="I274" s="60">
        <v>6</v>
      </c>
      <c r="J274" s="5" t="s">
        <v>2414</v>
      </c>
      <c r="K274" s="58">
        <v>49071.42</v>
      </c>
      <c r="L274" s="5" t="s">
        <v>993</v>
      </c>
      <c r="M274" s="5" t="s">
        <v>1540</v>
      </c>
      <c r="N274" t="str">
        <f>_xlfn.XLOOKUP(A274,Monitoring!A:A,Monitoring!D:D)</f>
        <v>MALLS</v>
      </c>
    </row>
    <row r="275" spans="1:14" x14ac:dyDescent="0.35">
      <c r="A275" s="5">
        <v>10001387</v>
      </c>
      <c r="B275" s="5" t="s">
        <v>1295</v>
      </c>
      <c r="C275" s="5" t="s">
        <v>1318</v>
      </c>
      <c r="D275" s="61">
        <v>46269</v>
      </c>
      <c r="E275" s="61">
        <v>46295</v>
      </c>
      <c r="F275" s="5" t="s">
        <v>1364</v>
      </c>
      <c r="G275" s="5" t="s">
        <v>3297</v>
      </c>
      <c r="H275" s="5" t="s">
        <v>3306</v>
      </c>
      <c r="I275" s="60">
        <v>6</v>
      </c>
      <c r="J275" s="5" t="s">
        <v>2414</v>
      </c>
      <c r="K275" s="58">
        <v>26780.34</v>
      </c>
      <c r="L275" s="5" t="s">
        <v>993</v>
      </c>
      <c r="M275" s="5" t="s">
        <v>1540</v>
      </c>
      <c r="N275" t="str">
        <f>_xlfn.XLOOKUP(A275,Monitoring!A:A,Monitoring!D:D)</f>
        <v>MALLS</v>
      </c>
    </row>
    <row r="276" spans="1:14" x14ac:dyDescent="0.35">
      <c r="A276" s="5">
        <v>10001387</v>
      </c>
      <c r="B276" s="5" t="s">
        <v>1295</v>
      </c>
      <c r="C276" s="5" t="s">
        <v>1318</v>
      </c>
      <c r="D276" s="61">
        <v>46269</v>
      </c>
      <c r="E276" s="61">
        <v>46295</v>
      </c>
      <c r="F276" s="5" t="s">
        <v>1364</v>
      </c>
      <c r="G276" s="5" t="s">
        <v>3297</v>
      </c>
      <c r="H276" s="5" t="s">
        <v>3307</v>
      </c>
      <c r="I276" s="60">
        <v>4</v>
      </c>
      <c r="J276" s="5" t="s">
        <v>2414</v>
      </c>
      <c r="K276" s="58">
        <v>49535.72</v>
      </c>
      <c r="L276" s="5" t="s">
        <v>993</v>
      </c>
      <c r="M276" s="5" t="s">
        <v>1540</v>
      </c>
      <c r="N276" t="str">
        <f>_xlfn.XLOOKUP(A276,Monitoring!A:A,Monitoring!D:D)</f>
        <v>MALLS</v>
      </c>
    </row>
    <row r="277" spans="1:14" x14ac:dyDescent="0.35">
      <c r="A277" s="5">
        <v>10001387</v>
      </c>
      <c r="B277" s="5" t="s">
        <v>1295</v>
      </c>
      <c r="C277" s="5" t="s">
        <v>1318</v>
      </c>
      <c r="D277" s="61">
        <v>46073</v>
      </c>
      <c r="E277" s="61">
        <v>46081</v>
      </c>
      <c r="F277" s="5" t="s">
        <v>1297</v>
      </c>
      <c r="G277" s="5" t="s">
        <v>1211</v>
      </c>
      <c r="H277" s="5" t="s">
        <v>1212</v>
      </c>
      <c r="I277" s="60">
        <v>0</v>
      </c>
      <c r="J277" s="5" t="s">
        <v>1425</v>
      </c>
      <c r="K277" s="58">
        <v>0</v>
      </c>
      <c r="L277" s="5" t="s">
        <v>1550</v>
      </c>
      <c r="M277" s="5" t="s">
        <v>1551</v>
      </c>
      <c r="N277" t="str">
        <f>_xlfn.XLOOKUP(A277,Monitoring!A:A,Monitoring!D:D)</f>
        <v>MALLS</v>
      </c>
    </row>
    <row r="278" spans="1:14" x14ac:dyDescent="0.35">
      <c r="A278" s="5">
        <v>10001387</v>
      </c>
      <c r="B278" s="5" t="s">
        <v>1295</v>
      </c>
      <c r="C278" s="5" t="s">
        <v>1318</v>
      </c>
      <c r="D278" s="61">
        <v>46073</v>
      </c>
      <c r="E278" s="61">
        <v>46081</v>
      </c>
      <c r="F278" s="5" t="s">
        <v>1297</v>
      </c>
      <c r="G278" s="5" t="s">
        <v>1211</v>
      </c>
      <c r="H278" s="5" t="s">
        <v>1213</v>
      </c>
      <c r="I278" s="60">
        <v>0</v>
      </c>
      <c r="J278" s="5" t="s">
        <v>1425</v>
      </c>
      <c r="K278" s="58">
        <v>0</v>
      </c>
      <c r="L278" s="5" t="s">
        <v>1550</v>
      </c>
      <c r="M278" s="5" t="s">
        <v>1551</v>
      </c>
      <c r="N278" t="str">
        <f>_xlfn.XLOOKUP(A278,Monitoring!A:A,Monitoring!D:D)</f>
        <v>MALLS</v>
      </c>
    </row>
    <row r="279" spans="1:14" x14ac:dyDescent="0.35">
      <c r="A279" s="5">
        <v>10001387</v>
      </c>
      <c r="B279" s="5" t="s">
        <v>1295</v>
      </c>
      <c r="C279" s="5" t="s">
        <v>1318</v>
      </c>
      <c r="D279" s="61">
        <v>46073</v>
      </c>
      <c r="E279" s="61">
        <v>46081</v>
      </c>
      <c r="F279" s="5" t="s">
        <v>1297</v>
      </c>
      <c r="G279" s="5" t="s">
        <v>1211</v>
      </c>
      <c r="H279" s="5" t="s">
        <v>1214</v>
      </c>
      <c r="I279" s="60">
        <v>0</v>
      </c>
      <c r="J279" s="5" t="s">
        <v>1425</v>
      </c>
      <c r="K279" s="58">
        <v>0</v>
      </c>
      <c r="L279" s="5" t="s">
        <v>1550</v>
      </c>
      <c r="M279" s="5" t="s">
        <v>1551</v>
      </c>
      <c r="N279" t="str">
        <f>_xlfn.XLOOKUP(A279,Monitoring!A:A,Monitoring!D:D)</f>
        <v>MALLS</v>
      </c>
    </row>
    <row r="280" spans="1:14" x14ac:dyDescent="0.35">
      <c r="A280" s="5">
        <v>10001387</v>
      </c>
      <c r="B280" s="5" t="s">
        <v>1295</v>
      </c>
      <c r="C280" s="5" t="s">
        <v>1318</v>
      </c>
      <c r="D280" s="61">
        <v>46086</v>
      </c>
      <c r="E280" s="61">
        <v>46112</v>
      </c>
      <c r="F280" s="5" t="s">
        <v>1297</v>
      </c>
      <c r="G280" s="5" t="s">
        <v>1552</v>
      </c>
      <c r="H280" s="5" t="s">
        <v>1553</v>
      </c>
      <c r="I280" s="60">
        <v>0</v>
      </c>
      <c r="J280" s="5" t="s">
        <v>1549</v>
      </c>
      <c r="K280" s="58">
        <v>0</v>
      </c>
      <c r="L280" s="5" t="s">
        <v>1554</v>
      </c>
      <c r="M280" s="5" t="s">
        <v>1551</v>
      </c>
      <c r="N280" t="str">
        <f>_xlfn.XLOOKUP(A280,Monitoring!A:A,Monitoring!D:D)</f>
        <v>MALLS</v>
      </c>
    </row>
    <row r="281" spans="1:14" x14ac:dyDescent="0.35">
      <c r="A281" s="5">
        <v>10001387</v>
      </c>
      <c r="B281" s="5" t="s">
        <v>1295</v>
      </c>
      <c r="C281" s="5" t="s">
        <v>1318</v>
      </c>
      <c r="D281" s="61">
        <v>46090</v>
      </c>
      <c r="E281" s="61">
        <v>46081</v>
      </c>
      <c r="F281" s="5" t="s">
        <v>1297</v>
      </c>
      <c r="G281" s="5" t="s">
        <v>1215</v>
      </c>
      <c r="H281" s="5" t="s">
        <v>1216</v>
      </c>
      <c r="I281" s="60">
        <v>0</v>
      </c>
      <c r="J281" s="5" t="s">
        <v>1425</v>
      </c>
      <c r="K281" s="58">
        <v>0</v>
      </c>
      <c r="L281" s="5" t="s">
        <v>1550</v>
      </c>
      <c r="M281" s="5" t="s">
        <v>1555</v>
      </c>
      <c r="N281" t="str">
        <f>_xlfn.XLOOKUP(A281,Monitoring!A:A,Monitoring!D:D)</f>
        <v>MALLS</v>
      </c>
    </row>
    <row r="282" spans="1:14" x14ac:dyDescent="0.35">
      <c r="A282" s="5">
        <v>10001387</v>
      </c>
      <c r="B282" s="5" t="s">
        <v>1295</v>
      </c>
      <c r="C282" s="5" t="s">
        <v>1318</v>
      </c>
      <c r="D282" s="61">
        <v>46090</v>
      </c>
      <c r="E282" s="61">
        <v>46081</v>
      </c>
      <c r="F282" s="5" t="s">
        <v>1297</v>
      </c>
      <c r="G282" s="5" t="s">
        <v>1215</v>
      </c>
      <c r="H282" s="5" t="s">
        <v>1217</v>
      </c>
      <c r="I282" s="60">
        <v>0</v>
      </c>
      <c r="J282" s="5" t="s">
        <v>1425</v>
      </c>
      <c r="K282" s="58">
        <v>0</v>
      </c>
      <c r="L282" s="5" t="s">
        <v>1550</v>
      </c>
      <c r="M282" s="5" t="s">
        <v>1555</v>
      </c>
      <c r="N282" t="str">
        <f>_xlfn.XLOOKUP(A282,Monitoring!A:A,Monitoring!D:D)</f>
        <v>MALLS</v>
      </c>
    </row>
    <row r="283" spans="1:14" x14ac:dyDescent="0.35">
      <c r="A283" s="5">
        <v>10001387</v>
      </c>
      <c r="B283" s="5" t="s">
        <v>1295</v>
      </c>
      <c r="C283" s="5" t="s">
        <v>1318</v>
      </c>
      <c r="D283" s="61">
        <v>46090</v>
      </c>
      <c r="E283" s="61">
        <v>46081</v>
      </c>
      <c r="F283" s="5" t="s">
        <v>1297</v>
      </c>
      <c r="G283" s="5" t="s">
        <v>1215</v>
      </c>
      <c r="H283" s="5" t="s">
        <v>1218</v>
      </c>
      <c r="I283" s="60">
        <v>0</v>
      </c>
      <c r="J283" s="5" t="s">
        <v>1425</v>
      </c>
      <c r="K283" s="58">
        <v>0</v>
      </c>
      <c r="L283" s="5" t="s">
        <v>1550</v>
      </c>
      <c r="M283" s="5" t="s">
        <v>1555</v>
      </c>
      <c r="N283" t="str">
        <f>_xlfn.XLOOKUP(A283,Monitoring!A:A,Monitoring!D:D)</f>
        <v>MALLS</v>
      </c>
    </row>
    <row r="284" spans="1:14" x14ac:dyDescent="0.35">
      <c r="A284" s="5">
        <v>10001387</v>
      </c>
      <c r="B284" s="5" t="s">
        <v>1295</v>
      </c>
      <c r="C284" s="5" t="s">
        <v>1318</v>
      </c>
      <c r="D284" s="61">
        <v>46090</v>
      </c>
      <c r="E284" s="61">
        <v>46081</v>
      </c>
      <c r="F284" s="5" t="s">
        <v>1297</v>
      </c>
      <c r="G284" s="5" t="s">
        <v>1215</v>
      </c>
      <c r="H284" s="5" t="s">
        <v>1219</v>
      </c>
      <c r="I284" s="60">
        <v>0</v>
      </c>
      <c r="J284" s="5" t="s">
        <v>1425</v>
      </c>
      <c r="K284" s="58">
        <v>0</v>
      </c>
      <c r="L284" s="5" t="s">
        <v>1550</v>
      </c>
      <c r="M284" s="5" t="s">
        <v>1555</v>
      </c>
      <c r="N284" t="str">
        <f>_xlfn.XLOOKUP(A284,Monitoring!A:A,Monitoring!D:D)</f>
        <v>MALLS</v>
      </c>
    </row>
    <row r="285" spans="1:14" x14ac:dyDescent="0.35">
      <c r="A285" s="5">
        <v>10001387</v>
      </c>
      <c r="B285" s="5" t="s">
        <v>1295</v>
      </c>
      <c r="C285" s="5" t="s">
        <v>1318</v>
      </c>
      <c r="D285" s="61">
        <v>46090</v>
      </c>
      <c r="E285" s="61">
        <v>46081</v>
      </c>
      <c r="F285" s="5" t="s">
        <v>1297</v>
      </c>
      <c r="G285" s="5" t="s">
        <v>1215</v>
      </c>
      <c r="H285" s="5" t="s">
        <v>1220</v>
      </c>
      <c r="I285" s="60">
        <v>0</v>
      </c>
      <c r="J285" s="5" t="s">
        <v>1425</v>
      </c>
      <c r="K285" s="58">
        <v>0</v>
      </c>
      <c r="L285" s="5" t="s">
        <v>1550</v>
      </c>
      <c r="M285" s="5" t="s">
        <v>1555</v>
      </c>
      <c r="N285" t="str">
        <f>_xlfn.XLOOKUP(A285,Monitoring!A:A,Monitoring!D:D)</f>
        <v>MALLS</v>
      </c>
    </row>
    <row r="286" spans="1:14" x14ac:dyDescent="0.35">
      <c r="A286" s="5">
        <v>10001387</v>
      </c>
      <c r="B286" s="5" t="s">
        <v>1295</v>
      </c>
      <c r="C286" s="5" t="s">
        <v>1318</v>
      </c>
      <c r="D286" s="61">
        <v>46140</v>
      </c>
      <c r="E286" s="61">
        <v>46142</v>
      </c>
      <c r="F286" s="5" t="s">
        <v>1297</v>
      </c>
      <c r="G286" s="5" t="s">
        <v>2088</v>
      </c>
      <c r="H286" s="5" t="s">
        <v>2089</v>
      </c>
      <c r="I286" s="60">
        <v>0</v>
      </c>
      <c r="J286" s="5" t="s">
        <v>1300</v>
      </c>
      <c r="K286" s="58">
        <v>0</v>
      </c>
      <c r="L286" s="5" t="s">
        <v>1479</v>
      </c>
      <c r="M286" s="5" t="s">
        <v>1551</v>
      </c>
      <c r="N286" t="str">
        <f>_xlfn.XLOOKUP(A286,Monitoring!A:A,Monitoring!D:D)</f>
        <v>MALLS</v>
      </c>
    </row>
    <row r="287" spans="1:14" x14ac:dyDescent="0.35">
      <c r="A287" s="5">
        <v>10001387</v>
      </c>
      <c r="B287" s="5" t="s">
        <v>1295</v>
      </c>
      <c r="C287" s="5" t="s">
        <v>1318</v>
      </c>
      <c r="D287" s="61">
        <v>46149</v>
      </c>
      <c r="E287" s="61">
        <v>46142</v>
      </c>
      <c r="F287" s="5" t="s">
        <v>1297</v>
      </c>
      <c r="G287" s="5" t="s">
        <v>2187</v>
      </c>
      <c r="H287" s="5" t="s">
        <v>1212</v>
      </c>
      <c r="I287" s="60">
        <v>0</v>
      </c>
      <c r="J287" s="5" t="s">
        <v>1425</v>
      </c>
      <c r="K287" s="58">
        <v>0</v>
      </c>
      <c r="L287" s="5" t="s">
        <v>1550</v>
      </c>
      <c r="M287" s="5" t="s">
        <v>1551</v>
      </c>
      <c r="N287" t="str">
        <f>_xlfn.XLOOKUP(A287,Monitoring!A:A,Monitoring!D:D)</f>
        <v>MALLS</v>
      </c>
    </row>
    <row r="288" spans="1:14" x14ac:dyDescent="0.35">
      <c r="A288" s="5">
        <v>10001387</v>
      </c>
      <c r="B288" s="5" t="s">
        <v>1295</v>
      </c>
      <c r="C288" s="5" t="s">
        <v>1318</v>
      </c>
      <c r="D288" s="61">
        <v>46149</v>
      </c>
      <c r="E288" s="61">
        <v>46142</v>
      </c>
      <c r="F288" s="5" t="s">
        <v>1297</v>
      </c>
      <c r="G288" s="5" t="s">
        <v>2187</v>
      </c>
      <c r="H288" s="5" t="s">
        <v>2189</v>
      </c>
      <c r="I288" s="60">
        <v>0</v>
      </c>
      <c r="J288" s="5" t="s">
        <v>1425</v>
      </c>
      <c r="K288" s="58">
        <v>0</v>
      </c>
      <c r="L288" s="5" t="s">
        <v>1550</v>
      </c>
      <c r="M288" s="5" t="s">
        <v>1551</v>
      </c>
      <c r="N288" t="str">
        <f>_xlfn.XLOOKUP(A288,Monitoring!A:A,Monitoring!D:D)</f>
        <v>MALLS</v>
      </c>
    </row>
    <row r="289" spans="1:14" x14ac:dyDescent="0.35">
      <c r="A289" s="5">
        <v>10001387</v>
      </c>
      <c r="B289" s="5" t="s">
        <v>1295</v>
      </c>
      <c r="C289" s="5" t="s">
        <v>1318</v>
      </c>
      <c r="D289" s="61">
        <v>46072</v>
      </c>
      <c r="E289" s="61">
        <v>46081</v>
      </c>
      <c r="F289" s="5" t="s">
        <v>1364</v>
      </c>
      <c r="G289" s="5" t="s">
        <v>1546</v>
      </c>
      <c r="H289" s="5" t="s">
        <v>1216</v>
      </c>
      <c r="I289" s="60">
        <v>0</v>
      </c>
      <c r="J289" s="5" t="s">
        <v>1425</v>
      </c>
      <c r="K289" s="58">
        <v>0</v>
      </c>
      <c r="L289" s="5" t="s">
        <v>993</v>
      </c>
      <c r="M289" s="5" t="s">
        <v>1344</v>
      </c>
      <c r="N289" t="str">
        <f>_xlfn.XLOOKUP(A289,Monitoring!A:A,Monitoring!D:D)</f>
        <v>MALLS</v>
      </c>
    </row>
    <row r="290" spans="1:14" x14ac:dyDescent="0.35">
      <c r="A290" s="5">
        <v>10001387</v>
      </c>
      <c r="B290" s="5" t="s">
        <v>1295</v>
      </c>
      <c r="C290" s="5" t="s">
        <v>1318</v>
      </c>
      <c r="D290" s="61">
        <v>46072</v>
      </c>
      <c r="E290" s="61">
        <v>46081</v>
      </c>
      <c r="F290" s="5" t="s">
        <v>1364</v>
      </c>
      <c r="G290" s="5" t="s">
        <v>1546</v>
      </c>
      <c r="H290" s="5" t="s">
        <v>1217</v>
      </c>
      <c r="I290" s="60">
        <v>0</v>
      </c>
      <c r="J290" s="5" t="s">
        <v>1425</v>
      </c>
      <c r="K290" s="58">
        <v>0</v>
      </c>
      <c r="L290" s="5" t="s">
        <v>993</v>
      </c>
      <c r="M290" s="5" t="s">
        <v>1344</v>
      </c>
      <c r="N290" t="str">
        <f>_xlfn.XLOOKUP(A290,Monitoring!A:A,Monitoring!D:D)</f>
        <v>MALLS</v>
      </c>
    </row>
    <row r="291" spans="1:14" x14ac:dyDescent="0.35">
      <c r="A291" s="5">
        <v>10001387</v>
      </c>
      <c r="B291" s="5" t="s">
        <v>1295</v>
      </c>
      <c r="C291" s="5" t="s">
        <v>1318</v>
      </c>
      <c r="D291" s="61">
        <v>46072</v>
      </c>
      <c r="E291" s="61">
        <v>46081</v>
      </c>
      <c r="F291" s="5" t="s">
        <v>1364</v>
      </c>
      <c r="G291" s="5" t="s">
        <v>1546</v>
      </c>
      <c r="H291" s="5" t="s">
        <v>1218</v>
      </c>
      <c r="I291" s="60">
        <v>0</v>
      </c>
      <c r="J291" s="5" t="s">
        <v>1425</v>
      </c>
      <c r="K291" s="58">
        <v>0</v>
      </c>
      <c r="L291" s="5" t="s">
        <v>993</v>
      </c>
      <c r="M291" s="5" t="s">
        <v>1344</v>
      </c>
      <c r="N291" t="str">
        <f>_xlfn.XLOOKUP(A291,Monitoring!A:A,Monitoring!D:D)</f>
        <v>MALLS</v>
      </c>
    </row>
    <row r="292" spans="1:14" x14ac:dyDescent="0.35">
      <c r="A292" s="5">
        <v>10001387</v>
      </c>
      <c r="B292" s="5" t="s">
        <v>1295</v>
      </c>
      <c r="C292" s="5" t="s">
        <v>1318</v>
      </c>
      <c r="D292" s="61">
        <v>46072</v>
      </c>
      <c r="E292" s="61">
        <v>46081</v>
      </c>
      <c r="F292" s="5" t="s">
        <v>1364</v>
      </c>
      <c r="G292" s="5" t="s">
        <v>1546</v>
      </c>
      <c r="H292" s="5" t="s">
        <v>1219</v>
      </c>
      <c r="I292" s="60">
        <v>0</v>
      </c>
      <c r="J292" s="5" t="s">
        <v>1425</v>
      </c>
      <c r="K292" s="58">
        <v>0</v>
      </c>
      <c r="L292" s="5" t="s">
        <v>993</v>
      </c>
      <c r="M292" s="5" t="s">
        <v>1344</v>
      </c>
      <c r="N292" t="str">
        <f>_xlfn.XLOOKUP(A292,Monitoring!A:A,Monitoring!D:D)</f>
        <v>MALLS</v>
      </c>
    </row>
    <row r="293" spans="1:14" x14ac:dyDescent="0.35">
      <c r="A293" s="5">
        <v>10001387</v>
      </c>
      <c r="B293" s="5" t="s">
        <v>1295</v>
      </c>
      <c r="C293" s="5" t="s">
        <v>1318</v>
      </c>
      <c r="D293" s="61">
        <v>46072</v>
      </c>
      <c r="E293" s="61">
        <v>46081</v>
      </c>
      <c r="F293" s="5" t="s">
        <v>1364</v>
      </c>
      <c r="G293" s="5" t="s">
        <v>1546</v>
      </c>
      <c r="H293" s="5" t="s">
        <v>1220</v>
      </c>
      <c r="I293" s="60">
        <v>0</v>
      </c>
      <c r="J293" s="5" t="s">
        <v>1425</v>
      </c>
      <c r="K293" s="58">
        <v>0</v>
      </c>
      <c r="L293" s="5" t="s">
        <v>993</v>
      </c>
      <c r="M293" s="5" t="s">
        <v>1344</v>
      </c>
      <c r="N293" t="str">
        <f>_xlfn.XLOOKUP(A293,Monitoring!A:A,Monitoring!D:D)</f>
        <v>MALLS</v>
      </c>
    </row>
    <row r="294" spans="1:14" x14ac:dyDescent="0.35">
      <c r="A294" s="5">
        <v>10001387</v>
      </c>
      <c r="B294" s="5" t="s">
        <v>1295</v>
      </c>
      <c r="C294" s="5" t="s">
        <v>1318</v>
      </c>
      <c r="D294" s="61">
        <v>46083</v>
      </c>
      <c r="E294" s="61">
        <v>46112</v>
      </c>
      <c r="F294" s="5" t="s">
        <v>1364</v>
      </c>
      <c r="G294" s="5" t="s">
        <v>1547</v>
      </c>
      <c r="H294" s="5" t="s">
        <v>1548</v>
      </c>
      <c r="I294" s="60">
        <v>0</v>
      </c>
      <c r="J294" s="5" t="s">
        <v>1549</v>
      </c>
      <c r="K294" s="58">
        <v>0</v>
      </c>
      <c r="L294" s="5" t="s">
        <v>993</v>
      </c>
      <c r="M294" s="5" t="s">
        <v>1344</v>
      </c>
      <c r="N294" t="str">
        <f>_xlfn.XLOOKUP(A294,Monitoring!A:A,Monitoring!D:D)</f>
        <v>MALLS</v>
      </c>
    </row>
    <row r="295" spans="1:14" x14ac:dyDescent="0.35">
      <c r="A295" s="5">
        <v>10001388</v>
      </c>
      <c r="B295" s="5" t="s">
        <v>1295</v>
      </c>
      <c r="C295" s="5" t="s">
        <v>1318</v>
      </c>
      <c r="D295" s="61">
        <v>46126</v>
      </c>
      <c r="E295" s="61">
        <v>46142</v>
      </c>
      <c r="F295" s="5" t="s">
        <v>1364</v>
      </c>
      <c r="G295" s="5" t="s">
        <v>1979</v>
      </c>
      <c r="H295" s="5" t="s">
        <v>1980</v>
      </c>
      <c r="I295" s="60">
        <v>0</v>
      </c>
      <c r="J295" s="5" t="s">
        <v>1300</v>
      </c>
      <c r="K295" s="58">
        <v>0</v>
      </c>
      <c r="L295" s="5" t="s">
        <v>993</v>
      </c>
      <c r="M295" s="5" t="s">
        <v>1344</v>
      </c>
      <c r="N295" t="str">
        <f>_xlfn.XLOOKUP(A295,Monitoring!A:A,Monitoring!D:D)</f>
        <v>MALLS</v>
      </c>
    </row>
    <row r="296" spans="1:14" x14ac:dyDescent="0.35">
      <c r="A296" s="5">
        <v>10001388</v>
      </c>
      <c r="B296" s="5" t="s">
        <v>1295</v>
      </c>
      <c r="C296" s="5" t="s">
        <v>1318</v>
      </c>
      <c r="D296" s="61">
        <v>46127</v>
      </c>
      <c r="E296" s="61">
        <v>46142</v>
      </c>
      <c r="F296" s="5" t="s">
        <v>1364</v>
      </c>
      <c r="G296" s="5" t="s">
        <v>1981</v>
      </c>
      <c r="H296" s="5" t="s">
        <v>1982</v>
      </c>
      <c r="I296" s="60">
        <v>0</v>
      </c>
      <c r="J296" s="5" t="s">
        <v>1300</v>
      </c>
      <c r="K296" s="58">
        <v>0</v>
      </c>
      <c r="L296" s="5" t="s">
        <v>993</v>
      </c>
      <c r="M296" s="5" t="s">
        <v>1344</v>
      </c>
      <c r="N296" t="str">
        <f>_xlfn.XLOOKUP(A296,Monitoring!A:A,Monitoring!D:D)</f>
        <v>MALLS</v>
      </c>
    </row>
    <row r="297" spans="1:14" x14ac:dyDescent="0.35">
      <c r="A297" s="5">
        <v>10001388</v>
      </c>
      <c r="B297" s="5" t="s">
        <v>1295</v>
      </c>
      <c r="C297" s="5" t="s">
        <v>1318</v>
      </c>
      <c r="D297" s="61">
        <v>46127</v>
      </c>
      <c r="E297" s="61">
        <v>46142</v>
      </c>
      <c r="F297" s="5" t="s">
        <v>1364</v>
      </c>
      <c r="G297" s="5" t="s">
        <v>1981</v>
      </c>
      <c r="H297" s="5" t="s">
        <v>1983</v>
      </c>
      <c r="I297" s="60">
        <v>0</v>
      </c>
      <c r="J297" s="5" t="s">
        <v>1300</v>
      </c>
      <c r="K297" s="58">
        <v>0</v>
      </c>
      <c r="L297" s="5" t="s">
        <v>993</v>
      </c>
      <c r="M297" s="5" t="s">
        <v>1344</v>
      </c>
      <c r="N297" t="str">
        <f>_xlfn.XLOOKUP(A297,Monitoring!A:A,Monitoring!D:D)</f>
        <v>MALLS</v>
      </c>
    </row>
    <row r="298" spans="1:14" x14ac:dyDescent="0.35">
      <c r="A298" s="5">
        <v>10001388</v>
      </c>
      <c r="B298" s="5" t="s">
        <v>1295</v>
      </c>
      <c r="C298" s="5" t="s">
        <v>1318</v>
      </c>
      <c r="D298" s="61">
        <v>46127</v>
      </c>
      <c r="E298" s="61">
        <v>46142</v>
      </c>
      <c r="F298" s="5" t="s">
        <v>1364</v>
      </c>
      <c r="G298" s="5" t="s">
        <v>1984</v>
      </c>
      <c r="H298" s="5" t="s">
        <v>1985</v>
      </c>
      <c r="I298" s="60">
        <v>0</v>
      </c>
      <c r="J298" s="5" t="s">
        <v>1300</v>
      </c>
      <c r="K298" s="58">
        <v>0</v>
      </c>
      <c r="L298" s="5" t="s">
        <v>993</v>
      </c>
      <c r="M298" s="5" t="s">
        <v>1344</v>
      </c>
      <c r="N298" t="str">
        <f>_xlfn.XLOOKUP(A298,Monitoring!A:A,Monitoring!D:D)</f>
        <v>MALLS</v>
      </c>
    </row>
    <row r="299" spans="1:14" x14ac:dyDescent="0.35">
      <c r="A299" s="5">
        <v>10001388</v>
      </c>
      <c r="B299" s="5" t="s">
        <v>1295</v>
      </c>
      <c r="C299" s="5" t="s">
        <v>1318</v>
      </c>
      <c r="D299" s="61">
        <v>46127</v>
      </c>
      <c r="E299" s="61">
        <v>46142</v>
      </c>
      <c r="F299" s="5" t="s">
        <v>1364</v>
      </c>
      <c r="G299" s="5" t="s">
        <v>1984</v>
      </c>
      <c r="H299" s="5" t="s">
        <v>1986</v>
      </c>
      <c r="I299" s="60">
        <v>0</v>
      </c>
      <c r="J299" s="5" t="s">
        <v>1300</v>
      </c>
      <c r="K299" s="58">
        <v>0</v>
      </c>
      <c r="L299" s="5" t="s">
        <v>993</v>
      </c>
      <c r="M299" s="5" t="s">
        <v>1344</v>
      </c>
      <c r="N299" t="str">
        <f>_xlfn.XLOOKUP(A299,Monitoring!A:A,Monitoring!D:D)</f>
        <v>MALLS</v>
      </c>
    </row>
    <row r="300" spans="1:14" x14ac:dyDescent="0.35">
      <c r="A300" s="5">
        <v>10001388</v>
      </c>
      <c r="B300" s="5" t="s">
        <v>1295</v>
      </c>
      <c r="C300" s="5" t="s">
        <v>1318</v>
      </c>
      <c r="D300" s="61">
        <v>46127</v>
      </c>
      <c r="E300" s="61">
        <v>46142</v>
      </c>
      <c r="F300" s="5" t="s">
        <v>1364</v>
      </c>
      <c r="G300" s="5" t="s">
        <v>1984</v>
      </c>
      <c r="H300" s="5" t="s">
        <v>1987</v>
      </c>
      <c r="I300" s="60">
        <v>0</v>
      </c>
      <c r="J300" s="5" t="s">
        <v>1300</v>
      </c>
      <c r="K300" s="58">
        <v>0</v>
      </c>
      <c r="L300" s="5" t="s">
        <v>993</v>
      </c>
      <c r="M300" s="5" t="s">
        <v>1344</v>
      </c>
      <c r="N300" t="str">
        <f>_xlfn.XLOOKUP(A300,Monitoring!A:A,Monitoring!D:D)</f>
        <v>MALLS</v>
      </c>
    </row>
    <row r="301" spans="1:14" x14ac:dyDescent="0.35">
      <c r="A301" s="5">
        <v>10001388</v>
      </c>
      <c r="B301" s="5" t="s">
        <v>1295</v>
      </c>
      <c r="C301" s="5" t="s">
        <v>1318</v>
      </c>
      <c r="D301" s="61">
        <v>46140</v>
      </c>
      <c r="E301" s="61">
        <v>46142</v>
      </c>
      <c r="F301" s="5" t="s">
        <v>1364</v>
      </c>
      <c r="G301" s="5" t="s">
        <v>2090</v>
      </c>
      <c r="H301" s="5" t="s">
        <v>2091</v>
      </c>
      <c r="I301" s="60">
        <v>0</v>
      </c>
      <c r="J301" s="5" t="s">
        <v>1300</v>
      </c>
      <c r="K301" s="58">
        <v>0</v>
      </c>
      <c r="L301" s="5" t="s">
        <v>993</v>
      </c>
      <c r="M301" s="5" t="s">
        <v>1344</v>
      </c>
      <c r="N301" t="str">
        <f>_xlfn.XLOOKUP(A301,Monitoring!A:A,Monitoring!D:D)</f>
        <v>MALLS</v>
      </c>
    </row>
    <row r="302" spans="1:14" x14ac:dyDescent="0.35">
      <c r="A302" s="5">
        <v>10001388</v>
      </c>
      <c r="B302" s="5" t="s">
        <v>1295</v>
      </c>
      <c r="C302" s="5" t="s">
        <v>1318</v>
      </c>
      <c r="D302" s="61">
        <v>46140</v>
      </c>
      <c r="E302" s="61">
        <v>46142</v>
      </c>
      <c r="F302" s="5" t="s">
        <v>1364</v>
      </c>
      <c r="G302" s="5" t="s">
        <v>2092</v>
      </c>
      <c r="H302" s="5" t="s">
        <v>2093</v>
      </c>
      <c r="I302" s="60">
        <v>0</v>
      </c>
      <c r="J302" s="5" t="s">
        <v>1425</v>
      </c>
      <c r="K302" s="58">
        <v>0</v>
      </c>
      <c r="L302" s="5" t="s">
        <v>993</v>
      </c>
      <c r="M302" s="5" t="s">
        <v>1344</v>
      </c>
      <c r="N302" t="str">
        <f>_xlfn.XLOOKUP(A302,Monitoring!A:A,Monitoring!D:D)</f>
        <v>MALLS</v>
      </c>
    </row>
    <row r="303" spans="1:14" x14ac:dyDescent="0.35">
      <c r="A303" s="5">
        <v>10001388</v>
      </c>
      <c r="B303" s="5" t="s">
        <v>1295</v>
      </c>
      <c r="C303" s="5" t="s">
        <v>1318</v>
      </c>
      <c r="D303" s="61">
        <v>46140</v>
      </c>
      <c r="E303" s="61">
        <v>46142</v>
      </c>
      <c r="F303" s="5" t="s">
        <v>1364</v>
      </c>
      <c r="G303" s="5" t="s">
        <v>2092</v>
      </c>
      <c r="H303" s="5" t="s">
        <v>2094</v>
      </c>
      <c r="I303" s="60">
        <v>0</v>
      </c>
      <c r="J303" s="5" t="s">
        <v>1425</v>
      </c>
      <c r="K303" s="58">
        <v>0</v>
      </c>
      <c r="L303" s="5" t="s">
        <v>993</v>
      </c>
      <c r="M303" s="5" t="s">
        <v>1344</v>
      </c>
      <c r="N303" t="str">
        <f>_xlfn.XLOOKUP(A303,Monitoring!A:A,Monitoring!D:D)</f>
        <v>MALLS</v>
      </c>
    </row>
    <row r="304" spans="1:14" x14ac:dyDescent="0.35">
      <c r="A304" s="5">
        <v>10001388</v>
      </c>
      <c r="B304" s="5" t="s">
        <v>1295</v>
      </c>
      <c r="C304" s="5" t="s">
        <v>1318</v>
      </c>
      <c r="D304" s="61">
        <v>46140</v>
      </c>
      <c r="E304" s="61">
        <v>46142</v>
      </c>
      <c r="F304" s="5" t="s">
        <v>1364</v>
      </c>
      <c r="G304" s="5" t="s">
        <v>2095</v>
      </c>
      <c r="H304" s="5" t="s">
        <v>2096</v>
      </c>
      <c r="I304" s="60">
        <v>0</v>
      </c>
      <c r="J304" s="5" t="s">
        <v>1300</v>
      </c>
      <c r="K304" s="58">
        <v>0</v>
      </c>
      <c r="L304" s="5" t="s">
        <v>993</v>
      </c>
      <c r="M304" s="5" t="s">
        <v>1344</v>
      </c>
      <c r="N304" t="str">
        <f>_xlfn.XLOOKUP(A304,Monitoring!A:A,Monitoring!D:D)</f>
        <v>MALLS</v>
      </c>
    </row>
    <row r="305" spans="1:14" x14ac:dyDescent="0.35">
      <c r="A305" s="5">
        <v>10001388</v>
      </c>
      <c r="B305" s="5" t="s">
        <v>1295</v>
      </c>
      <c r="C305" s="5" t="s">
        <v>1318</v>
      </c>
      <c r="D305" s="61">
        <v>46234</v>
      </c>
      <c r="E305" s="61">
        <v>46234</v>
      </c>
      <c r="F305" s="5" t="s">
        <v>1364</v>
      </c>
      <c r="G305" s="5" t="s">
        <v>2951</v>
      </c>
      <c r="H305" s="5" t="s">
        <v>2952</v>
      </c>
      <c r="I305" s="60">
        <v>0</v>
      </c>
      <c r="J305" s="5" t="s">
        <v>1300</v>
      </c>
      <c r="K305" s="58">
        <v>0</v>
      </c>
      <c r="L305" s="5" t="s">
        <v>993</v>
      </c>
      <c r="M305" s="5" t="s">
        <v>1344</v>
      </c>
      <c r="N305" t="str">
        <f>_xlfn.XLOOKUP(A305,Monitoring!A:A,Monitoring!D:D)</f>
        <v>MALLS</v>
      </c>
    </row>
    <row r="306" spans="1:14" x14ac:dyDescent="0.35">
      <c r="A306" s="5">
        <v>10001388</v>
      </c>
      <c r="B306" s="5" t="s">
        <v>1295</v>
      </c>
      <c r="C306" s="5" t="s">
        <v>1318</v>
      </c>
      <c r="D306" s="61">
        <v>46248</v>
      </c>
      <c r="E306" s="61">
        <v>46265</v>
      </c>
      <c r="F306" s="5" t="s">
        <v>1364</v>
      </c>
      <c r="G306" s="5" t="s">
        <v>3117</v>
      </c>
      <c r="H306" s="5" t="s">
        <v>2322</v>
      </c>
      <c r="I306" s="60">
        <v>10</v>
      </c>
      <c r="J306" s="5" t="s">
        <v>1425</v>
      </c>
      <c r="K306" s="58">
        <v>47754.400000000001</v>
      </c>
      <c r="L306" s="5" t="s">
        <v>993</v>
      </c>
      <c r="M306" s="5" t="s">
        <v>1391</v>
      </c>
      <c r="N306" t="str">
        <f>_xlfn.XLOOKUP(A306,Monitoring!A:A,Monitoring!D:D)</f>
        <v>MALLS</v>
      </c>
    </row>
    <row r="307" spans="1:14" x14ac:dyDescent="0.35">
      <c r="A307" s="5">
        <v>10001388</v>
      </c>
      <c r="B307" s="5" t="s">
        <v>1295</v>
      </c>
      <c r="C307" s="5" t="s">
        <v>1318</v>
      </c>
      <c r="D307" s="61">
        <v>46248</v>
      </c>
      <c r="E307" s="61">
        <v>46265</v>
      </c>
      <c r="F307" s="5" t="s">
        <v>1364</v>
      </c>
      <c r="G307" s="5" t="s">
        <v>3117</v>
      </c>
      <c r="H307" s="5" t="s">
        <v>2094</v>
      </c>
      <c r="I307" s="60">
        <v>10</v>
      </c>
      <c r="J307" s="5" t="s">
        <v>1425</v>
      </c>
      <c r="K307" s="58">
        <v>129065.9</v>
      </c>
      <c r="L307" s="5" t="s">
        <v>993</v>
      </c>
      <c r="M307" s="5" t="s">
        <v>1391</v>
      </c>
      <c r="N307" t="str">
        <f>_xlfn.XLOOKUP(A307,Monitoring!A:A,Monitoring!D:D)</f>
        <v>MALLS</v>
      </c>
    </row>
    <row r="308" spans="1:14" x14ac:dyDescent="0.35">
      <c r="A308" s="5">
        <v>10001388</v>
      </c>
      <c r="B308" s="5" t="s">
        <v>1295</v>
      </c>
      <c r="C308" s="5" t="s">
        <v>1318</v>
      </c>
      <c r="D308" s="61">
        <v>46248</v>
      </c>
      <c r="E308" s="61">
        <v>46265</v>
      </c>
      <c r="F308" s="5" t="s">
        <v>1364</v>
      </c>
      <c r="G308" s="5" t="s">
        <v>3117</v>
      </c>
      <c r="H308" s="5" t="s">
        <v>3118</v>
      </c>
      <c r="I308" s="60">
        <v>1</v>
      </c>
      <c r="J308" s="5" t="s">
        <v>1300</v>
      </c>
      <c r="K308" s="58">
        <v>34700</v>
      </c>
      <c r="L308" s="5" t="s">
        <v>993</v>
      </c>
      <c r="M308" s="5" t="s">
        <v>1391</v>
      </c>
      <c r="N308" t="str">
        <f>_xlfn.XLOOKUP(A308,Monitoring!A:A,Monitoring!D:D)</f>
        <v>MALLS</v>
      </c>
    </row>
    <row r="309" spans="1:14" x14ac:dyDescent="0.35">
      <c r="A309" s="5">
        <v>10001388</v>
      </c>
      <c r="B309" s="5" t="s">
        <v>1295</v>
      </c>
      <c r="C309" s="5" t="s">
        <v>1318</v>
      </c>
      <c r="D309" s="61">
        <v>46251</v>
      </c>
      <c r="E309" s="61">
        <v>46265</v>
      </c>
      <c r="F309" s="5" t="s">
        <v>1364</v>
      </c>
      <c r="G309" s="5" t="s">
        <v>3119</v>
      </c>
      <c r="H309" s="5" t="s">
        <v>3120</v>
      </c>
      <c r="I309" s="60">
        <v>0</v>
      </c>
      <c r="J309" s="5" t="s">
        <v>1425</v>
      </c>
      <c r="K309" s="58">
        <v>0</v>
      </c>
      <c r="L309" s="5" t="s">
        <v>993</v>
      </c>
      <c r="M309" s="5" t="s">
        <v>1344</v>
      </c>
      <c r="N309" t="str">
        <f>_xlfn.XLOOKUP(A309,Monitoring!A:A,Monitoring!D:D)</f>
        <v>MALLS</v>
      </c>
    </row>
    <row r="310" spans="1:14" x14ac:dyDescent="0.35">
      <c r="A310" s="5">
        <v>10001388</v>
      </c>
      <c r="B310" s="5" t="s">
        <v>1295</v>
      </c>
      <c r="C310" s="5" t="s">
        <v>1318</v>
      </c>
      <c r="D310" s="61">
        <v>46254</v>
      </c>
      <c r="E310" s="61">
        <v>46265</v>
      </c>
      <c r="F310" s="5" t="s">
        <v>1364</v>
      </c>
      <c r="G310" s="5" t="s">
        <v>3308</v>
      </c>
      <c r="H310" s="5" t="s">
        <v>2702</v>
      </c>
      <c r="I310" s="60">
        <v>0</v>
      </c>
      <c r="J310" s="5" t="s">
        <v>1425</v>
      </c>
      <c r="K310" s="58">
        <v>0</v>
      </c>
      <c r="L310" s="5" t="s">
        <v>993</v>
      </c>
      <c r="M310" s="5" t="s">
        <v>1344</v>
      </c>
      <c r="N310" t="str">
        <f>_xlfn.XLOOKUP(A310,Monitoring!A:A,Monitoring!D:D)</f>
        <v>MALLS</v>
      </c>
    </row>
    <row r="311" spans="1:14" x14ac:dyDescent="0.35">
      <c r="A311" s="5">
        <v>10001388</v>
      </c>
      <c r="B311" s="5" t="s">
        <v>1295</v>
      </c>
      <c r="C311" s="5" t="s">
        <v>1318</v>
      </c>
      <c r="D311" s="61">
        <v>46262</v>
      </c>
      <c r="E311" s="61">
        <v>46262</v>
      </c>
      <c r="F311" s="5" t="s">
        <v>1364</v>
      </c>
      <c r="G311" s="5" t="s">
        <v>3309</v>
      </c>
      <c r="H311" s="5" t="s">
        <v>3310</v>
      </c>
      <c r="I311" s="60">
        <v>1</v>
      </c>
      <c r="J311" s="5" t="s">
        <v>1300</v>
      </c>
      <c r="K311" s="58">
        <v>858811.61</v>
      </c>
      <c r="L311" s="5" t="s">
        <v>993</v>
      </c>
      <c r="M311" s="5" t="s">
        <v>1391</v>
      </c>
      <c r="N311" t="str">
        <f>_xlfn.XLOOKUP(A311,Monitoring!A:A,Monitoring!D:D)</f>
        <v>MALLS</v>
      </c>
    </row>
    <row r="312" spans="1:14" x14ac:dyDescent="0.35">
      <c r="A312" s="5">
        <v>10001388</v>
      </c>
      <c r="B312" s="5" t="s">
        <v>1295</v>
      </c>
      <c r="C312" s="5" t="s">
        <v>1318</v>
      </c>
      <c r="D312" s="61">
        <v>46265</v>
      </c>
      <c r="E312" s="61">
        <v>46265</v>
      </c>
      <c r="F312" s="5" t="s">
        <v>1364</v>
      </c>
      <c r="G312" s="5" t="s">
        <v>3311</v>
      </c>
      <c r="H312" s="5" t="s">
        <v>3312</v>
      </c>
      <c r="I312" s="60">
        <v>36</v>
      </c>
      <c r="J312" s="5" t="s">
        <v>1425</v>
      </c>
      <c r="K312" s="58">
        <v>88998.12</v>
      </c>
      <c r="L312" s="5" t="s">
        <v>993</v>
      </c>
      <c r="M312" s="5" t="s">
        <v>1391</v>
      </c>
      <c r="N312" t="str">
        <f>_xlfn.XLOOKUP(A312,Monitoring!A:A,Monitoring!D:D)</f>
        <v>MALLS</v>
      </c>
    </row>
    <row r="313" spans="1:14" x14ac:dyDescent="0.35">
      <c r="A313" s="5">
        <v>10001388</v>
      </c>
      <c r="B313" s="5" t="s">
        <v>1295</v>
      </c>
      <c r="C313" s="5" t="s">
        <v>1318</v>
      </c>
      <c r="D313" s="61">
        <v>46273</v>
      </c>
      <c r="E313" s="61">
        <v>46295</v>
      </c>
      <c r="F313" s="5" t="s">
        <v>1364</v>
      </c>
      <c r="G313" s="5" t="s">
        <v>3313</v>
      </c>
      <c r="H313" s="5" t="s">
        <v>3314</v>
      </c>
      <c r="I313" s="60">
        <v>74</v>
      </c>
      <c r="J313" s="5" t="s">
        <v>1425</v>
      </c>
      <c r="K313" s="58">
        <v>5946.64</v>
      </c>
      <c r="L313" s="5" t="s">
        <v>993</v>
      </c>
      <c r="M313" s="5" t="s">
        <v>1391</v>
      </c>
      <c r="N313" t="str">
        <f>_xlfn.XLOOKUP(A313,Monitoring!A:A,Monitoring!D:D)</f>
        <v>MALLS</v>
      </c>
    </row>
    <row r="314" spans="1:14" x14ac:dyDescent="0.35">
      <c r="A314" s="5">
        <v>10001388</v>
      </c>
      <c r="B314" s="5" t="s">
        <v>1295</v>
      </c>
      <c r="C314" s="5" t="s">
        <v>1318</v>
      </c>
      <c r="D314" s="61">
        <v>46273</v>
      </c>
      <c r="E314" s="61">
        <v>46295</v>
      </c>
      <c r="F314" s="5" t="s">
        <v>1364</v>
      </c>
      <c r="G314" s="5" t="s">
        <v>3313</v>
      </c>
      <c r="H314" s="5" t="s">
        <v>3315</v>
      </c>
      <c r="I314" s="60">
        <v>4</v>
      </c>
      <c r="J314" s="5" t="s">
        <v>3316</v>
      </c>
      <c r="K314" s="58">
        <v>11400</v>
      </c>
      <c r="L314" s="5" t="s">
        <v>993</v>
      </c>
      <c r="M314" s="5" t="s">
        <v>1391</v>
      </c>
      <c r="N314" t="str">
        <f>_xlfn.XLOOKUP(A314,Monitoring!A:A,Monitoring!D:D)</f>
        <v>MALLS</v>
      </c>
    </row>
    <row r="315" spans="1:14" x14ac:dyDescent="0.35">
      <c r="A315" s="5">
        <v>10001388</v>
      </c>
      <c r="B315" s="5" t="s">
        <v>1295</v>
      </c>
      <c r="C315" s="5" t="s">
        <v>1318</v>
      </c>
      <c r="D315" s="61">
        <v>46273</v>
      </c>
      <c r="E315" s="61">
        <v>46295</v>
      </c>
      <c r="F315" s="5" t="s">
        <v>1364</v>
      </c>
      <c r="G315" s="5" t="s">
        <v>3313</v>
      </c>
      <c r="H315" s="5" t="s">
        <v>3317</v>
      </c>
      <c r="I315" s="60">
        <v>35</v>
      </c>
      <c r="J315" s="5" t="s">
        <v>1425</v>
      </c>
      <c r="K315" s="58">
        <v>12250</v>
      </c>
      <c r="L315" s="5" t="s">
        <v>993</v>
      </c>
      <c r="M315" s="5" t="s">
        <v>1391</v>
      </c>
      <c r="N315" t="str">
        <f>_xlfn.XLOOKUP(A315,Monitoring!A:A,Monitoring!D:D)</f>
        <v>MALLS</v>
      </c>
    </row>
    <row r="316" spans="1:14" x14ac:dyDescent="0.35">
      <c r="A316" s="5">
        <v>10001388</v>
      </c>
      <c r="B316" s="5" t="s">
        <v>1295</v>
      </c>
      <c r="C316" s="5" t="s">
        <v>1318</v>
      </c>
      <c r="D316" s="61">
        <v>46273</v>
      </c>
      <c r="E316" s="61">
        <v>46295</v>
      </c>
      <c r="F316" s="5" t="s">
        <v>1364</v>
      </c>
      <c r="G316" s="5" t="s">
        <v>3313</v>
      </c>
      <c r="H316" s="5" t="s">
        <v>3318</v>
      </c>
      <c r="I316" s="60">
        <v>37</v>
      </c>
      <c r="J316" s="5" t="s">
        <v>1425</v>
      </c>
      <c r="K316" s="58">
        <v>7400</v>
      </c>
      <c r="L316" s="5" t="s">
        <v>993</v>
      </c>
      <c r="M316" s="5" t="s">
        <v>1391</v>
      </c>
      <c r="N316" t="str">
        <f>_xlfn.XLOOKUP(A316,Monitoring!A:A,Monitoring!D:D)</f>
        <v>MALLS</v>
      </c>
    </row>
    <row r="317" spans="1:14" x14ac:dyDescent="0.35">
      <c r="A317" s="5">
        <v>10001388</v>
      </c>
      <c r="B317" s="5" t="s">
        <v>1295</v>
      </c>
      <c r="C317" s="5" t="s">
        <v>1318</v>
      </c>
      <c r="D317" s="61">
        <v>46273</v>
      </c>
      <c r="E317" s="61">
        <v>46295</v>
      </c>
      <c r="F317" s="5" t="s">
        <v>1364</v>
      </c>
      <c r="G317" s="5" t="s">
        <v>3313</v>
      </c>
      <c r="H317" s="5" t="s">
        <v>3319</v>
      </c>
      <c r="I317" s="60">
        <v>34</v>
      </c>
      <c r="J317" s="5" t="s">
        <v>1425</v>
      </c>
      <c r="K317" s="58">
        <v>7650</v>
      </c>
      <c r="L317" s="5" t="s">
        <v>993</v>
      </c>
      <c r="M317" s="5" t="s">
        <v>1391</v>
      </c>
      <c r="N317" t="str">
        <f>_xlfn.XLOOKUP(A317,Monitoring!A:A,Monitoring!D:D)</f>
        <v>MALLS</v>
      </c>
    </row>
    <row r="318" spans="1:14" x14ac:dyDescent="0.35">
      <c r="A318" s="5">
        <v>10001388</v>
      </c>
      <c r="B318" s="5" t="s">
        <v>1295</v>
      </c>
      <c r="C318" s="5" t="s">
        <v>1318</v>
      </c>
      <c r="D318" s="61">
        <v>46273</v>
      </c>
      <c r="E318" s="61">
        <v>46295</v>
      </c>
      <c r="F318" s="5" t="s">
        <v>1364</v>
      </c>
      <c r="G318" s="5" t="s">
        <v>3313</v>
      </c>
      <c r="H318" s="5" t="s">
        <v>3320</v>
      </c>
      <c r="I318" s="60">
        <v>105</v>
      </c>
      <c r="J318" s="5" t="s">
        <v>1425</v>
      </c>
      <c r="K318" s="58">
        <v>36750</v>
      </c>
      <c r="L318" s="5" t="s">
        <v>993</v>
      </c>
      <c r="M318" s="5" t="s">
        <v>1391</v>
      </c>
      <c r="N318" t="str">
        <f>_xlfn.XLOOKUP(A318,Monitoring!A:A,Monitoring!D:D)</f>
        <v>MALLS</v>
      </c>
    </row>
    <row r="319" spans="1:14" x14ac:dyDescent="0.35">
      <c r="A319" s="5">
        <v>10001388</v>
      </c>
      <c r="B319" s="5" t="s">
        <v>1295</v>
      </c>
      <c r="C319" s="5" t="s">
        <v>1318</v>
      </c>
      <c r="D319" s="61">
        <v>46273</v>
      </c>
      <c r="E319" s="61">
        <v>46295</v>
      </c>
      <c r="F319" s="5" t="s">
        <v>1364</v>
      </c>
      <c r="G319" s="5" t="s">
        <v>3313</v>
      </c>
      <c r="H319" s="5" t="s">
        <v>3321</v>
      </c>
      <c r="I319" s="60">
        <v>73</v>
      </c>
      <c r="J319" s="5" t="s">
        <v>1425</v>
      </c>
      <c r="K319" s="58">
        <v>4380</v>
      </c>
      <c r="L319" s="5" t="s">
        <v>993</v>
      </c>
      <c r="M319" s="5" t="s">
        <v>1391</v>
      </c>
      <c r="N319" t="str">
        <f>_xlfn.XLOOKUP(A319,Monitoring!A:A,Monitoring!D:D)</f>
        <v>MALLS</v>
      </c>
    </row>
    <row r="320" spans="1:14" x14ac:dyDescent="0.35">
      <c r="A320" s="5">
        <v>10001388</v>
      </c>
      <c r="B320" s="5" t="s">
        <v>1295</v>
      </c>
      <c r="C320" s="5" t="s">
        <v>1318</v>
      </c>
      <c r="D320" s="61">
        <v>46134</v>
      </c>
      <c r="E320" s="61">
        <v>46142</v>
      </c>
      <c r="F320" s="5" t="s">
        <v>1297</v>
      </c>
      <c r="G320" s="5" t="s">
        <v>1988</v>
      </c>
      <c r="H320" s="5" t="s">
        <v>1978</v>
      </c>
      <c r="I320" s="60">
        <v>0</v>
      </c>
      <c r="J320" s="5" t="s">
        <v>1425</v>
      </c>
      <c r="K320" s="58">
        <v>0</v>
      </c>
      <c r="L320" s="5" t="s">
        <v>1989</v>
      </c>
      <c r="M320" s="5" t="s">
        <v>1551</v>
      </c>
      <c r="N320" t="str">
        <f>_xlfn.XLOOKUP(A320,Monitoring!A:A,Monitoring!D:D)</f>
        <v>MALLS</v>
      </c>
    </row>
    <row r="321" spans="1:14" x14ac:dyDescent="0.35">
      <c r="A321" s="5">
        <v>10001388</v>
      </c>
      <c r="B321" s="5" t="s">
        <v>1295</v>
      </c>
      <c r="C321" s="5" t="s">
        <v>1318</v>
      </c>
      <c r="D321" s="61">
        <v>46155</v>
      </c>
      <c r="E321" s="61">
        <v>46142</v>
      </c>
      <c r="F321" s="5" t="s">
        <v>1297</v>
      </c>
      <c r="G321" s="5" t="s">
        <v>2321</v>
      </c>
      <c r="H321" s="5" t="s">
        <v>2322</v>
      </c>
      <c r="I321" s="60">
        <v>0</v>
      </c>
      <c r="J321" s="5" t="s">
        <v>1425</v>
      </c>
      <c r="K321" s="58">
        <v>0</v>
      </c>
      <c r="L321" s="5" t="s">
        <v>2323</v>
      </c>
      <c r="M321" s="5" t="s">
        <v>1551</v>
      </c>
      <c r="N321" t="str">
        <f>_xlfn.XLOOKUP(A321,Monitoring!A:A,Monitoring!D:D)</f>
        <v>MALLS</v>
      </c>
    </row>
    <row r="322" spans="1:14" x14ac:dyDescent="0.35">
      <c r="A322" s="5">
        <v>10001388</v>
      </c>
      <c r="B322" s="5" t="s">
        <v>1295</v>
      </c>
      <c r="C322" s="5" t="s">
        <v>1318</v>
      </c>
      <c r="D322" s="61">
        <v>46155</v>
      </c>
      <c r="E322" s="61">
        <v>46142</v>
      </c>
      <c r="F322" s="5" t="s">
        <v>1297</v>
      </c>
      <c r="G322" s="5" t="s">
        <v>2321</v>
      </c>
      <c r="H322" s="5" t="s">
        <v>2094</v>
      </c>
      <c r="I322" s="60">
        <v>0</v>
      </c>
      <c r="J322" s="5" t="s">
        <v>1425</v>
      </c>
      <c r="K322" s="58">
        <v>0</v>
      </c>
      <c r="L322" s="5" t="s">
        <v>2323</v>
      </c>
      <c r="M322" s="5" t="s">
        <v>1551</v>
      </c>
      <c r="N322" t="str">
        <f>_xlfn.XLOOKUP(A322,Monitoring!A:A,Monitoring!D:D)</f>
        <v>MALLS</v>
      </c>
    </row>
    <row r="323" spans="1:14" x14ac:dyDescent="0.35">
      <c r="A323" s="5">
        <v>10001388</v>
      </c>
      <c r="B323" s="5" t="s">
        <v>1295</v>
      </c>
      <c r="C323" s="5" t="s">
        <v>1318</v>
      </c>
      <c r="D323" s="61">
        <v>46161</v>
      </c>
      <c r="E323" s="61">
        <v>46142</v>
      </c>
      <c r="F323" s="5" t="s">
        <v>1297</v>
      </c>
      <c r="G323" s="5" t="s">
        <v>2324</v>
      </c>
      <c r="H323" s="5" t="s">
        <v>2325</v>
      </c>
      <c r="I323" s="59">
        <v>0.49399999999999999</v>
      </c>
      <c r="J323" s="5" t="s">
        <v>1300</v>
      </c>
      <c r="K323" s="58">
        <v>374910.71</v>
      </c>
      <c r="L323" s="5" t="s">
        <v>2326</v>
      </c>
      <c r="M323" s="5" t="s">
        <v>1540</v>
      </c>
      <c r="N323" t="str">
        <f>_xlfn.XLOOKUP(A323,Monitoring!A:A,Monitoring!D:D)</f>
        <v>MALLS</v>
      </c>
    </row>
    <row r="324" spans="1:14" x14ac:dyDescent="0.35">
      <c r="A324" s="5">
        <v>10001388</v>
      </c>
      <c r="B324" s="5" t="s">
        <v>1295</v>
      </c>
      <c r="C324" s="5" t="s">
        <v>1318</v>
      </c>
      <c r="D324" s="61">
        <v>46170</v>
      </c>
      <c r="E324" s="61">
        <v>46142</v>
      </c>
      <c r="F324" s="5" t="s">
        <v>1297</v>
      </c>
      <c r="G324" s="5" t="s">
        <v>2327</v>
      </c>
      <c r="H324" s="5" t="s">
        <v>2328</v>
      </c>
      <c r="I324" s="60">
        <v>1</v>
      </c>
      <c r="J324" s="5" t="s">
        <v>1300</v>
      </c>
      <c r="K324" s="58">
        <v>156250</v>
      </c>
      <c r="L324" s="5" t="s">
        <v>1527</v>
      </c>
      <c r="M324" s="5" t="s">
        <v>1344</v>
      </c>
      <c r="N324" t="str">
        <f>_xlfn.XLOOKUP(A324,Monitoring!A:A,Monitoring!D:D)</f>
        <v>MALLS</v>
      </c>
    </row>
    <row r="325" spans="1:14" x14ac:dyDescent="0.35">
      <c r="A325" s="5">
        <v>10001388</v>
      </c>
      <c r="B325" s="5" t="s">
        <v>1295</v>
      </c>
      <c r="C325" s="5" t="s">
        <v>1318</v>
      </c>
      <c r="D325" s="61">
        <v>46203</v>
      </c>
      <c r="E325" s="61">
        <v>46142</v>
      </c>
      <c r="F325" s="5" t="s">
        <v>1297</v>
      </c>
      <c r="G325" s="5" t="s">
        <v>2692</v>
      </c>
      <c r="H325" s="5" t="s">
        <v>2693</v>
      </c>
      <c r="I325" s="60">
        <v>1</v>
      </c>
      <c r="J325" s="5" t="s">
        <v>1300</v>
      </c>
      <c r="K325" s="58">
        <v>107142.86</v>
      </c>
      <c r="L325" s="5" t="s">
        <v>2694</v>
      </c>
      <c r="M325" s="5" t="s">
        <v>1551</v>
      </c>
      <c r="N325" t="str">
        <f>_xlfn.XLOOKUP(A325,Monitoring!A:A,Monitoring!D:D)</f>
        <v>MALLS</v>
      </c>
    </row>
    <row r="326" spans="1:14" x14ac:dyDescent="0.35">
      <c r="A326" s="5">
        <v>10001388</v>
      </c>
      <c r="B326" s="5" t="s">
        <v>1295</v>
      </c>
      <c r="C326" s="5" t="s">
        <v>1318</v>
      </c>
      <c r="D326" s="61">
        <v>46203</v>
      </c>
      <c r="E326" s="61">
        <v>46142</v>
      </c>
      <c r="F326" s="5" t="s">
        <v>1297</v>
      </c>
      <c r="G326" s="5" t="s">
        <v>2692</v>
      </c>
      <c r="H326" s="5" t="s">
        <v>1983</v>
      </c>
      <c r="I326" s="60">
        <v>1</v>
      </c>
      <c r="J326" s="5" t="s">
        <v>1300</v>
      </c>
      <c r="K326" s="58">
        <v>10714.29</v>
      </c>
      <c r="L326" s="5" t="s">
        <v>2694</v>
      </c>
      <c r="M326" s="5" t="s">
        <v>1551</v>
      </c>
      <c r="N326" t="str">
        <f>_xlfn.XLOOKUP(A326,Monitoring!A:A,Monitoring!D:D)</f>
        <v>MALLS</v>
      </c>
    </row>
    <row r="327" spans="1:14" x14ac:dyDescent="0.35">
      <c r="A327" s="5">
        <v>10001388</v>
      </c>
      <c r="B327" s="5" t="s">
        <v>1295</v>
      </c>
      <c r="C327" s="5" t="s">
        <v>1318</v>
      </c>
      <c r="D327" s="61">
        <v>46204</v>
      </c>
      <c r="E327" s="61">
        <v>46203</v>
      </c>
      <c r="F327" s="5" t="s">
        <v>1297</v>
      </c>
      <c r="G327" s="5" t="s">
        <v>2695</v>
      </c>
      <c r="H327" s="5" t="s">
        <v>2696</v>
      </c>
      <c r="I327" s="60">
        <v>1</v>
      </c>
      <c r="J327" s="5" t="s">
        <v>1300</v>
      </c>
      <c r="K327" s="58">
        <v>36688.339999999997</v>
      </c>
      <c r="L327" s="5" t="s">
        <v>2323</v>
      </c>
      <c r="M327" s="5" t="s">
        <v>1344</v>
      </c>
      <c r="N327" t="str">
        <f>_xlfn.XLOOKUP(A327,Monitoring!A:A,Monitoring!D:D)</f>
        <v>MALLS</v>
      </c>
    </row>
    <row r="328" spans="1:14" x14ac:dyDescent="0.35">
      <c r="A328" s="5">
        <v>10001388</v>
      </c>
      <c r="B328" s="5" t="s">
        <v>1295</v>
      </c>
      <c r="C328" s="5" t="s">
        <v>1318</v>
      </c>
      <c r="D328" s="61">
        <v>46210</v>
      </c>
      <c r="E328" s="61">
        <v>46142</v>
      </c>
      <c r="F328" s="5" t="s">
        <v>1297</v>
      </c>
      <c r="G328" s="5" t="s">
        <v>2697</v>
      </c>
      <c r="H328" s="5" t="s">
        <v>2698</v>
      </c>
      <c r="I328" s="60">
        <v>1</v>
      </c>
      <c r="J328" s="5" t="s">
        <v>1300</v>
      </c>
      <c r="K328" s="58">
        <v>10714.29</v>
      </c>
      <c r="L328" s="5" t="s">
        <v>2694</v>
      </c>
      <c r="M328" s="5" t="s">
        <v>1551</v>
      </c>
      <c r="N328" t="str">
        <f>_xlfn.XLOOKUP(A328,Monitoring!A:A,Monitoring!D:D)</f>
        <v>MALLS</v>
      </c>
    </row>
    <row r="329" spans="1:14" x14ac:dyDescent="0.35">
      <c r="A329" s="5">
        <v>10001388</v>
      </c>
      <c r="B329" s="5" t="s">
        <v>1295</v>
      </c>
      <c r="C329" s="5" t="s">
        <v>1318</v>
      </c>
      <c r="D329" s="61">
        <v>46210</v>
      </c>
      <c r="E329" s="61">
        <v>46142</v>
      </c>
      <c r="F329" s="5" t="s">
        <v>1297</v>
      </c>
      <c r="G329" s="5" t="s">
        <v>2697</v>
      </c>
      <c r="H329" s="5" t="s">
        <v>2699</v>
      </c>
      <c r="I329" s="60">
        <v>1</v>
      </c>
      <c r="J329" s="5" t="s">
        <v>1300</v>
      </c>
      <c r="K329" s="58">
        <v>13392.86</v>
      </c>
      <c r="L329" s="5" t="s">
        <v>2694</v>
      </c>
      <c r="M329" s="5" t="s">
        <v>1551</v>
      </c>
      <c r="N329" t="str">
        <f>_xlfn.XLOOKUP(A329,Monitoring!A:A,Monitoring!D:D)</f>
        <v>MALLS</v>
      </c>
    </row>
    <row r="330" spans="1:14" x14ac:dyDescent="0.35">
      <c r="A330" s="5">
        <v>10001388</v>
      </c>
      <c r="B330" s="5" t="s">
        <v>1295</v>
      </c>
      <c r="C330" s="5" t="s">
        <v>1318</v>
      </c>
      <c r="D330" s="61">
        <v>46210</v>
      </c>
      <c r="E330" s="61">
        <v>46142</v>
      </c>
      <c r="F330" s="5" t="s">
        <v>1297</v>
      </c>
      <c r="G330" s="5" t="s">
        <v>2697</v>
      </c>
      <c r="H330" s="5" t="s">
        <v>2700</v>
      </c>
      <c r="I330" s="60">
        <v>1</v>
      </c>
      <c r="J330" s="5" t="s">
        <v>1300</v>
      </c>
      <c r="K330" s="58">
        <v>21428.57</v>
      </c>
      <c r="L330" s="5" t="s">
        <v>2694</v>
      </c>
      <c r="M330" s="5" t="s">
        <v>1551</v>
      </c>
      <c r="N330" t="str">
        <f>_xlfn.XLOOKUP(A330,Monitoring!A:A,Monitoring!D:D)</f>
        <v>MALLS</v>
      </c>
    </row>
    <row r="331" spans="1:14" x14ac:dyDescent="0.35">
      <c r="A331" s="5">
        <v>10001388</v>
      </c>
      <c r="B331" s="5" t="s">
        <v>1295</v>
      </c>
      <c r="C331" s="5" t="s">
        <v>1318</v>
      </c>
      <c r="D331" s="61">
        <v>46258</v>
      </c>
      <c r="E331" s="61">
        <v>46265</v>
      </c>
      <c r="F331" s="5" t="s">
        <v>1297</v>
      </c>
      <c r="G331" s="5" t="s">
        <v>3322</v>
      </c>
      <c r="H331" s="5" t="s">
        <v>2962</v>
      </c>
      <c r="I331" s="60">
        <v>20</v>
      </c>
      <c r="J331" s="5" t="s">
        <v>1425</v>
      </c>
      <c r="K331" s="58">
        <v>52678.57</v>
      </c>
      <c r="L331" s="5" t="s">
        <v>1989</v>
      </c>
      <c r="M331" s="5" t="s">
        <v>1344</v>
      </c>
      <c r="N331" t="str">
        <f>_xlfn.XLOOKUP(A331,Monitoring!A:A,Monitoring!D:D)</f>
        <v>MALLS</v>
      </c>
    </row>
    <row r="332" spans="1:14" x14ac:dyDescent="0.35">
      <c r="A332" s="5">
        <v>10001388</v>
      </c>
      <c r="B332" s="5" t="s">
        <v>1295</v>
      </c>
      <c r="C332" s="5" t="s">
        <v>1318</v>
      </c>
      <c r="D332" s="61">
        <v>46258</v>
      </c>
      <c r="E332" s="61">
        <v>46265</v>
      </c>
      <c r="F332" s="5" t="s">
        <v>1297</v>
      </c>
      <c r="G332" s="5" t="s">
        <v>3323</v>
      </c>
      <c r="H332" s="5" t="s">
        <v>2961</v>
      </c>
      <c r="I332" s="60">
        <v>15</v>
      </c>
      <c r="J332" s="5" t="s">
        <v>1425</v>
      </c>
      <c r="K332" s="58">
        <v>128839.29</v>
      </c>
      <c r="L332" s="5" t="s">
        <v>1989</v>
      </c>
      <c r="M332" s="5" t="s">
        <v>1344</v>
      </c>
      <c r="N332" t="str">
        <f>_xlfn.XLOOKUP(A332,Monitoring!A:A,Monitoring!D:D)</f>
        <v>MALLS</v>
      </c>
    </row>
    <row r="333" spans="1:14" x14ac:dyDescent="0.35">
      <c r="A333" s="5">
        <v>10001388</v>
      </c>
      <c r="B333" s="5" t="s">
        <v>1295</v>
      </c>
      <c r="C333" s="5" t="s">
        <v>1318</v>
      </c>
      <c r="D333" s="61">
        <v>46260</v>
      </c>
      <c r="E333" s="61">
        <v>46265</v>
      </c>
      <c r="F333" s="5" t="s">
        <v>1297</v>
      </c>
      <c r="G333" s="5" t="s">
        <v>3324</v>
      </c>
      <c r="H333" s="5" t="s">
        <v>2702</v>
      </c>
      <c r="I333" s="60">
        <v>400</v>
      </c>
      <c r="J333" s="5" t="s">
        <v>1425</v>
      </c>
      <c r="K333" s="58">
        <v>357142.86</v>
      </c>
      <c r="L333" s="5" t="s">
        <v>1466</v>
      </c>
      <c r="M333" s="5" t="s">
        <v>1344</v>
      </c>
      <c r="N333" t="str">
        <f>_xlfn.XLOOKUP(A333,Monitoring!A:A,Monitoring!D:D)</f>
        <v>MALLS</v>
      </c>
    </row>
    <row r="334" spans="1:14" x14ac:dyDescent="0.35">
      <c r="A334" s="5">
        <v>10001388</v>
      </c>
      <c r="B334" s="5" t="s">
        <v>1295</v>
      </c>
      <c r="C334" s="5" t="s">
        <v>1318</v>
      </c>
      <c r="D334" s="61">
        <v>46266</v>
      </c>
      <c r="E334" s="61">
        <v>46265</v>
      </c>
      <c r="F334" s="5" t="s">
        <v>1297</v>
      </c>
      <c r="G334" s="5" t="s">
        <v>3325</v>
      </c>
      <c r="H334" s="5" t="s">
        <v>3326</v>
      </c>
      <c r="I334" s="60">
        <v>15</v>
      </c>
      <c r="J334" s="5" t="s">
        <v>1380</v>
      </c>
      <c r="K334" s="58">
        <v>318000</v>
      </c>
      <c r="L334" s="5" t="s">
        <v>2498</v>
      </c>
      <c r="M334" s="5" t="s">
        <v>1344</v>
      </c>
      <c r="N334" t="str">
        <f>_xlfn.XLOOKUP(A334,Monitoring!A:A,Monitoring!D:D)</f>
        <v>MALLS</v>
      </c>
    </row>
    <row r="335" spans="1:14" x14ac:dyDescent="0.35">
      <c r="A335" s="5">
        <v>10001388</v>
      </c>
      <c r="B335" s="5" t="s">
        <v>1295</v>
      </c>
      <c r="C335" s="5" t="s">
        <v>1318</v>
      </c>
      <c r="D335" s="61">
        <v>46266</v>
      </c>
      <c r="E335" s="61">
        <v>46265</v>
      </c>
      <c r="F335" s="5" t="s">
        <v>1297</v>
      </c>
      <c r="G335" s="5" t="s">
        <v>3325</v>
      </c>
      <c r="H335" s="5" t="s">
        <v>2985</v>
      </c>
      <c r="I335" s="60">
        <v>1</v>
      </c>
      <c r="J335" s="5" t="s">
        <v>1300</v>
      </c>
      <c r="K335" s="58">
        <v>20000</v>
      </c>
      <c r="L335" s="5" t="s">
        <v>2498</v>
      </c>
      <c r="M335" s="5" t="s">
        <v>1344</v>
      </c>
      <c r="N335" t="str">
        <f>_xlfn.XLOOKUP(A335,Monitoring!A:A,Monitoring!D:D)</f>
        <v>MALLS</v>
      </c>
    </row>
    <row r="336" spans="1:14" x14ac:dyDescent="0.35">
      <c r="A336" s="5">
        <v>10001388</v>
      </c>
      <c r="B336" s="5" t="s">
        <v>1295</v>
      </c>
      <c r="C336" s="5" t="s">
        <v>1318</v>
      </c>
      <c r="D336" s="61">
        <v>46122</v>
      </c>
      <c r="E336" s="61">
        <v>46142</v>
      </c>
      <c r="F336" s="5" t="s">
        <v>1364</v>
      </c>
      <c r="G336" s="5" t="s">
        <v>1977</v>
      </c>
      <c r="H336" s="5" t="s">
        <v>1978</v>
      </c>
      <c r="I336" s="60">
        <v>0</v>
      </c>
      <c r="J336" s="5" t="s">
        <v>1425</v>
      </c>
      <c r="K336" s="58">
        <v>0</v>
      </c>
      <c r="L336" s="5" t="s">
        <v>993</v>
      </c>
      <c r="M336" s="5" t="s">
        <v>1344</v>
      </c>
      <c r="N336" t="str">
        <f>_xlfn.XLOOKUP(A336,Monitoring!A:A,Monitoring!D:D)</f>
        <v>MALLS</v>
      </c>
    </row>
    <row r="337" spans="1:14" x14ac:dyDescent="0.35">
      <c r="A337" s="5">
        <v>10001388</v>
      </c>
      <c r="B337" s="5" t="s">
        <v>1295</v>
      </c>
      <c r="C337" s="5" t="s">
        <v>1318</v>
      </c>
      <c r="D337" s="61">
        <v>46169</v>
      </c>
      <c r="E337" s="61">
        <v>46173</v>
      </c>
      <c r="F337" s="5" t="s">
        <v>1364</v>
      </c>
      <c r="G337" s="5" t="s">
        <v>2314</v>
      </c>
      <c r="H337" s="5" t="s">
        <v>2315</v>
      </c>
      <c r="I337" s="60">
        <v>0</v>
      </c>
      <c r="J337" s="5" t="s">
        <v>1425</v>
      </c>
      <c r="K337" s="58">
        <v>0</v>
      </c>
      <c r="L337" s="5" t="s">
        <v>993</v>
      </c>
      <c r="M337" s="5" t="s">
        <v>1344</v>
      </c>
      <c r="N337" t="str">
        <f>_xlfn.XLOOKUP(A337,Monitoring!A:A,Monitoring!D:D)</f>
        <v>MALLS</v>
      </c>
    </row>
    <row r="338" spans="1:14" x14ac:dyDescent="0.35">
      <c r="A338" s="5">
        <v>10001388</v>
      </c>
      <c r="B338" s="5" t="s">
        <v>1295</v>
      </c>
      <c r="C338" s="5" t="s">
        <v>1318</v>
      </c>
      <c r="D338" s="61">
        <v>46169</v>
      </c>
      <c r="E338" s="61">
        <v>46173</v>
      </c>
      <c r="F338" s="5" t="s">
        <v>1364</v>
      </c>
      <c r="G338" s="5" t="s">
        <v>2314</v>
      </c>
      <c r="H338" s="5" t="s">
        <v>2316</v>
      </c>
      <c r="I338" s="60">
        <v>0</v>
      </c>
      <c r="J338" s="5" t="s">
        <v>1425</v>
      </c>
      <c r="K338" s="58">
        <v>0</v>
      </c>
      <c r="L338" s="5" t="s">
        <v>993</v>
      </c>
      <c r="M338" s="5" t="s">
        <v>1344</v>
      </c>
      <c r="N338" t="str">
        <f>_xlfn.XLOOKUP(A338,Monitoring!A:A,Monitoring!D:D)</f>
        <v>MALLS</v>
      </c>
    </row>
    <row r="339" spans="1:14" x14ac:dyDescent="0.35">
      <c r="A339" s="5">
        <v>10001388</v>
      </c>
      <c r="B339" s="5" t="s">
        <v>1295</v>
      </c>
      <c r="C339" s="5" t="s">
        <v>1318</v>
      </c>
      <c r="D339" s="61">
        <v>46169</v>
      </c>
      <c r="E339" s="61">
        <v>46173</v>
      </c>
      <c r="F339" s="5" t="s">
        <v>1364</v>
      </c>
      <c r="G339" s="5" t="s">
        <v>2317</v>
      </c>
      <c r="H339" s="5" t="s">
        <v>2318</v>
      </c>
      <c r="I339" s="60">
        <v>0</v>
      </c>
      <c r="J339" s="5" t="s">
        <v>1425</v>
      </c>
      <c r="K339" s="58">
        <v>0</v>
      </c>
      <c r="L339" s="5" t="s">
        <v>993</v>
      </c>
      <c r="M339" s="5" t="s">
        <v>1344</v>
      </c>
      <c r="N339" t="str">
        <f>_xlfn.XLOOKUP(A339,Monitoring!A:A,Monitoring!D:D)</f>
        <v>MALLS</v>
      </c>
    </row>
    <row r="340" spans="1:14" x14ac:dyDescent="0.35">
      <c r="A340" s="5">
        <v>10001388</v>
      </c>
      <c r="B340" s="5" t="s">
        <v>1295</v>
      </c>
      <c r="C340" s="5" t="s">
        <v>1318</v>
      </c>
      <c r="D340" s="61">
        <v>46169</v>
      </c>
      <c r="E340" s="61">
        <v>46173</v>
      </c>
      <c r="F340" s="5" t="s">
        <v>1364</v>
      </c>
      <c r="G340" s="5" t="s">
        <v>2317</v>
      </c>
      <c r="H340" s="5" t="s">
        <v>2319</v>
      </c>
      <c r="I340" s="60">
        <v>0</v>
      </c>
      <c r="J340" s="5" t="s">
        <v>1425</v>
      </c>
      <c r="K340" s="58">
        <v>0</v>
      </c>
      <c r="L340" s="5" t="s">
        <v>993</v>
      </c>
      <c r="M340" s="5" t="s">
        <v>1344</v>
      </c>
      <c r="N340" t="str">
        <f>_xlfn.XLOOKUP(A340,Monitoring!A:A,Monitoring!D:D)</f>
        <v>MALLS</v>
      </c>
    </row>
    <row r="341" spans="1:14" x14ac:dyDescent="0.35">
      <c r="A341" s="5">
        <v>10001388</v>
      </c>
      <c r="B341" s="5" t="s">
        <v>1295</v>
      </c>
      <c r="C341" s="5" t="s">
        <v>1318</v>
      </c>
      <c r="D341" s="61">
        <v>46169</v>
      </c>
      <c r="E341" s="61">
        <v>46173</v>
      </c>
      <c r="F341" s="5" t="s">
        <v>1364</v>
      </c>
      <c r="G341" s="5" t="s">
        <v>2317</v>
      </c>
      <c r="H341" s="5" t="s">
        <v>2320</v>
      </c>
      <c r="I341" s="60">
        <v>0</v>
      </c>
      <c r="J341" s="5" t="s">
        <v>1425</v>
      </c>
      <c r="K341" s="58">
        <v>0</v>
      </c>
      <c r="L341" s="5" t="s">
        <v>993</v>
      </c>
      <c r="M341" s="5" t="s">
        <v>1344</v>
      </c>
      <c r="N341" t="str">
        <f>_xlfn.XLOOKUP(A341,Monitoring!A:A,Monitoring!D:D)</f>
        <v>MALLS</v>
      </c>
    </row>
    <row r="342" spans="1:14" x14ac:dyDescent="0.35">
      <c r="A342" s="5">
        <v>10001388</v>
      </c>
      <c r="B342" s="5" t="s">
        <v>1295</v>
      </c>
      <c r="C342" s="5" t="s">
        <v>1318</v>
      </c>
      <c r="D342" s="61">
        <v>46191</v>
      </c>
      <c r="E342" s="61">
        <v>46203</v>
      </c>
      <c r="F342" s="5" t="s">
        <v>1364</v>
      </c>
      <c r="G342" s="5" t="s">
        <v>2688</v>
      </c>
      <c r="H342" s="5" t="s">
        <v>2689</v>
      </c>
      <c r="I342" s="60">
        <v>0</v>
      </c>
      <c r="J342" s="5" t="s">
        <v>1300</v>
      </c>
      <c r="K342" s="58">
        <v>0</v>
      </c>
      <c r="L342" s="5" t="s">
        <v>993</v>
      </c>
      <c r="M342" s="5" t="s">
        <v>1344</v>
      </c>
      <c r="N342" t="str">
        <f>_xlfn.XLOOKUP(A342,Monitoring!A:A,Monitoring!D:D)</f>
        <v>MALLS</v>
      </c>
    </row>
    <row r="343" spans="1:14" x14ac:dyDescent="0.35">
      <c r="A343" s="5">
        <v>10001388</v>
      </c>
      <c r="B343" s="5" t="s">
        <v>1295</v>
      </c>
      <c r="C343" s="5" t="s">
        <v>1318</v>
      </c>
      <c r="D343" s="61">
        <v>46204</v>
      </c>
      <c r="E343" s="61">
        <v>46234</v>
      </c>
      <c r="F343" s="5" t="s">
        <v>1364</v>
      </c>
      <c r="G343" s="5" t="s">
        <v>2690</v>
      </c>
      <c r="H343" s="5" t="s">
        <v>2691</v>
      </c>
      <c r="I343" s="60">
        <v>0</v>
      </c>
      <c r="J343" s="5" t="s">
        <v>1300</v>
      </c>
      <c r="K343" s="58">
        <v>0</v>
      </c>
      <c r="L343" s="5" t="s">
        <v>993</v>
      </c>
      <c r="M343" s="5" t="s">
        <v>1344</v>
      </c>
      <c r="N343" t="str">
        <f>_xlfn.XLOOKUP(A343,Monitoring!A:A,Monitoring!D:D)</f>
        <v>MALLS</v>
      </c>
    </row>
    <row r="344" spans="1:14" x14ac:dyDescent="0.35">
      <c r="A344" s="5">
        <v>10001388</v>
      </c>
      <c r="B344" s="5" t="s">
        <v>1295</v>
      </c>
      <c r="C344" s="5" t="s">
        <v>1318</v>
      </c>
      <c r="D344" s="61">
        <v>46223</v>
      </c>
      <c r="E344" s="61">
        <v>46234</v>
      </c>
      <c r="F344" s="5" t="s">
        <v>1364</v>
      </c>
      <c r="G344" s="5" t="s">
        <v>2690</v>
      </c>
      <c r="H344" s="5" t="s">
        <v>2691</v>
      </c>
      <c r="I344" s="60">
        <v>0</v>
      </c>
      <c r="J344" s="5" t="s">
        <v>1300</v>
      </c>
      <c r="K344" s="58">
        <v>0</v>
      </c>
      <c r="L344" s="5" t="s">
        <v>993</v>
      </c>
      <c r="M344" s="5" t="s">
        <v>1344</v>
      </c>
      <c r="N344" t="str">
        <f>_xlfn.XLOOKUP(A344,Monitoring!A:A,Monitoring!D:D)</f>
        <v>MALLS</v>
      </c>
    </row>
    <row r="345" spans="1:14" x14ac:dyDescent="0.35">
      <c r="A345" s="5">
        <v>10001388</v>
      </c>
      <c r="B345" s="5" t="s">
        <v>1295</v>
      </c>
      <c r="C345" s="5" t="s">
        <v>1318</v>
      </c>
      <c r="D345" s="61">
        <v>46251</v>
      </c>
      <c r="E345" s="61">
        <v>46265</v>
      </c>
      <c r="F345" s="5" t="s">
        <v>1364</v>
      </c>
      <c r="G345" s="5" t="s">
        <v>3327</v>
      </c>
      <c r="H345" s="5" t="s">
        <v>3328</v>
      </c>
      <c r="I345" s="60">
        <v>0</v>
      </c>
      <c r="J345" s="5" t="s">
        <v>1380</v>
      </c>
      <c r="K345" s="58">
        <v>0</v>
      </c>
      <c r="L345" s="5" t="s">
        <v>993</v>
      </c>
      <c r="M345" s="5" t="s">
        <v>1344</v>
      </c>
      <c r="N345" t="str">
        <f>_xlfn.XLOOKUP(A345,Monitoring!A:A,Monitoring!D:D)</f>
        <v>MALLS</v>
      </c>
    </row>
    <row r="346" spans="1:14" x14ac:dyDescent="0.35">
      <c r="A346" s="5">
        <v>10001388</v>
      </c>
      <c r="B346" s="5" t="s">
        <v>1295</v>
      </c>
      <c r="C346" s="5" t="s">
        <v>1318</v>
      </c>
      <c r="D346" s="61">
        <v>46251</v>
      </c>
      <c r="E346" s="61">
        <v>46265</v>
      </c>
      <c r="F346" s="5" t="s">
        <v>1364</v>
      </c>
      <c r="G346" s="5" t="s">
        <v>3327</v>
      </c>
      <c r="H346" s="5" t="s">
        <v>2985</v>
      </c>
      <c r="I346" s="60">
        <v>0</v>
      </c>
      <c r="J346" s="5" t="s">
        <v>1300</v>
      </c>
      <c r="K346" s="58">
        <v>0</v>
      </c>
      <c r="L346" s="5" t="s">
        <v>993</v>
      </c>
      <c r="M346" s="5" t="s">
        <v>1344</v>
      </c>
      <c r="N346" t="str">
        <f>_xlfn.XLOOKUP(A346,Monitoring!A:A,Monitoring!D:D)</f>
        <v>MALLS</v>
      </c>
    </row>
    <row r="347" spans="1:14" x14ac:dyDescent="0.35">
      <c r="A347" s="5">
        <v>10001388</v>
      </c>
      <c r="B347" s="5" t="s">
        <v>1295</v>
      </c>
      <c r="C347" s="5" t="s">
        <v>1318</v>
      </c>
      <c r="D347" s="61">
        <v>46251</v>
      </c>
      <c r="E347" s="61">
        <v>46265</v>
      </c>
      <c r="F347" s="5" t="s">
        <v>1364</v>
      </c>
      <c r="G347" s="5" t="s">
        <v>3329</v>
      </c>
      <c r="H347" s="5" t="s">
        <v>3330</v>
      </c>
      <c r="I347" s="60">
        <v>0</v>
      </c>
      <c r="J347" s="5" t="s">
        <v>1425</v>
      </c>
      <c r="K347" s="58">
        <v>0</v>
      </c>
      <c r="L347" s="5" t="s">
        <v>993</v>
      </c>
      <c r="M347" s="5" t="s">
        <v>1344</v>
      </c>
      <c r="N347" t="str">
        <f>_xlfn.XLOOKUP(A347,Monitoring!A:A,Monitoring!D:D)</f>
        <v>MALLS</v>
      </c>
    </row>
    <row r="348" spans="1:14" x14ac:dyDescent="0.35">
      <c r="A348" s="5">
        <v>10001388</v>
      </c>
      <c r="B348" s="5" t="s">
        <v>1295</v>
      </c>
      <c r="C348" s="5" t="s">
        <v>1318</v>
      </c>
      <c r="D348" s="61">
        <v>46181</v>
      </c>
      <c r="E348" s="61">
        <v>46142</v>
      </c>
      <c r="F348" s="5" t="s">
        <v>1297</v>
      </c>
      <c r="G348" s="5" t="s">
        <v>2496</v>
      </c>
      <c r="H348" s="5" t="s">
        <v>2497</v>
      </c>
      <c r="I348" s="60">
        <v>1</v>
      </c>
      <c r="J348" s="5" t="s">
        <v>1300</v>
      </c>
      <c r="K348" s="58">
        <v>352592.86</v>
      </c>
      <c r="L348" s="5" t="s">
        <v>2498</v>
      </c>
      <c r="M348" s="5" t="s">
        <v>1344</v>
      </c>
      <c r="N348" t="str">
        <f>_xlfn.XLOOKUP(A348,Monitoring!A:A,Monitoring!D:D)</f>
        <v>MALLS</v>
      </c>
    </row>
    <row r="349" spans="1:14" x14ac:dyDescent="0.35">
      <c r="A349" s="5">
        <v>10001388</v>
      </c>
      <c r="B349" s="5" t="s">
        <v>1295</v>
      </c>
      <c r="C349" s="5" t="s">
        <v>1318</v>
      </c>
      <c r="D349" s="61">
        <v>46226</v>
      </c>
      <c r="E349" s="61">
        <v>46234</v>
      </c>
      <c r="F349" s="5" t="s">
        <v>1297</v>
      </c>
      <c r="G349" s="5" t="s">
        <v>2953</v>
      </c>
      <c r="H349" s="5" t="s">
        <v>2954</v>
      </c>
      <c r="I349" s="60">
        <v>1</v>
      </c>
      <c r="J349" s="5" t="s">
        <v>1300</v>
      </c>
      <c r="K349" s="58">
        <v>35714.29</v>
      </c>
      <c r="L349" s="5" t="s">
        <v>2326</v>
      </c>
      <c r="M349" s="5" t="s">
        <v>1334</v>
      </c>
      <c r="N349" t="str">
        <f>_xlfn.XLOOKUP(A349,Monitoring!A:A,Monitoring!D:D)</f>
        <v>MALLS</v>
      </c>
    </row>
    <row r="350" spans="1:14" x14ac:dyDescent="0.35">
      <c r="A350" s="5">
        <v>10001388</v>
      </c>
      <c r="B350" s="5" t="s">
        <v>1295</v>
      </c>
      <c r="C350" s="5" t="s">
        <v>1318</v>
      </c>
      <c r="D350" s="61">
        <v>46233</v>
      </c>
      <c r="E350" s="61">
        <v>46173</v>
      </c>
      <c r="F350" s="5" t="s">
        <v>1297</v>
      </c>
      <c r="G350" s="5" t="s">
        <v>2955</v>
      </c>
      <c r="H350" s="5" t="s">
        <v>2956</v>
      </c>
      <c r="I350" s="60">
        <v>10</v>
      </c>
      <c r="J350" s="5" t="s">
        <v>1425</v>
      </c>
      <c r="K350" s="58">
        <v>115625</v>
      </c>
      <c r="L350" s="5" t="s">
        <v>2957</v>
      </c>
      <c r="M350" s="5" t="s">
        <v>1344</v>
      </c>
      <c r="N350" t="str">
        <f>_xlfn.XLOOKUP(A350,Monitoring!A:A,Monitoring!D:D)</f>
        <v>MALLS</v>
      </c>
    </row>
    <row r="351" spans="1:14" x14ac:dyDescent="0.35">
      <c r="A351" s="5">
        <v>10001388</v>
      </c>
      <c r="B351" s="5" t="s">
        <v>1295</v>
      </c>
      <c r="C351" s="5" t="s">
        <v>1318</v>
      </c>
      <c r="D351" s="61">
        <v>46233</v>
      </c>
      <c r="E351" s="61">
        <v>46173</v>
      </c>
      <c r="F351" s="5" t="s">
        <v>1297</v>
      </c>
      <c r="G351" s="5" t="s">
        <v>2958</v>
      </c>
      <c r="H351" s="5" t="s">
        <v>2315</v>
      </c>
      <c r="I351" s="60">
        <v>50</v>
      </c>
      <c r="J351" s="5" t="s">
        <v>1425</v>
      </c>
      <c r="K351" s="58">
        <v>88392.86</v>
      </c>
      <c r="L351" s="5" t="s">
        <v>1444</v>
      </c>
      <c r="M351" s="5" t="s">
        <v>1344</v>
      </c>
      <c r="N351" t="str">
        <f>_xlfn.XLOOKUP(A351,Monitoring!A:A,Monitoring!D:D)</f>
        <v>MALLS</v>
      </c>
    </row>
    <row r="352" spans="1:14" x14ac:dyDescent="0.35">
      <c r="A352" s="5">
        <v>10001388</v>
      </c>
      <c r="B352" s="5" t="s">
        <v>1295</v>
      </c>
      <c r="C352" s="5" t="s">
        <v>1318</v>
      </c>
      <c r="D352" s="61">
        <v>46233</v>
      </c>
      <c r="E352" s="61">
        <v>46173</v>
      </c>
      <c r="F352" s="5" t="s">
        <v>1297</v>
      </c>
      <c r="G352" s="5" t="s">
        <v>2884</v>
      </c>
      <c r="H352" s="5" t="s">
        <v>2316</v>
      </c>
      <c r="I352" s="60">
        <v>0</v>
      </c>
      <c r="J352" s="5" t="s">
        <v>1425</v>
      </c>
      <c r="K352" s="58">
        <v>0</v>
      </c>
      <c r="L352" s="5" t="s">
        <v>2959</v>
      </c>
      <c r="M352" s="5" t="s">
        <v>1551</v>
      </c>
      <c r="N352" t="str">
        <f>_xlfn.XLOOKUP(A352,Monitoring!A:A,Monitoring!D:D)</f>
        <v>MALLS</v>
      </c>
    </row>
    <row r="353" spans="1:14" x14ac:dyDescent="0.35">
      <c r="A353" s="5">
        <v>10001388</v>
      </c>
      <c r="B353" s="5" t="s">
        <v>1295</v>
      </c>
      <c r="C353" s="5" t="s">
        <v>1318</v>
      </c>
      <c r="D353" s="61">
        <v>46234</v>
      </c>
      <c r="E353" s="61">
        <v>46173</v>
      </c>
      <c r="F353" s="5" t="s">
        <v>1297</v>
      </c>
      <c r="G353" s="5" t="s">
        <v>2960</v>
      </c>
      <c r="H353" s="5" t="s">
        <v>2961</v>
      </c>
      <c r="I353" s="60">
        <v>20</v>
      </c>
      <c r="J353" s="5" t="s">
        <v>1425</v>
      </c>
      <c r="K353" s="58">
        <v>171785.71</v>
      </c>
      <c r="L353" s="5" t="s">
        <v>1989</v>
      </c>
      <c r="M353" s="5" t="s">
        <v>1344</v>
      </c>
      <c r="N353" t="str">
        <f>_xlfn.XLOOKUP(A353,Monitoring!A:A,Monitoring!D:D)</f>
        <v>MALLS</v>
      </c>
    </row>
    <row r="354" spans="1:14" x14ac:dyDescent="0.35">
      <c r="A354" s="5">
        <v>10001388</v>
      </c>
      <c r="B354" s="5" t="s">
        <v>1295</v>
      </c>
      <c r="C354" s="5" t="s">
        <v>1318</v>
      </c>
      <c r="D354" s="61">
        <v>46234</v>
      </c>
      <c r="E354" s="61">
        <v>46173</v>
      </c>
      <c r="F354" s="5" t="s">
        <v>1297</v>
      </c>
      <c r="G354" s="5" t="s">
        <v>2960</v>
      </c>
      <c r="H354" s="5" t="s">
        <v>2962</v>
      </c>
      <c r="I354" s="60">
        <v>10</v>
      </c>
      <c r="J354" s="5" t="s">
        <v>1425</v>
      </c>
      <c r="K354" s="58">
        <v>26339.29</v>
      </c>
      <c r="L354" s="5" t="s">
        <v>1989</v>
      </c>
      <c r="M354" s="5" t="s">
        <v>1344</v>
      </c>
      <c r="N354" t="str">
        <f>_xlfn.XLOOKUP(A354,Monitoring!A:A,Monitoring!D:D)</f>
        <v>MALLS</v>
      </c>
    </row>
    <row r="355" spans="1:14" x14ac:dyDescent="0.35">
      <c r="A355" s="5">
        <v>10001388</v>
      </c>
      <c r="B355" s="5" t="s">
        <v>1295</v>
      </c>
      <c r="C355" s="5" t="s">
        <v>1318</v>
      </c>
      <c r="D355" s="61">
        <v>46251</v>
      </c>
      <c r="E355" s="61">
        <v>46234</v>
      </c>
      <c r="F355" s="5" t="s">
        <v>1297</v>
      </c>
      <c r="G355" s="5" t="s">
        <v>3121</v>
      </c>
      <c r="H355" s="5" t="s">
        <v>3122</v>
      </c>
      <c r="I355" s="60">
        <v>1</v>
      </c>
      <c r="J355" s="5" t="s">
        <v>1300</v>
      </c>
      <c r="K355" s="58">
        <v>44642.86</v>
      </c>
      <c r="L355" s="5" t="s">
        <v>2326</v>
      </c>
      <c r="M355" s="5" t="s">
        <v>1344</v>
      </c>
      <c r="N355" t="str">
        <f>_xlfn.XLOOKUP(A355,Monitoring!A:A,Monitoring!D:D)</f>
        <v>MALLS</v>
      </c>
    </row>
    <row r="356" spans="1:14" x14ac:dyDescent="0.35">
      <c r="A356" s="5">
        <v>10001389</v>
      </c>
      <c r="B356" s="5" t="s">
        <v>1295</v>
      </c>
      <c r="C356" s="5" t="s">
        <v>1318</v>
      </c>
      <c r="D356" s="61">
        <v>46140</v>
      </c>
      <c r="E356" s="61">
        <v>46142</v>
      </c>
      <c r="F356" s="5" t="s">
        <v>1364</v>
      </c>
      <c r="G356" s="5" t="s">
        <v>2097</v>
      </c>
      <c r="H356" s="5" t="s">
        <v>2098</v>
      </c>
      <c r="I356" s="60">
        <v>0</v>
      </c>
      <c r="J356" s="5" t="s">
        <v>1425</v>
      </c>
      <c r="K356" s="58">
        <v>0</v>
      </c>
      <c r="L356" s="5" t="s">
        <v>993</v>
      </c>
      <c r="M356" s="5" t="s">
        <v>1344</v>
      </c>
      <c r="N356" t="str">
        <f>_xlfn.XLOOKUP(A356,Monitoring!A:A,Monitoring!D:D)</f>
        <v>MALLS</v>
      </c>
    </row>
    <row r="357" spans="1:14" x14ac:dyDescent="0.35">
      <c r="A357" s="5">
        <v>10001389</v>
      </c>
      <c r="B357" s="5" t="s">
        <v>1295</v>
      </c>
      <c r="C357" s="5" t="s">
        <v>1318</v>
      </c>
      <c r="D357" s="61">
        <v>46140</v>
      </c>
      <c r="E357" s="61">
        <v>46142</v>
      </c>
      <c r="F357" s="5" t="s">
        <v>1364</v>
      </c>
      <c r="G357" s="5" t="s">
        <v>2097</v>
      </c>
      <c r="H357" s="5" t="s">
        <v>1220</v>
      </c>
      <c r="I357" s="60">
        <v>0</v>
      </c>
      <c r="J357" s="5" t="s">
        <v>1425</v>
      </c>
      <c r="K357" s="58">
        <v>0</v>
      </c>
      <c r="L357" s="5" t="s">
        <v>993</v>
      </c>
      <c r="M357" s="5" t="s">
        <v>1344</v>
      </c>
      <c r="N357" t="str">
        <f>_xlfn.XLOOKUP(A357,Monitoring!A:A,Monitoring!D:D)</f>
        <v>MALLS</v>
      </c>
    </row>
    <row r="358" spans="1:14" x14ac:dyDescent="0.35">
      <c r="A358" s="5">
        <v>10001389</v>
      </c>
      <c r="B358" s="5" t="s">
        <v>1295</v>
      </c>
      <c r="C358" s="5" t="s">
        <v>1318</v>
      </c>
      <c r="D358" s="61">
        <v>46140</v>
      </c>
      <c r="E358" s="61">
        <v>46142</v>
      </c>
      <c r="F358" s="5" t="s">
        <v>1364</v>
      </c>
      <c r="G358" s="5" t="s">
        <v>2099</v>
      </c>
      <c r="H358" s="5" t="s">
        <v>2100</v>
      </c>
      <c r="I358" s="60">
        <v>0</v>
      </c>
      <c r="J358" s="5" t="s">
        <v>1425</v>
      </c>
      <c r="K358" s="58">
        <v>0</v>
      </c>
      <c r="L358" s="5" t="s">
        <v>993</v>
      </c>
      <c r="M358" s="5" t="s">
        <v>1344</v>
      </c>
      <c r="N358" t="str">
        <f>_xlfn.XLOOKUP(A358,Monitoring!A:A,Monitoring!D:D)</f>
        <v>MALLS</v>
      </c>
    </row>
    <row r="359" spans="1:14" x14ac:dyDescent="0.35">
      <c r="A359" s="5">
        <v>10001389</v>
      </c>
      <c r="B359" s="5" t="s">
        <v>1295</v>
      </c>
      <c r="C359" s="5" t="s">
        <v>1318</v>
      </c>
      <c r="D359" s="61">
        <v>46156</v>
      </c>
      <c r="E359" s="61">
        <v>46173</v>
      </c>
      <c r="F359" s="5" t="s">
        <v>1364</v>
      </c>
      <c r="G359" s="5" t="s">
        <v>2329</v>
      </c>
      <c r="H359" s="5" t="s">
        <v>2330</v>
      </c>
      <c r="I359" s="60">
        <v>0</v>
      </c>
      <c r="J359" s="5" t="s">
        <v>1300</v>
      </c>
      <c r="K359" s="58">
        <v>0</v>
      </c>
      <c r="L359" s="5" t="s">
        <v>993</v>
      </c>
      <c r="M359" s="5" t="s">
        <v>1344</v>
      </c>
      <c r="N359" t="str">
        <f>_xlfn.XLOOKUP(A359,Monitoring!A:A,Monitoring!D:D)</f>
        <v>MALLS</v>
      </c>
    </row>
    <row r="360" spans="1:14" x14ac:dyDescent="0.35">
      <c r="A360" s="5">
        <v>10001389</v>
      </c>
      <c r="B360" s="5" t="s">
        <v>1295</v>
      </c>
      <c r="C360" s="5" t="s">
        <v>1318</v>
      </c>
      <c r="D360" s="61">
        <v>46175</v>
      </c>
      <c r="E360" s="61">
        <v>46203</v>
      </c>
      <c r="F360" s="5" t="s">
        <v>1364</v>
      </c>
      <c r="G360" s="5" t="s">
        <v>2331</v>
      </c>
      <c r="H360" s="5" t="s">
        <v>2332</v>
      </c>
      <c r="I360" s="60">
        <v>0</v>
      </c>
      <c r="J360" s="5" t="s">
        <v>1380</v>
      </c>
      <c r="K360" s="58">
        <v>0</v>
      </c>
      <c r="L360" s="5" t="s">
        <v>993</v>
      </c>
      <c r="M360" s="5" t="s">
        <v>1344</v>
      </c>
      <c r="N360" t="str">
        <f>_xlfn.XLOOKUP(A360,Monitoring!A:A,Monitoring!D:D)</f>
        <v>MALLS</v>
      </c>
    </row>
    <row r="361" spans="1:14" x14ac:dyDescent="0.35">
      <c r="A361" s="5">
        <v>10001389</v>
      </c>
      <c r="B361" s="5" t="s">
        <v>1295</v>
      </c>
      <c r="C361" s="5" t="s">
        <v>1318</v>
      </c>
      <c r="D361" s="61">
        <v>46179</v>
      </c>
      <c r="E361" s="61">
        <v>46203</v>
      </c>
      <c r="F361" s="5" t="s">
        <v>1364</v>
      </c>
      <c r="G361" s="5" t="s">
        <v>2499</v>
      </c>
      <c r="H361" s="5" t="s">
        <v>2500</v>
      </c>
      <c r="I361" s="60">
        <v>0</v>
      </c>
      <c r="J361" s="5" t="s">
        <v>1300</v>
      </c>
      <c r="K361" s="58">
        <v>0</v>
      </c>
      <c r="L361" s="5" t="s">
        <v>993</v>
      </c>
      <c r="M361" s="5" t="s">
        <v>1344</v>
      </c>
      <c r="N361" t="str">
        <f>_xlfn.XLOOKUP(A361,Monitoring!A:A,Monitoring!D:D)</f>
        <v>MALLS</v>
      </c>
    </row>
    <row r="362" spans="1:14" x14ac:dyDescent="0.35">
      <c r="A362" s="5">
        <v>10001389</v>
      </c>
      <c r="B362" s="5" t="s">
        <v>1295</v>
      </c>
      <c r="C362" s="5" t="s">
        <v>1318</v>
      </c>
      <c r="D362" s="61">
        <v>46188</v>
      </c>
      <c r="E362" s="61">
        <v>46203</v>
      </c>
      <c r="F362" s="5" t="s">
        <v>1364</v>
      </c>
      <c r="G362" s="5" t="s">
        <v>2701</v>
      </c>
      <c r="H362" s="5" t="s">
        <v>2702</v>
      </c>
      <c r="I362" s="60">
        <v>0</v>
      </c>
      <c r="J362" s="5" t="s">
        <v>1425</v>
      </c>
      <c r="K362" s="58">
        <v>0</v>
      </c>
      <c r="L362" s="5" t="s">
        <v>993</v>
      </c>
      <c r="M362" s="5" t="s">
        <v>1344</v>
      </c>
      <c r="N362" t="str">
        <f>_xlfn.XLOOKUP(A362,Monitoring!A:A,Monitoring!D:D)</f>
        <v>MALLS</v>
      </c>
    </row>
    <row r="363" spans="1:14" x14ac:dyDescent="0.35">
      <c r="A363" s="5">
        <v>10001389</v>
      </c>
      <c r="B363" s="5" t="s">
        <v>1295</v>
      </c>
      <c r="C363" s="5" t="s">
        <v>1318</v>
      </c>
      <c r="D363" s="61">
        <v>46191</v>
      </c>
      <c r="E363" s="61">
        <v>46203</v>
      </c>
      <c r="F363" s="5" t="s">
        <v>1364</v>
      </c>
      <c r="G363" s="5" t="s">
        <v>2703</v>
      </c>
      <c r="H363" s="5" t="s">
        <v>2704</v>
      </c>
      <c r="I363" s="60">
        <v>0</v>
      </c>
      <c r="J363" s="5" t="s">
        <v>1300</v>
      </c>
      <c r="K363" s="58">
        <v>0</v>
      </c>
      <c r="L363" s="5" t="s">
        <v>993</v>
      </c>
      <c r="M363" s="5" t="s">
        <v>1330</v>
      </c>
      <c r="N363" t="str">
        <f>_xlfn.XLOOKUP(A363,Monitoring!A:A,Monitoring!D:D)</f>
        <v>MALLS</v>
      </c>
    </row>
    <row r="364" spans="1:14" x14ac:dyDescent="0.35">
      <c r="A364" s="5">
        <v>10001389</v>
      </c>
      <c r="B364" s="5" t="s">
        <v>1295</v>
      </c>
      <c r="C364" s="5" t="s">
        <v>1318</v>
      </c>
      <c r="D364" s="61">
        <v>46210</v>
      </c>
      <c r="E364" s="61">
        <v>46234</v>
      </c>
      <c r="F364" s="5" t="s">
        <v>1364</v>
      </c>
      <c r="G364" s="5" t="s">
        <v>2705</v>
      </c>
      <c r="H364" s="5" t="s">
        <v>2706</v>
      </c>
      <c r="I364" s="60">
        <v>0</v>
      </c>
      <c r="J364" s="5" t="s">
        <v>1300</v>
      </c>
      <c r="K364" s="58">
        <v>0</v>
      </c>
      <c r="L364" s="5" t="s">
        <v>993</v>
      </c>
      <c r="M364" s="5" t="s">
        <v>1344</v>
      </c>
      <c r="N364" t="str">
        <f>_xlfn.XLOOKUP(A364,Monitoring!A:A,Monitoring!D:D)</f>
        <v>MALLS</v>
      </c>
    </row>
    <row r="365" spans="1:14" x14ac:dyDescent="0.35">
      <c r="A365" s="5">
        <v>10001389</v>
      </c>
      <c r="B365" s="5" t="s">
        <v>1295</v>
      </c>
      <c r="C365" s="5" t="s">
        <v>1318</v>
      </c>
      <c r="D365" s="61">
        <v>46238</v>
      </c>
      <c r="E365" s="61">
        <v>46265</v>
      </c>
      <c r="F365" s="5" t="s">
        <v>1364</v>
      </c>
      <c r="G365" s="5" t="s">
        <v>2963</v>
      </c>
      <c r="H365" s="5" t="s">
        <v>2964</v>
      </c>
      <c r="I365" s="60">
        <v>1</v>
      </c>
      <c r="J365" s="5" t="s">
        <v>1300</v>
      </c>
      <c r="K365" s="58">
        <v>80267.86</v>
      </c>
      <c r="L365" s="5" t="s">
        <v>993</v>
      </c>
      <c r="M365" s="5" t="s">
        <v>1391</v>
      </c>
      <c r="N365" t="str">
        <f>_xlfn.XLOOKUP(A365,Monitoring!A:A,Monitoring!D:D)</f>
        <v>MALLS</v>
      </c>
    </row>
    <row r="366" spans="1:14" x14ac:dyDescent="0.35">
      <c r="A366" s="5">
        <v>10001389</v>
      </c>
      <c r="B366" s="5" t="s">
        <v>1295</v>
      </c>
      <c r="C366" s="5" t="s">
        <v>1318</v>
      </c>
      <c r="D366" s="61">
        <v>46247</v>
      </c>
      <c r="E366" s="61">
        <v>46265</v>
      </c>
      <c r="F366" s="5" t="s">
        <v>1364</v>
      </c>
      <c r="G366" s="5" t="s">
        <v>3123</v>
      </c>
      <c r="H366" s="5" t="s">
        <v>3124</v>
      </c>
      <c r="I366" s="60">
        <v>0</v>
      </c>
      <c r="J366" s="5" t="s">
        <v>1300</v>
      </c>
      <c r="K366" s="58">
        <v>0</v>
      </c>
      <c r="L366" s="5" t="s">
        <v>993</v>
      </c>
      <c r="M366" s="5" t="s">
        <v>1344</v>
      </c>
      <c r="N366" t="str">
        <f>_xlfn.XLOOKUP(A366,Monitoring!A:A,Monitoring!D:D)</f>
        <v>MALLS</v>
      </c>
    </row>
    <row r="367" spans="1:14" x14ac:dyDescent="0.35">
      <c r="A367" s="5">
        <v>10001389</v>
      </c>
      <c r="B367" s="5" t="s">
        <v>1295</v>
      </c>
      <c r="C367" s="5" t="s">
        <v>1318</v>
      </c>
      <c r="D367" s="61">
        <v>46150</v>
      </c>
      <c r="E367" s="61">
        <v>46142</v>
      </c>
      <c r="F367" s="5" t="s">
        <v>1297</v>
      </c>
      <c r="G367" s="5" t="s">
        <v>2199</v>
      </c>
      <c r="H367" s="5" t="s">
        <v>2201</v>
      </c>
      <c r="I367" s="60">
        <v>0</v>
      </c>
      <c r="J367" s="5" t="s">
        <v>1425</v>
      </c>
      <c r="K367" s="58">
        <v>0</v>
      </c>
      <c r="L367" s="5" t="s">
        <v>1550</v>
      </c>
      <c r="M367" s="5" t="s">
        <v>1551</v>
      </c>
      <c r="N367" t="str">
        <f>_xlfn.XLOOKUP(A367,Monitoring!A:A,Monitoring!D:D)</f>
        <v>MALLS</v>
      </c>
    </row>
    <row r="368" spans="1:14" x14ac:dyDescent="0.35">
      <c r="A368" s="5">
        <v>10001389</v>
      </c>
      <c r="B368" s="5" t="s">
        <v>1295</v>
      </c>
      <c r="C368" s="5" t="s">
        <v>1318</v>
      </c>
      <c r="D368" s="61">
        <v>46150</v>
      </c>
      <c r="E368" s="61">
        <v>46142</v>
      </c>
      <c r="F368" s="5" t="s">
        <v>1297</v>
      </c>
      <c r="G368" s="5" t="s">
        <v>2199</v>
      </c>
      <c r="H368" s="5" t="s">
        <v>1220</v>
      </c>
      <c r="I368" s="60">
        <v>0</v>
      </c>
      <c r="J368" s="5" t="s">
        <v>1425</v>
      </c>
      <c r="K368" s="58">
        <v>0</v>
      </c>
      <c r="L368" s="5" t="s">
        <v>1550</v>
      </c>
      <c r="M368" s="5" t="s">
        <v>1551</v>
      </c>
      <c r="N368" t="str">
        <f>_xlfn.XLOOKUP(A368,Monitoring!A:A,Monitoring!D:D)</f>
        <v>MALLS</v>
      </c>
    </row>
    <row r="369" spans="1:14" x14ac:dyDescent="0.35">
      <c r="A369" s="5">
        <v>10001389</v>
      </c>
      <c r="B369" s="5" t="s">
        <v>1295</v>
      </c>
      <c r="C369" s="5" t="s">
        <v>1318</v>
      </c>
      <c r="D369" s="61">
        <v>46153</v>
      </c>
      <c r="E369" s="61">
        <v>46142</v>
      </c>
      <c r="F369" s="5" t="s">
        <v>1297</v>
      </c>
      <c r="G369" s="5" t="s">
        <v>2197</v>
      </c>
      <c r="H369" s="5" t="s">
        <v>2100</v>
      </c>
      <c r="I369" s="60">
        <v>0</v>
      </c>
      <c r="J369" s="5" t="s">
        <v>1425</v>
      </c>
      <c r="K369" s="58">
        <v>0</v>
      </c>
      <c r="L369" s="5" t="s">
        <v>2333</v>
      </c>
      <c r="M369" s="5" t="s">
        <v>1551</v>
      </c>
      <c r="N369" t="str">
        <f>_xlfn.XLOOKUP(A369,Monitoring!A:A,Monitoring!D:D)</f>
        <v>MALLS</v>
      </c>
    </row>
    <row r="370" spans="1:14" x14ac:dyDescent="0.35">
      <c r="A370" s="5">
        <v>10001389</v>
      </c>
      <c r="B370" s="5" t="s">
        <v>1295</v>
      </c>
      <c r="C370" s="5" t="s">
        <v>1318</v>
      </c>
      <c r="D370" s="61">
        <v>46192</v>
      </c>
      <c r="E370" s="61">
        <v>46203</v>
      </c>
      <c r="F370" s="5" t="s">
        <v>1297</v>
      </c>
      <c r="G370" s="5" t="s">
        <v>2707</v>
      </c>
      <c r="H370" s="5" t="s">
        <v>2332</v>
      </c>
      <c r="I370" s="60">
        <v>0</v>
      </c>
      <c r="J370" s="5" t="s">
        <v>1380</v>
      </c>
      <c r="K370" s="58">
        <v>0</v>
      </c>
      <c r="L370" s="5" t="s">
        <v>2708</v>
      </c>
      <c r="M370" s="5" t="s">
        <v>1551</v>
      </c>
      <c r="N370" t="str">
        <f>_xlfn.XLOOKUP(A370,Monitoring!A:A,Monitoring!D:D)</f>
        <v>MALLS</v>
      </c>
    </row>
    <row r="371" spans="1:14" x14ac:dyDescent="0.35">
      <c r="A371" s="5">
        <v>10001389</v>
      </c>
      <c r="B371" s="5" t="s">
        <v>1295</v>
      </c>
      <c r="C371" s="5" t="s">
        <v>1318</v>
      </c>
      <c r="D371" s="61">
        <v>46192</v>
      </c>
      <c r="E371" s="61">
        <v>46203</v>
      </c>
      <c r="F371" s="5" t="s">
        <v>1297</v>
      </c>
      <c r="G371" s="5" t="s">
        <v>2709</v>
      </c>
      <c r="H371" s="5" t="s">
        <v>2702</v>
      </c>
      <c r="I371" s="60">
        <v>0</v>
      </c>
      <c r="J371" s="5" t="s">
        <v>1425</v>
      </c>
      <c r="K371" s="58">
        <v>0</v>
      </c>
      <c r="L371" s="5" t="s">
        <v>1466</v>
      </c>
      <c r="M371" s="5" t="s">
        <v>1551</v>
      </c>
      <c r="N371" t="str">
        <f>_xlfn.XLOOKUP(A371,Monitoring!A:A,Monitoring!D:D)</f>
        <v>MALLS</v>
      </c>
    </row>
    <row r="372" spans="1:14" x14ac:dyDescent="0.35">
      <c r="A372" s="5">
        <v>10001389</v>
      </c>
      <c r="B372" s="5" t="s">
        <v>1295</v>
      </c>
      <c r="C372" s="5" t="s">
        <v>1318</v>
      </c>
      <c r="D372" s="61">
        <v>46196</v>
      </c>
      <c r="E372" s="61">
        <v>46203</v>
      </c>
      <c r="F372" s="5" t="s">
        <v>1297</v>
      </c>
      <c r="G372" s="5" t="s">
        <v>2710</v>
      </c>
      <c r="H372" s="5" t="s">
        <v>2711</v>
      </c>
      <c r="I372" s="60">
        <v>0</v>
      </c>
      <c r="J372" s="5" t="s">
        <v>1300</v>
      </c>
      <c r="K372" s="58">
        <v>0</v>
      </c>
      <c r="L372" s="5" t="s">
        <v>2712</v>
      </c>
      <c r="M372" s="5" t="s">
        <v>1540</v>
      </c>
      <c r="N372" t="str">
        <f>_xlfn.XLOOKUP(A372,Monitoring!A:A,Monitoring!D:D)</f>
        <v>MALLS</v>
      </c>
    </row>
    <row r="373" spans="1:14" x14ac:dyDescent="0.35">
      <c r="A373" s="5">
        <v>10001389</v>
      </c>
      <c r="B373" s="5" t="s">
        <v>1295</v>
      </c>
      <c r="C373" s="5" t="s">
        <v>1318</v>
      </c>
      <c r="D373" s="61">
        <v>46202</v>
      </c>
      <c r="E373" s="61">
        <v>46173</v>
      </c>
      <c r="F373" s="5" t="s">
        <v>1297</v>
      </c>
      <c r="G373" s="5" t="s">
        <v>2713</v>
      </c>
      <c r="H373" s="5" t="s">
        <v>2714</v>
      </c>
      <c r="I373" s="60">
        <v>0</v>
      </c>
      <c r="J373" s="5" t="s">
        <v>1300</v>
      </c>
      <c r="K373" s="58">
        <v>0</v>
      </c>
      <c r="L373" s="5" t="s">
        <v>1305</v>
      </c>
      <c r="M373" s="5" t="s">
        <v>1540</v>
      </c>
      <c r="N373" t="str">
        <f>_xlfn.XLOOKUP(A373,Monitoring!A:A,Monitoring!D:D)</f>
        <v>MALLS</v>
      </c>
    </row>
    <row r="374" spans="1:14" x14ac:dyDescent="0.35">
      <c r="A374" s="5">
        <v>10001389</v>
      </c>
      <c r="B374" s="5" t="s">
        <v>1295</v>
      </c>
      <c r="C374" s="5" t="s">
        <v>1318</v>
      </c>
      <c r="D374" s="61">
        <v>46230</v>
      </c>
      <c r="E374" s="61">
        <v>46234</v>
      </c>
      <c r="F374" s="5" t="s">
        <v>1297</v>
      </c>
      <c r="G374" s="5" t="s">
        <v>2968</v>
      </c>
      <c r="H374" s="5" t="s">
        <v>2969</v>
      </c>
      <c r="I374" s="60">
        <v>0</v>
      </c>
      <c r="J374" s="5" t="s">
        <v>1300</v>
      </c>
      <c r="K374" s="58">
        <v>0</v>
      </c>
      <c r="L374" s="5" t="s">
        <v>2712</v>
      </c>
      <c r="M374" s="5" t="s">
        <v>1551</v>
      </c>
      <c r="N374" t="str">
        <f>_xlfn.XLOOKUP(A374,Monitoring!A:A,Monitoring!D:D)</f>
        <v>MALLS</v>
      </c>
    </row>
    <row r="375" spans="1:14" x14ac:dyDescent="0.35">
      <c r="A375" s="5">
        <v>10001389</v>
      </c>
      <c r="B375" s="5" t="s">
        <v>1295</v>
      </c>
      <c r="C375" s="5" t="s">
        <v>1318</v>
      </c>
      <c r="D375" s="61">
        <v>46269</v>
      </c>
      <c r="E375" s="61">
        <v>46265</v>
      </c>
      <c r="F375" s="5" t="s">
        <v>1297</v>
      </c>
      <c r="G375" s="5" t="s">
        <v>3331</v>
      </c>
      <c r="H375" s="5" t="s">
        <v>3332</v>
      </c>
      <c r="I375" s="60">
        <v>1</v>
      </c>
      <c r="J375" s="5" t="s">
        <v>1300</v>
      </c>
      <c r="K375" s="58">
        <v>64633.93</v>
      </c>
      <c r="L375" s="5" t="s">
        <v>3333</v>
      </c>
      <c r="M375" s="5" t="s">
        <v>1344</v>
      </c>
      <c r="N375" t="str">
        <f>_xlfn.XLOOKUP(A375,Monitoring!A:A,Monitoring!D:D)</f>
        <v>MALLS</v>
      </c>
    </row>
    <row r="376" spans="1:14" x14ac:dyDescent="0.35">
      <c r="A376" s="5">
        <v>10001389</v>
      </c>
      <c r="B376" s="5" t="s">
        <v>1295</v>
      </c>
      <c r="C376" s="5" t="s">
        <v>1318</v>
      </c>
      <c r="D376" s="61">
        <v>46232</v>
      </c>
      <c r="E376" s="61">
        <v>46265</v>
      </c>
      <c r="F376" s="5" t="s">
        <v>1297</v>
      </c>
      <c r="G376" s="5" t="s">
        <v>2965</v>
      </c>
      <c r="H376" s="5" t="s">
        <v>2966</v>
      </c>
      <c r="I376" s="60">
        <v>1</v>
      </c>
      <c r="J376" s="5" t="s">
        <v>1300</v>
      </c>
      <c r="K376" s="58">
        <v>1339285.71</v>
      </c>
      <c r="L376" s="5" t="s">
        <v>2967</v>
      </c>
      <c r="M376" s="5" t="s">
        <v>1330</v>
      </c>
      <c r="N376" t="str">
        <f>_xlfn.XLOOKUP(A376,Monitoring!A:A,Monitoring!D:D)</f>
        <v>MALLS</v>
      </c>
    </row>
    <row r="377" spans="1:14" x14ac:dyDescent="0.35">
      <c r="A377" s="5">
        <v>10001390</v>
      </c>
      <c r="B377" s="5" t="s">
        <v>1295</v>
      </c>
      <c r="C377" s="5" t="s">
        <v>1318</v>
      </c>
      <c r="D377" s="61">
        <v>46137</v>
      </c>
      <c r="E377" s="61">
        <v>46142</v>
      </c>
      <c r="F377" s="5" t="s">
        <v>1364</v>
      </c>
      <c r="G377" s="5" t="s">
        <v>1990</v>
      </c>
      <c r="H377" s="5" t="s">
        <v>1991</v>
      </c>
      <c r="I377" s="60">
        <v>0</v>
      </c>
      <c r="J377" s="5" t="s">
        <v>1300</v>
      </c>
      <c r="K377" s="58">
        <v>0</v>
      </c>
      <c r="L377" s="5" t="s">
        <v>993</v>
      </c>
      <c r="M377" s="5" t="s">
        <v>1540</v>
      </c>
      <c r="N377" t="str">
        <f>_xlfn.XLOOKUP(A377,Monitoring!A:A,Monitoring!D:D)</f>
        <v>MALLS</v>
      </c>
    </row>
    <row r="378" spans="1:14" x14ac:dyDescent="0.35">
      <c r="A378" s="5">
        <v>10001390</v>
      </c>
      <c r="B378" s="5" t="s">
        <v>1295</v>
      </c>
      <c r="C378" s="5" t="s">
        <v>1318</v>
      </c>
      <c r="D378" s="61">
        <v>46137</v>
      </c>
      <c r="E378" s="61">
        <v>46142</v>
      </c>
      <c r="F378" s="5" t="s">
        <v>1364</v>
      </c>
      <c r="G378" s="5" t="s">
        <v>1992</v>
      </c>
      <c r="H378" s="5" t="s">
        <v>1993</v>
      </c>
      <c r="I378" s="60">
        <v>0</v>
      </c>
      <c r="J378" s="5" t="s">
        <v>1425</v>
      </c>
      <c r="K378" s="58">
        <v>0</v>
      </c>
      <c r="L378" s="5" t="s">
        <v>993</v>
      </c>
      <c r="M378" s="5" t="s">
        <v>1344</v>
      </c>
      <c r="N378" t="str">
        <f>_xlfn.XLOOKUP(A378,Monitoring!A:A,Monitoring!D:D)</f>
        <v>MALLS</v>
      </c>
    </row>
    <row r="379" spans="1:14" x14ac:dyDescent="0.35">
      <c r="A379" s="5">
        <v>10001390</v>
      </c>
      <c r="B379" s="5" t="s">
        <v>1295</v>
      </c>
      <c r="C379" s="5" t="s">
        <v>1318</v>
      </c>
      <c r="D379" s="61">
        <v>46154</v>
      </c>
      <c r="E379" s="61">
        <v>46173</v>
      </c>
      <c r="F379" s="5" t="s">
        <v>1364</v>
      </c>
      <c r="G379" s="5" t="s">
        <v>2334</v>
      </c>
      <c r="H379" s="5" t="s">
        <v>1993</v>
      </c>
      <c r="I379" s="60">
        <v>0</v>
      </c>
      <c r="J379" s="5" t="s">
        <v>1425</v>
      </c>
      <c r="K379" s="58">
        <v>0</v>
      </c>
      <c r="L379" s="5" t="s">
        <v>993</v>
      </c>
      <c r="M379" s="5" t="s">
        <v>1344</v>
      </c>
      <c r="N379" t="str">
        <f>_xlfn.XLOOKUP(A379,Monitoring!A:A,Monitoring!D:D)</f>
        <v>MALLS</v>
      </c>
    </row>
    <row r="380" spans="1:14" x14ac:dyDescent="0.35">
      <c r="A380" s="5">
        <v>10001390</v>
      </c>
      <c r="B380" s="5" t="s">
        <v>1295</v>
      </c>
      <c r="C380" s="5" t="s">
        <v>1318</v>
      </c>
      <c r="D380" s="61">
        <v>46176</v>
      </c>
      <c r="E380" s="61">
        <v>46203</v>
      </c>
      <c r="F380" s="5" t="s">
        <v>1364</v>
      </c>
      <c r="G380" s="5" t="s">
        <v>2335</v>
      </c>
      <c r="H380" s="5" t="s">
        <v>2336</v>
      </c>
      <c r="I380" s="60">
        <v>0</v>
      </c>
      <c r="J380" s="5" t="s">
        <v>1425</v>
      </c>
      <c r="K380" s="58">
        <v>0</v>
      </c>
      <c r="L380" s="5" t="s">
        <v>993</v>
      </c>
      <c r="M380" s="5" t="s">
        <v>1344</v>
      </c>
      <c r="N380" t="str">
        <f>_xlfn.XLOOKUP(A380,Monitoring!A:A,Monitoring!D:D)</f>
        <v>MALLS</v>
      </c>
    </row>
    <row r="381" spans="1:14" x14ac:dyDescent="0.35">
      <c r="A381" s="5">
        <v>10001390</v>
      </c>
      <c r="B381" s="5" t="s">
        <v>1295</v>
      </c>
      <c r="C381" s="5" t="s">
        <v>1318</v>
      </c>
      <c r="D381" s="61">
        <v>46188</v>
      </c>
      <c r="E381" s="61">
        <v>46203</v>
      </c>
      <c r="F381" s="5" t="s">
        <v>1364</v>
      </c>
      <c r="G381" s="5" t="s">
        <v>2715</v>
      </c>
      <c r="H381" s="5" t="s">
        <v>2716</v>
      </c>
      <c r="I381" s="60">
        <v>0</v>
      </c>
      <c r="J381" s="5" t="s">
        <v>1425</v>
      </c>
      <c r="K381" s="58">
        <v>0</v>
      </c>
      <c r="L381" s="5" t="s">
        <v>993</v>
      </c>
      <c r="M381" s="5" t="s">
        <v>1344</v>
      </c>
      <c r="N381" t="str">
        <f>_xlfn.XLOOKUP(A381,Monitoring!A:A,Monitoring!D:D)</f>
        <v>MALLS</v>
      </c>
    </row>
    <row r="382" spans="1:14" x14ac:dyDescent="0.35">
      <c r="A382" s="5">
        <v>10001390</v>
      </c>
      <c r="B382" s="5" t="s">
        <v>1295</v>
      </c>
      <c r="C382" s="5" t="s">
        <v>1318</v>
      </c>
      <c r="D382" s="61">
        <v>46188</v>
      </c>
      <c r="E382" s="61">
        <v>46203</v>
      </c>
      <c r="F382" s="5" t="s">
        <v>1364</v>
      </c>
      <c r="G382" s="5" t="s">
        <v>2717</v>
      </c>
      <c r="H382" s="5" t="s">
        <v>2716</v>
      </c>
      <c r="I382" s="60">
        <v>0</v>
      </c>
      <c r="J382" s="5" t="s">
        <v>1425</v>
      </c>
      <c r="K382" s="58">
        <v>0</v>
      </c>
      <c r="L382" s="5" t="s">
        <v>993</v>
      </c>
      <c r="M382" s="5" t="s">
        <v>1344</v>
      </c>
      <c r="N382" t="str">
        <f>_xlfn.XLOOKUP(A382,Monitoring!A:A,Monitoring!D:D)</f>
        <v>MALLS</v>
      </c>
    </row>
    <row r="383" spans="1:14" x14ac:dyDescent="0.35">
      <c r="A383" s="5">
        <v>10001390</v>
      </c>
      <c r="B383" s="5" t="s">
        <v>1295</v>
      </c>
      <c r="C383" s="5" t="s">
        <v>1318</v>
      </c>
      <c r="D383" s="61">
        <v>46195</v>
      </c>
      <c r="E383" s="61">
        <v>46203</v>
      </c>
      <c r="F383" s="5" t="s">
        <v>1364</v>
      </c>
      <c r="G383" s="5" t="s">
        <v>2718</v>
      </c>
      <c r="H383" s="5" t="s">
        <v>2719</v>
      </c>
      <c r="I383" s="60">
        <v>0</v>
      </c>
      <c r="J383" s="5" t="s">
        <v>1342</v>
      </c>
      <c r="K383" s="58">
        <v>0</v>
      </c>
      <c r="L383" s="5" t="s">
        <v>993</v>
      </c>
      <c r="M383" s="5" t="s">
        <v>1344</v>
      </c>
      <c r="N383" t="str">
        <f>_xlfn.XLOOKUP(A383,Monitoring!A:A,Monitoring!D:D)</f>
        <v>MALLS</v>
      </c>
    </row>
    <row r="384" spans="1:14" x14ac:dyDescent="0.35">
      <c r="A384" s="5">
        <v>10001390</v>
      </c>
      <c r="B384" s="5" t="s">
        <v>1295</v>
      </c>
      <c r="C384" s="5" t="s">
        <v>1318</v>
      </c>
      <c r="D384" s="61">
        <v>46195</v>
      </c>
      <c r="E384" s="61">
        <v>46203</v>
      </c>
      <c r="F384" s="5" t="s">
        <v>1364</v>
      </c>
      <c r="G384" s="5" t="s">
        <v>2720</v>
      </c>
      <c r="H384" s="5" t="s">
        <v>2719</v>
      </c>
      <c r="I384" s="60">
        <v>0</v>
      </c>
      <c r="J384" s="5" t="s">
        <v>1342</v>
      </c>
      <c r="K384" s="58">
        <v>0</v>
      </c>
      <c r="L384" s="5" t="s">
        <v>993</v>
      </c>
      <c r="M384" s="5" t="s">
        <v>1344</v>
      </c>
      <c r="N384" t="str">
        <f>_xlfn.XLOOKUP(A384,Monitoring!A:A,Monitoring!D:D)</f>
        <v>MALLS</v>
      </c>
    </row>
    <row r="385" spans="1:14" x14ac:dyDescent="0.35">
      <c r="A385" s="5">
        <v>10001390</v>
      </c>
      <c r="B385" s="5" t="s">
        <v>1295</v>
      </c>
      <c r="C385" s="5" t="s">
        <v>1318</v>
      </c>
      <c r="D385" s="61">
        <v>46195</v>
      </c>
      <c r="E385" s="61">
        <v>46203</v>
      </c>
      <c r="F385" s="5" t="s">
        <v>1364</v>
      </c>
      <c r="G385" s="5" t="s">
        <v>2721</v>
      </c>
      <c r="H385" s="5" t="s">
        <v>2722</v>
      </c>
      <c r="I385" s="60">
        <v>0</v>
      </c>
      <c r="J385" s="5" t="s">
        <v>1342</v>
      </c>
      <c r="K385" s="58">
        <v>0</v>
      </c>
      <c r="L385" s="5" t="s">
        <v>993</v>
      </c>
      <c r="M385" s="5" t="s">
        <v>1344</v>
      </c>
      <c r="N385" t="str">
        <f>_xlfn.XLOOKUP(A385,Monitoring!A:A,Monitoring!D:D)</f>
        <v>MALLS</v>
      </c>
    </row>
    <row r="386" spans="1:14" x14ac:dyDescent="0.35">
      <c r="A386" s="5">
        <v>10001390</v>
      </c>
      <c r="B386" s="5" t="s">
        <v>1295</v>
      </c>
      <c r="C386" s="5" t="s">
        <v>1318</v>
      </c>
      <c r="D386" s="61">
        <v>46195</v>
      </c>
      <c r="E386" s="61">
        <v>46203</v>
      </c>
      <c r="F386" s="5" t="s">
        <v>1364</v>
      </c>
      <c r="G386" s="5" t="s">
        <v>2723</v>
      </c>
      <c r="H386" s="5" t="s">
        <v>2722</v>
      </c>
      <c r="I386" s="60">
        <v>0</v>
      </c>
      <c r="J386" s="5" t="s">
        <v>1342</v>
      </c>
      <c r="K386" s="58">
        <v>0</v>
      </c>
      <c r="L386" s="5" t="s">
        <v>993</v>
      </c>
      <c r="M386" s="5" t="s">
        <v>1344</v>
      </c>
      <c r="N386" t="str">
        <f>_xlfn.XLOOKUP(A386,Monitoring!A:A,Monitoring!D:D)</f>
        <v>MALLS</v>
      </c>
    </row>
    <row r="387" spans="1:14" x14ac:dyDescent="0.35">
      <c r="A387" s="5">
        <v>10001390</v>
      </c>
      <c r="B387" s="5" t="s">
        <v>1295</v>
      </c>
      <c r="C387" s="5" t="s">
        <v>1318</v>
      </c>
      <c r="D387" s="61">
        <v>46195</v>
      </c>
      <c r="E387" s="61">
        <v>46203</v>
      </c>
      <c r="F387" s="5" t="s">
        <v>1364</v>
      </c>
      <c r="G387" s="5" t="s">
        <v>2724</v>
      </c>
      <c r="H387" s="5" t="s">
        <v>2725</v>
      </c>
      <c r="I387" s="60">
        <v>0</v>
      </c>
      <c r="J387" s="5" t="s">
        <v>1425</v>
      </c>
      <c r="K387" s="58">
        <v>0</v>
      </c>
      <c r="L387" s="5" t="s">
        <v>993</v>
      </c>
      <c r="M387" s="5" t="s">
        <v>1344</v>
      </c>
      <c r="N387" t="str">
        <f>_xlfn.XLOOKUP(A387,Monitoring!A:A,Monitoring!D:D)</f>
        <v>MALLS</v>
      </c>
    </row>
    <row r="388" spans="1:14" x14ac:dyDescent="0.35">
      <c r="A388" s="5">
        <v>10001390</v>
      </c>
      <c r="B388" s="5" t="s">
        <v>1295</v>
      </c>
      <c r="C388" s="5" t="s">
        <v>1318</v>
      </c>
      <c r="D388" s="61">
        <v>46195</v>
      </c>
      <c r="E388" s="61">
        <v>46203</v>
      </c>
      <c r="F388" s="5" t="s">
        <v>1364</v>
      </c>
      <c r="G388" s="5" t="s">
        <v>2724</v>
      </c>
      <c r="H388" s="5" t="s">
        <v>1216</v>
      </c>
      <c r="I388" s="60">
        <v>0</v>
      </c>
      <c r="J388" s="5" t="s">
        <v>1425</v>
      </c>
      <c r="K388" s="58">
        <v>0</v>
      </c>
      <c r="L388" s="5" t="s">
        <v>993</v>
      </c>
      <c r="M388" s="5" t="s">
        <v>1344</v>
      </c>
      <c r="N388" t="str">
        <f>_xlfn.XLOOKUP(A388,Monitoring!A:A,Monitoring!D:D)</f>
        <v>MALLS</v>
      </c>
    </row>
    <row r="389" spans="1:14" x14ac:dyDescent="0.35">
      <c r="A389" s="5">
        <v>10001390</v>
      </c>
      <c r="B389" s="5" t="s">
        <v>1295</v>
      </c>
      <c r="C389" s="5" t="s">
        <v>1318</v>
      </c>
      <c r="D389" s="61">
        <v>46216</v>
      </c>
      <c r="E389" s="61">
        <v>46234</v>
      </c>
      <c r="F389" s="5" t="s">
        <v>1364</v>
      </c>
      <c r="G389" s="5" t="s">
        <v>2970</v>
      </c>
      <c r="H389" s="5" t="s">
        <v>2716</v>
      </c>
      <c r="I389" s="60">
        <v>0</v>
      </c>
      <c r="J389" s="5" t="s">
        <v>1425</v>
      </c>
      <c r="K389" s="58">
        <v>0</v>
      </c>
      <c r="L389" s="5" t="s">
        <v>993</v>
      </c>
      <c r="M389" s="5" t="s">
        <v>1344</v>
      </c>
      <c r="N389" t="str">
        <f>_xlfn.XLOOKUP(A389,Monitoring!A:A,Monitoring!D:D)</f>
        <v>MALLS</v>
      </c>
    </row>
    <row r="390" spans="1:14" x14ac:dyDescent="0.35">
      <c r="A390" s="5">
        <v>10001390</v>
      </c>
      <c r="B390" s="5" t="s">
        <v>1295</v>
      </c>
      <c r="C390" s="5" t="s">
        <v>1318</v>
      </c>
      <c r="D390" s="61">
        <v>46216</v>
      </c>
      <c r="E390" s="61">
        <v>46234</v>
      </c>
      <c r="F390" s="5" t="s">
        <v>1364</v>
      </c>
      <c r="G390" s="5" t="s">
        <v>2971</v>
      </c>
      <c r="H390" s="5" t="s">
        <v>1993</v>
      </c>
      <c r="I390" s="60">
        <v>0</v>
      </c>
      <c r="J390" s="5" t="s">
        <v>1425</v>
      </c>
      <c r="K390" s="58">
        <v>0</v>
      </c>
      <c r="L390" s="5" t="s">
        <v>993</v>
      </c>
      <c r="M390" s="5" t="s">
        <v>1540</v>
      </c>
      <c r="N390" t="str">
        <f>_xlfn.XLOOKUP(A390,Monitoring!A:A,Monitoring!D:D)</f>
        <v>MALLS</v>
      </c>
    </row>
    <row r="391" spans="1:14" x14ac:dyDescent="0.35">
      <c r="A391" s="5">
        <v>10001390</v>
      </c>
      <c r="B391" s="5" t="s">
        <v>1295</v>
      </c>
      <c r="C391" s="5" t="s">
        <v>1318</v>
      </c>
      <c r="D391" s="61">
        <v>46216</v>
      </c>
      <c r="E391" s="61">
        <v>46234</v>
      </c>
      <c r="F391" s="5" t="s">
        <v>1364</v>
      </c>
      <c r="G391" s="5" t="s">
        <v>2971</v>
      </c>
      <c r="H391" s="5" t="s">
        <v>2972</v>
      </c>
      <c r="I391" s="60">
        <v>0</v>
      </c>
      <c r="J391" s="5" t="s">
        <v>1425</v>
      </c>
      <c r="K391" s="58">
        <v>0</v>
      </c>
      <c r="L391" s="5" t="s">
        <v>993</v>
      </c>
      <c r="M391" s="5" t="s">
        <v>1540</v>
      </c>
      <c r="N391" t="str">
        <f>_xlfn.XLOOKUP(A391,Monitoring!A:A,Monitoring!D:D)</f>
        <v>MALLS</v>
      </c>
    </row>
    <row r="392" spans="1:14" x14ac:dyDescent="0.35">
      <c r="A392" s="5">
        <v>10001390</v>
      </c>
      <c r="B392" s="5" t="s">
        <v>1295</v>
      </c>
      <c r="C392" s="5" t="s">
        <v>1318</v>
      </c>
      <c r="D392" s="61">
        <v>46216</v>
      </c>
      <c r="E392" s="61">
        <v>46234</v>
      </c>
      <c r="F392" s="5" t="s">
        <v>1364</v>
      </c>
      <c r="G392" s="5" t="s">
        <v>2973</v>
      </c>
      <c r="H392" s="5" t="s">
        <v>2974</v>
      </c>
      <c r="I392" s="60">
        <v>0</v>
      </c>
      <c r="J392" s="5" t="s">
        <v>1300</v>
      </c>
      <c r="K392" s="58">
        <v>0</v>
      </c>
      <c r="L392" s="5" t="s">
        <v>993</v>
      </c>
      <c r="M392" s="5" t="s">
        <v>1344</v>
      </c>
      <c r="N392" t="str">
        <f>_xlfn.XLOOKUP(A392,Monitoring!A:A,Monitoring!D:D)</f>
        <v>MALLS</v>
      </c>
    </row>
    <row r="393" spans="1:14" x14ac:dyDescent="0.35">
      <c r="A393" s="5">
        <v>10001390</v>
      </c>
      <c r="B393" s="5" t="s">
        <v>1295</v>
      </c>
      <c r="C393" s="5" t="s">
        <v>1318</v>
      </c>
      <c r="D393" s="61">
        <v>46226</v>
      </c>
      <c r="E393" s="61">
        <v>46234</v>
      </c>
      <c r="F393" s="5" t="s">
        <v>1364</v>
      </c>
      <c r="G393" s="5" t="s">
        <v>2975</v>
      </c>
      <c r="H393" s="5" t="s">
        <v>2976</v>
      </c>
      <c r="I393" s="60">
        <v>0</v>
      </c>
      <c r="J393" s="5" t="s">
        <v>1300</v>
      </c>
      <c r="K393" s="58">
        <v>0</v>
      </c>
      <c r="L393" s="5" t="s">
        <v>993</v>
      </c>
      <c r="M393" s="5" t="s">
        <v>1344</v>
      </c>
      <c r="N393" t="str">
        <f>_xlfn.XLOOKUP(A393,Monitoring!A:A,Monitoring!D:D)</f>
        <v>MALLS</v>
      </c>
    </row>
    <row r="394" spans="1:14" x14ac:dyDescent="0.35">
      <c r="A394" s="5">
        <v>10001390</v>
      </c>
      <c r="B394" s="5" t="s">
        <v>1295</v>
      </c>
      <c r="C394" s="5" t="s">
        <v>1318</v>
      </c>
      <c r="D394" s="61">
        <v>46266</v>
      </c>
      <c r="E394" s="61">
        <v>46295</v>
      </c>
      <c r="F394" s="5" t="s">
        <v>1364</v>
      </c>
      <c r="G394" s="5" t="s">
        <v>3334</v>
      </c>
      <c r="H394" s="5" t="s">
        <v>3307</v>
      </c>
      <c r="I394" s="60">
        <v>7</v>
      </c>
      <c r="J394" s="5" t="s">
        <v>2414</v>
      </c>
      <c r="K394" s="58">
        <v>86687.51</v>
      </c>
      <c r="L394" s="5" t="s">
        <v>993</v>
      </c>
      <c r="M394" s="5" t="s">
        <v>1540</v>
      </c>
      <c r="N394" t="str">
        <f>_xlfn.XLOOKUP(A394,Monitoring!A:A,Monitoring!D:D)</f>
        <v>MALLS</v>
      </c>
    </row>
    <row r="395" spans="1:14" x14ac:dyDescent="0.35">
      <c r="A395" s="5">
        <v>10001390</v>
      </c>
      <c r="B395" s="5" t="s">
        <v>1295</v>
      </c>
      <c r="C395" s="5" t="s">
        <v>1318</v>
      </c>
      <c r="D395" s="61">
        <v>46149</v>
      </c>
      <c r="E395" s="61">
        <v>46142</v>
      </c>
      <c r="F395" s="5" t="s">
        <v>1297</v>
      </c>
      <c r="G395" s="5" t="s">
        <v>2203</v>
      </c>
      <c r="H395" s="5" t="s">
        <v>1993</v>
      </c>
      <c r="I395" s="60">
        <v>0</v>
      </c>
      <c r="J395" s="5" t="s">
        <v>1425</v>
      </c>
      <c r="K395" s="58">
        <v>0</v>
      </c>
      <c r="L395" s="5" t="s">
        <v>1550</v>
      </c>
      <c r="M395" s="5" t="s">
        <v>1551</v>
      </c>
      <c r="N395" t="str">
        <f>_xlfn.XLOOKUP(A395,Monitoring!A:A,Monitoring!D:D)</f>
        <v>MALLS</v>
      </c>
    </row>
    <row r="396" spans="1:14" x14ac:dyDescent="0.35">
      <c r="A396" s="5">
        <v>10001390</v>
      </c>
      <c r="B396" s="5" t="s">
        <v>1295</v>
      </c>
      <c r="C396" s="5" t="s">
        <v>1318</v>
      </c>
      <c r="D396" s="61">
        <v>46160</v>
      </c>
      <c r="E396" s="61">
        <v>46173</v>
      </c>
      <c r="F396" s="5" t="s">
        <v>1297</v>
      </c>
      <c r="G396" s="5" t="s">
        <v>2205</v>
      </c>
      <c r="H396" s="5" t="s">
        <v>1993</v>
      </c>
      <c r="I396" s="60">
        <v>0</v>
      </c>
      <c r="J396" s="5" t="s">
        <v>1425</v>
      </c>
      <c r="K396" s="58">
        <v>0</v>
      </c>
      <c r="L396" s="5" t="s">
        <v>1550</v>
      </c>
      <c r="M396" s="5" t="s">
        <v>1551</v>
      </c>
      <c r="N396" t="str">
        <f>_xlfn.XLOOKUP(A396,Monitoring!A:A,Monitoring!D:D)</f>
        <v>MALLS</v>
      </c>
    </row>
    <row r="397" spans="1:14" x14ac:dyDescent="0.35">
      <c r="A397" s="5">
        <v>10001390</v>
      </c>
      <c r="B397" s="5" t="s">
        <v>1295</v>
      </c>
      <c r="C397" s="5" t="s">
        <v>1318</v>
      </c>
      <c r="D397" s="61">
        <v>46195</v>
      </c>
      <c r="E397" s="61">
        <v>46203</v>
      </c>
      <c r="F397" s="5" t="s">
        <v>1297</v>
      </c>
      <c r="G397" s="5" t="s">
        <v>2726</v>
      </c>
      <c r="H397" s="5" t="s">
        <v>2336</v>
      </c>
      <c r="I397" s="60">
        <v>0</v>
      </c>
      <c r="J397" s="5" t="s">
        <v>1425</v>
      </c>
      <c r="K397" s="58">
        <v>0</v>
      </c>
      <c r="L397" s="5" t="s">
        <v>2333</v>
      </c>
      <c r="M397" s="5" t="s">
        <v>1540</v>
      </c>
      <c r="N397" t="str">
        <f>_xlfn.XLOOKUP(A397,Monitoring!A:A,Monitoring!D:D)</f>
        <v>MALLS</v>
      </c>
    </row>
    <row r="398" spans="1:14" x14ac:dyDescent="0.35">
      <c r="A398" s="5">
        <v>10001390</v>
      </c>
      <c r="B398" s="5" t="s">
        <v>1295</v>
      </c>
      <c r="C398" s="5" t="s">
        <v>1318</v>
      </c>
      <c r="D398" s="61">
        <v>46204</v>
      </c>
      <c r="E398" s="61">
        <v>46203</v>
      </c>
      <c r="F398" s="5" t="s">
        <v>1297</v>
      </c>
      <c r="G398" s="5" t="s">
        <v>2727</v>
      </c>
      <c r="H398" s="5" t="s">
        <v>2716</v>
      </c>
      <c r="I398" s="60">
        <v>0</v>
      </c>
      <c r="J398" s="5" t="s">
        <v>1425</v>
      </c>
      <c r="K398" s="58">
        <v>0</v>
      </c>
      <c r="L398" s="5" t="s">
        <v>2728</v>
      </c>
      <c r="M398" s="5" t="s">
        <v>1551</v>
      </c>
      <c r="N398" t="str">
        <f>_xlfn.XLOOKUP(A398,Monitoring!A:A,Monitoring!D:D)</f>
        <v>MALLS</v>
      </c>
    </row>
    <row r="399" spans="1:14" x14ac:dyDescent="0.35">
      <c r="A399" s="5">
        <v>10001390</v>
      </c>
      <c r="B399" s="5" t="s">
        <v>1295</v>
      </c>
      <c r="C399" s="5" t="s">
        <v>1318</v>
      </c>
      <c r="D399" s="61">
        <v>46204</v>
      </c>
      <c r="E399" s="61">
        <v>46203</v>
      </c>
      <c r="F399" s="5" t="s">
        <v>1297</v>
      </c>
      <c r="G399" s="5" t="s">
        <v>2729</v>
      </c>
      <c r="H399" s="5" t="s">
        <v>2716</v>
      </c>
      <c r="I399" s="60">
        <v>0</v>
      </c>
      <c r="J399" s="5" t="s">
        <v>1425</v>
      </c>
      <c r="K399" s="58">
        <v>0</v>
      </c>
      <c r="L399" s="5" t="s">
        <v>2728</v>
      </c>
      <c r="M399" s="5" t="s">
        <v>1551</v>
      </c>
      <c r="N399" t="str">
        <f>_xlfn.XLOOKUP(A399,Monitoring!A:A,Monitoring!D:D)</f>
        <v>MALLS</v>
      </c>
    </row>
    <row r="400" spans="1:14" x14ac:dyDescent="0.35">
      <c r="A400" s="5">
        <v>10001390</v>
      </c>
      <c r="B400" s="5" t="s">
        <v>1295</v>
      </c>
      <c r="C400" s="5" t="s">
        <v>1318</v>
      </c>
      <c r="D400" s="61">
        <v>46210</v>
      </c>
      <c r="E400" s="61">
        <v>46203</v>
      </c>
      <c r="F400" s="5" t="s">
        <v>1297</v>
      </c>
      <c r="G400" s="5" t="s">
        <v>2730</v>
      </c>
      <c r="H400" s="5" t="s">
        <v>2731</v>
      </c>
      <c r="I400" s="60">
        <v>0</v>
      </c>
      <c r="J400" s="5" t="s">
        <v>1425</v>
      </c>
      <c r="K400" s="58">
        <v>0</v>
      </c>
      <c r="L400" s="5" t="s">
        <v>1550</v>
      </c>
      <c r="M400" s="5" t="s">
        <v>1551</v>
      </c>
      <c r="N400" t="str">
        <f>_xlfn.XLOOKUP(A400,Monitoring!A:A,Monitoring!D:D)</f>
        <v>MALLS</v>
      </c>
    </row>
    <row r="401" spans="1:14" x14ac:dyDescent="0.35">
      <c r="A401" s="5">
        <v>10001390</v>
      </c>
      <c r="B401" s="5" t="s">
        <v>1295</v>
      </c>
      <c r="C401" s="5" t="s">
        <v>1318</v>
      </c>
      <c r="D401" s="61">
        <v>46210</v>
      </c>
      <c r="E401" s="61">
        <v>46203</v>
      </c>
      <c r="F401" s="5" t="s">
        <v>1297</v>
      </c>
      <c r="G401" s="5" t="s">
        <v>2730</v>
      </c>
      <c r="H401" s="5" t="s">
        <v>2732</v>
      </c>
      <c r="I401" s="60">
        <v>0</v>
      </c>
      <c r="J401" s="5" t="s">
        <v>1425</v>
      </c>
      <c r="K401" s="58">
        <v>0</v>
      </c>
      <c r="L401" s="5" t="s">
        <v>1550</v>
      </c>
      <c r="M401" s="5" t="s">
        <v>1551</v>
      </c>
      <c r="N401" t="str">
        <f>_xlfn.XLOOKUP(A401,Monitoring!A:A,Monitoring!D:D)</f>
        <v>MALLS</v>
      </c>
    </row>
    <row r="402" spans="1:14" x14ac:dyDescent="0.35">
      <c r="A402" s="5">
        <v>10001390</v>
      </c>
      <c r="B402" s="5" t="s">
        <v>1295</v>
      </c>
      <c r="C402" s="5" t="s">
        <v>1318</v>
      </c>
      <c r="D402" s="61">
        <v>46210</v>
      </c>
      <c r="E402" s="61">
        <v>46203</v>
      </c>
      <c r="F402" s="5" t="s">
        <v>1297</v>
      </c>
      <c r="G402" s="5" t="s">
        <v>2733</v>
      </c>
      <c r="H402" s="5" t="s">
        <v>2719</v>
      </c>
      <c r="I402" s="60">
        <v>25</v>
      </c>
      <c r="J402" s="5" t="s">
        <v>1342</v>
      </c>
      <c r="K402" s="58">
        <v>55803.57</v>
      </c>
      <c r="L402" s="5" t="s">
        <v>1444</v>
      </c>
      <c r="M402" s="5" t="s">
        <v>1344</v>
      </c>
      <c r="N402" t="str">
        <f>_xlfn.XLOOKUP(A402,Monitoring!A:A,Monitoring!D:D)</f>
        <v>MALLS</v>
      </c>
    </row>
    <row r="403" spans="1:14" x14ac:dyDescent="0.35">
      <c r="A403" s="5">
        <v>10001390</v>
      </c>
      <c r="B403" s="5" t="s">
        <v>1295</v>
      </c>
      <c r="C403" s="5" t="s">
        <v>1318</v>
      </c>
      <c r="D403" s="61">
        <v>46219</v>
      </c>
      <c r="E403" s="61">
        <v>46203</v>
      </c>
      <c r="F403" s="5" t="s">
        <v>1297</v>
      </c>
      <c r="G403" s="5" t="s">
        <v>2977</v>
      </c>
      <c r="H403" s="5" t="s">
        <v>2722</v>
      </c>
      <c r="I403" s="60">
        <v>22</v>
      </c>
      <c r="J403" s="5" t="s">
        <v>1342</v>
      </c>
      <c r="K403" s="58">
        <v>55982.14</v>
      </c>
      <c r="L403" s="5" t="s">
        <v>1444</v>
      </c>
      <c r="M403" s="5" t="s">
        <v>1344</v>
      </c>
      <c r="N403" t="str">
        <f>_xlfn.XLOOKUP(A403,Monitoring!A:A,Monitoring!D:D)</f>
        <v>MALLS</v>
      </c>
    </row>
    <row r="404" spans="1:14" x14ac:dyDescent="0.35">
      <c r="A404" s="5">
        <v>10001390</v>
      </c>
      <c r="B404" s="5" t="s">
        <v>1295</v>
      </c>
      <c r="C404" s="5" t="s">
        <v>1318</v>
      </c>
      <c r="D404" s="61">
        <v>46226</v>
      </c>
      <c r="E404" s="61">
        <v>46234</v>
      </c>
      <c r="F404" s="5" t="s">
        <v>1297</v>
      </c>
      <c r="G404" s="5" t="s">
        <v>2978</v>
      </c>
      <c r="H404" s="5" t="s">
        <v>2716</v>
      </c>
      <c r="I404" s="60">
        <v>0</v>
      </c>
      <c r="J404" s="5" t="s">
        <v>1425</v>
      </c>
      <c r="K404" s="58">
        <v>0</v>
      </c>
      <c r="L404" s="5" t="s">
        <v>2728</v>
      </c>
      <c r="M404" s="5" t="s">
        <v>1551</v>
      </c>
      <c r="N404" t="str">
        <f>_xlfn.XLOOKUP(A404,Monitoring!A:A,Monitoring!D:D)</f>
        <v>MALLS</v>
      </c>
    </row>
    <row r="405" spans="1:14" x14ac:dyDescent="0.35">
      <c r="A405" s="5">
        <v>10001390</v>
      </c>
      <c r="B405" s="5" t="s">
        <v>1295</v>
      </c>
      <c r="C405" s="5" t="s">
        <v>1318</v>
      </c>
      <c r="D405" s="61">
        <v>46230</v>
      </c>
      <c r="E405" s="61">
        <v>46203</v>
      </c>
      <c r="F405" s="5" t="s">
        <v>1297</v>
      </c>
      <c r="G405" s="5" t="s">
        <v>2979</v>
      </c>
      <c r="H405" s="5" t="s">
        <v>2719</v>
      </c>
      <c r="I405" s="60">
        <v>28</v>
      </c>
      <c r="J405" s="5" t="s">
        <v>1342</v>
      </c>
      <c r="K405" s="58">
        <v>62500</v>
      </c>
      <c r="L405" s="5" t="s">
        <v>1444</v>
      </c>
      <c r="M405" s="5" t="s">
        <v>1344</v>
      </c>
      <c r="N405" t="str">
        <f>_xlfn.XLOOKUP(A405,Monitoring!A:A,Monitoring!D:D)</f>
        <v>MALLS</v>
      </c>
    </row>
    <row r="406" spans="1:14" x14ac:dyDescent="0.35">
      <c r="A406" s="5">
        <v>10001390</v>
      </c>
      <c r="B406" s="5" t="s">
        <v>1295</v>
      </c>
      <c r="C406" s="5" t="s">
        <v>1318</v>
      </c>
      <c r="D406" s="61">
        <v>46230</v>
      </c>
      <c r="E406" s="61">
        <v>46203</v>
      </c>
      <c r="F406" s="5" t="s">
        <v>1297</v>
      </c>
      <c r="G406" s="5" t="s">
        <v>2980</v>
      </c>
      <c r="H406" s="5" t="s">
        <v>2722</v>
      </c>
      <c r="I406" s="60">
        <v>19</v>
      </c>
      <c r="J406" s="5" t="s">
        <v>1342</v>
      </c>
      <c r="K406" s="58">
        <v>48348.21</v>
      </c>
      <c r="L406" s="5" t="s">
        <v>1444</v>
      </c>
      <c r="M406" s="5" t="s">
        <v>1344</v>
      </c>
      <c r="N406" t="str">
        <f>_xlfn.XLOOKUP(A406,Monitoring!A:A,Monitoring!D:D)</f>
        <v>MALLS</v>
      </c>
    </row>
    <row r="407" spans="1:14" x14ac:dyDescent="0.35">
      <c r="A407" s="5">
        <v>10001390</v>
      </c>
      <c r="B407" s="5" t="s">
        <v>1295</v>
      </c>
      <c r="C407" s="5" t="s">
        <v>1318</v>
      </c>
      <c r="D407" s="61">
        <v>46234</v>
      </c>
      <c r="E407" s="61">
        <v>46234</v>
      </c>
      <c r="F407" s="5" t="s">
        <v>1297</v>
      </c>
      <c r="G407" s="5" t="s">
        <v>2981</v>
      </c>
      <c r="H407" s="5" t="s">
        <v>2982</v>
      </c>
      <c r="I407" s="60">
        <v>1</v>
      </c>
      <c r="J407" s="5" t="s">
        <v>1300</v>
      </c>
      <c r="K407" s="58">
        <v>24107.14</v>
      </c>
      <c r="L407" s="5" t="s">
        <v>2326</v>
      </c>
      <c r="M407" s="5" t="s">
        <v>1344</v>
      </c>
      <c r="N407" t="str">
        <f>_xlfn.XLOOKUP(A407,Monitoring!A:A,Monitoring!D:D)</f>
        <v>MALLS</v>
      </c>
    </row>
    <row r="408" spans="1:14" x14ac:dyDescent="0.35">
      <c r="A408" s="5">
        <v>10001390</v>
      </c>
      <c r="B408" s="5" t="s">
        <v>1295</v>
      </c>
      <c r="C408" s="5" t="s">
        <v>1318</v>
      </c>
      <c r="D408" s="61">
        <v>46261</v>
      </c>
      <c r="E408" s="61">
        <v>46234</v>
      </c>
      <c r="F408" s="5" t="s">
        <v>1297</v>
      </c>
      <c r="G408" s="5" t="s">
        <v>3335</v>
      </c>
      <c r="H408" s="5" t="s">
        <v>3336</v>
      </c>
      <c r="I408" s="60">
        <v>1</v>
      </c>
      <c r="J408" s="5" t="s">
        <v>1300</v>
      </c>
      <c r="K408" s="58">
        <v>281250</v>
      </c>
      <c r="L408" s="5" t="s">
        <v>3337</v>
      </c>
      <c r="M408" s="5" t="s">
        <v>1344</v>
      </c>
      <c r="N408" t="str">
        <f>_xlfn.XLOOKUP(A408,Monitoring!A:A,Monitoring!D:D)</f>
        <v>MALLS</v>
      </c>
    </row>
    <row r="409" spans="1:14" x14ac:dyDescent="0.35">
      <c r="A409" s="5">
        <v>10001391</v>
      </c>
      <c r="B409" s="5" t="s">
        <v>1295</v>
      </c>
      <c r="C409" s="5" t="s">
        <v>1318</v>
      </c>
      <c r="D409" s="61">
        <v>46140</v>
      </c>
      <c r="E409" s="61">
        <v>46142</v>
      </c>
      <c r="F409" s="5" t="s">
        <v>1364</v>
      </c>
      <c r="G409" s="5" t="s">
        <v>2101</v>
      </c>
      <c r="H409" s="5" t="s">
        <v>2102</v>
      </c>
      <c r="I409" s="60">
        <v>0</v>
      </c>
      <c r="J409" s="5" t="s">
        <v>1300</v>
      </c>
      <c r="K409" s="58">
        <v>0</v>
      </c>
      <c r="L409" s="5" t="s">
        <v>993</v>
      </c>
      <c r="M409" s="5" t="s">
        <v>1344</v>
      </c>
      <c r="N409" t="str">
        <f>_xlfn.XLOOKUP(A409,Monitoring!A:A,Monitoring!D:D)</f>
        <v>MALLS</v>
      </c>
    </row>
    <row r="410" spans="1:14" x14ac:dyDescent="0.35">
      <c r="A410" s="5">
        <v>10001391</v>
      </c>
      <c r="B410" s="5" t="s">
        <v>1295</v>
      </c>
      <c r="C410" s="5" t="s">
        <v>1318</v>
      </c>
      <c r="D410" s="61">
        <v>46163</v>
      </c>
      <c r="E410" s="61">
        <v>46173</v>
      </c>
      <c r="F410" s="5" t="s">
        <v>1364</v>
      </c>
      <c r="G410" s="5" t="s">
        <v>2337</v>
      </c>
      <c r="H410" s="5" t="s">
        <v>2338</v>
      </c>
      <c r="I410" s="60">
        <v>0</v>
      </c>
      <c r="J410" s="5" t="s">
        <v>1425</v>
      </c>
      <c r="K410" s="58">
        <v>0</v>
      </c>
      <c r="L410" s="5" t="s">
        <v>993</v>
      </c>
      <c r="M410" s="5" t="s">
        <v>1344</v>
      </c>
      <c r="N410" t="str">
        <f>_xlfn.XLOOKUP(A410,Monitoring!A:A,Monitoring!D:D)</f>
        <v>MALLS</v>
      </c>
    </row>
    <row r="411" spans="1:14" x14ac:dyDescent="0.35">
      <c r="A411" s="5">
        <v>10001391</v>
      </c>
      <c r="B411" s="5" t="s">
        <v>1295</v>
      </c>
      <c r="C411" s="5" t="s">
        <v>1318</v>
      </c>
      <c r="D411" s="61">
        <v>46170</v>
      </c>
      <c r="E411" s="61">
        <v>46173</v>
      </c>
      <c r="F411" s="5" t="s">
        <v>1364</v>
      </c>
      <c r="G411" s="5" t="s">
        <v>2339</v>
      </c>
      <c r="H411" s="5" t="s">
        <v>2340</v>
      </c>
      <c r="I411" s="60">
        <v>0</v>
      </c>
      <c r="J411" s="5" t="s">
        <v>1425</v>
      </c>
      <c r="K411" s="58">
        <v>0</v>
      </c>
      <c r="L411" s="5" t="s">
        <v>993</v>
      </c>
      <c r="M411" s="5" t="s">
        <v>1344</v>
      </c>
      <c r="N411" t="str">
        <f>_xlfn.XLOOKUP(A411,Monitoring!A:A,Monitoring!D:D)</f>
        <v>MALLS</v>
      </c>
    </row>
    <row r="412" spans="1:14" x14ac:dyDescent="0.35">
      <c r="A412" s="5">
        <v>10001391</v>
      </c>
      <c r="B412" s="5" t="s">
        <v>1295</v>
      </c>
      <c r="C412" s="5" t="s">
        <v>1318</v>
      </c>
      <c r="D412" s="61">
        <v>46170</v>
      </c>
      <c r="E412" s="61">
        <v>46173</v>
      </c>
      <c r="F412" s="5" t="s">
        <v>1364</v>
      </c>
      <c r="G412" s="5" t="s">
        <v>2339</v>
      </c>
      <c r="H412" s="5" t="s">
        <v>2341</v>
      </c>
      <c r="I412" s="60">
        <v>0</v>
      </c>
      <c r="J412" s="5" t="s">
        <v>1300</v>
      </c>
      <c r="K412" s="58">
        <v>0</v>
      </c>
      <c r="L412" s="5" t="s">
        <v>993</v>
      </c>
      <c r="M412" s="5" t="s">
        <v>1344</v>
      </c>
      <c r="N412" t="str">
        <f>_xlfn.XLOOKUP(A412,Monitoring!A:A,Monitoring!D:D)</f>
        <v>MALLS</v>
      </c>
    </row>
    <row r="413" spans="1:14" x14ac:dyDescent="0.35">
      <c r="A413" s="5">
        <v>10001391</v>
      </c>
      <c r="B413" s="5" t="s">
        <v>1295</v>
      </c>
      <c r="C413" s="5" t="s">
        <v>1318</v>
      </c>
      <c r="D413" s="61">
        <v>46170</v>
      </c>
      <c r="E413" s="61">
        <v>46173</v>
      </c>
      <c r="F413" s="5" t="s">
        <v>1364</v>
      </c>
      <c r="G413" s="5" t="s">
        <v>2339</v>
      </c>
      <c r="H413" s="5" t="s">
        <v>2342</v>
      </c>
      <c r="I413" s="60">
        <v>0</v>
      </c>
      <c r="J413" s="5" t="s">
        <v>1425</v>
      </c>
      <c r="K413" s="58">
        <v>0</v>
      </c>
      <c r="L413" s="5" t="s">
        <v>993</v>
      </c>
      <c r="M413" s="5" t="s">
        <v>1344</v>
      </c>
      <c r="N413" t="str">
        <f>_xlfn.XLOOKUP(A413,Monitoring!A:A,Monitoring!D:D)</f>
        <v>MALLS</v>
      </c>
    </row>
    <row r="414" spans="1:14" x14ac:dyDescent="0.35">
      <c r="A414" s="5">
        <v>10001391</v>
      </c>
      <c r="B414" s="5" t="s">
        <v>1295</v>
      </c>
      <c r="C414" s="5" t="s">
        <v>1318</v>
      </c>
      <c r="D414" s="61">
        <v>46170</v>
      </c>
      <c r="E414" s="61">
        <v>46173</v>
      </c>
      <c r="F414" s="5" t="s">
        <v>1364</v>
      </c>
      <c r="G414" s="5" t="s">
        <v>2339</v>
      </c>
      <c r="H414" s="5" t="s">
        <v>2343</v>
      </c>
      <c r="I414" s="60">
        <v>0</v>
      </c>
      <c r="J414" s="5" t="s">
        <v>1425</v>
      </c>
      <c r="K414" s="58">
        <v>0</v>
      </c>
      <c r="L414" s="5" t="s">
        <v>993</v>
      </c>
      <c r="M414" s="5" t="s">
        <v>1344</v>
      </c>
      <c r="N414" t="str">
        <f>_xlfn.XLOOKUP(A414,Monitoring!A:A,Monitoring!D:D)</f>
        <v>MALLS</v>
      </c>
    </row>
    <row r="415" spans="1:14" x14ac:dyDescent="0.35">
      <c r="A415" s="5">
        <v>10001391</v>
      </c>
      <c r="B415" s="5" t="s">
        <v>1295</v>
      </c>
      <c r="C415" s="5" t="s">
        <v>1318</v>
      </c>
      <c r="D415" s="61">
        <v>46189</v>
      </c>
      <c r="E415" s="61">
        <v>46203</v>
      </c>
      <c r="F415" s="5" t="s">
        <v>1364</v>
      </c>
      <c r="G415" s="5" t="s">
        <v>2734</v>
      </c>
      <c r="H415" s="5" t="s">
        <v>2735</v>
      </c>
      <c r="I415" s="60">
        <v>0</v>
      </c>
      <c r="J415" s="5" t="s">
        <v>2422</v>
      </c>
      <c r="K415" s="58">
        <v>0</v>
      </c>
      <c r="L415" s="5" t="s">
        <v>993</v>
      </c>
      <c r="M415" s="5" t="s">
        <v>1344</v>
      </c>
      <c r="N415" t="str">
        <f>_xlfn.XLOOKUP(A415,Monitoring!A:A,Monitoring!D:D)</f>
        <v>MALLS</v>
      </c>
    </row>
    <row r="416" spans="1:14" x14ac:dyDescent="0.35">
      <c r="A416" s="5">
        <v>10001391</v>
      </c>
      <c r="B416" s="5" t="s">
        <v>1295</v>
      </c>
      <c r="C416" s="5" t="s">
        <v>1318</v>
      </c>
      <c r="D416" s="61">
        <v>46237</v>
      </c>
      <c r="E416" s="61">
        <v>46265</v>
      </c>
      <c r="F416" s="5" t="s">
        <v>1364</v>
      </c>
      <c r="G416" s="5" t="s">
        <v>2983</v>
      </c>
      <c r="H416" s="5" t="s">
        <v>2984</v>
      </c>
      <c r="I416" s="60">
        <v>0</v>
      </c>
      <c r="J416" s="5" t="s">
        <v>1425</v>
      </c>
      <c r="K416" s="58">
        <v>0</v>
      </c>
      <c r="L416" s="5" t="s">
        <v>993</v>
      </c>
      <c r="M416" s="5" t="s">
        <v>1344</v>
      </c>
      <c r="N416" t="str">
        <f>_xlfn.XLOOKUP(A416,Monitoring!A:A,Monitoring!D:D)</f>
        <v>MALLS</v>
      </c>
    </row>
    <row r="417" spans="1:14" x14ac:dyDescent="0.35">
      <c r="A417" s="5">
        <v>10001391</v>
      </c>
      <c r="B417" s="5" t="s">
        <v>1295</v>
      </c>
      <c r="C417" s="5" t="s">
        <v>1318</v>
      </c>
      <c r="D417" s="61">
        <v>46237</v>
      </c>
      <c r="E417" s="61">
        <v>46265</v>
      </c>
      <c r="F417" s="5" t="s">
        <v>1364</v>
      </c>
      <c r="G417" s="5" t="s">
        <v>2983</v>
      </c>
      <c r="H417" s="5" t="s">
        <v>2985</v>
      </c>
      <c r="I417" s="60">
        <v>0</v>
      </c>
      <c r="J417" s="5" t="s">
        <v>1300</v>
      </c>
      <c r="K417" s="58">
        <v>0</v>
      </c>
      <c r="L417" s="5" t="s">
        <v>993</v>
      </c>
      <c r="M417" s="5" t="s">
        <v>1344</v>
      </c>
      <c r="N417" t="str">
        <f>_xlfn.XLOOKUP(A417,Monitoring!A:A,Monitoring!D:D)</f>
        <v>MALLS</v>
      </c>
    </row>
    <row r="418" spans="1:14" x14ac:dyDescent="0.35">
      <c r="A418" s="5">
        <v>10001391</v>
      </c>
      <c r="B418" s="5" t="s">
        <v>1295</v>
      </c>
      <c r="C418" s="5" t="s">
        <v>1318</v>
      </c>
      <c r="D418" s="61">
        <v>46149</v>
      </c>
      <c r="E418" s="61">
        <v>46142</v>
      </c>
      <c r="F418" s="5" t="s">
        <v>1297</v>
      </c>
      <c r="G418" s="5" t="s">
        <v>2344</v>
      </c>
      <c r="H418" s="5" t="s">
        <v>2345</v>
      </c>
      <c r="I418" s="60">
        <v>0</v>
      </c>
      <c r="J418" s="5" t="s">
        <v>1300</v>
      </c>
      <c r="K418" s="58">
        <v>0</v>
      </c>
      <c r="L418" s="5" t="s">
        <v>1568</v>
      </c>
      <c r="M418" s="5" t="s">
        <v>1551</v>
      </c>
      <c r="N418" t="str">
        <f>_xlfn.XLOOKUP(A418,Monitoring!A:A,Monitoring!D:D)</f>
        <v>MALLS</v>
      </c>
    </row>
    <row r="419" spans="1:14" x14ac:dyDescent="0.35">
      <c r="A419" s="5">
        <v>10001391</v>
      </c>
      <c r="B419" s="5" t="s">
        <v>1295</v>
      </c>
      <c r="C419" s="5" t="s">
        <v>1318</v>
      </c>
      <c r="D419" s="61">
        <v>46175</v>
      </c>
      <c r="E419" s="61">
        <v>46173</v>
      </c>
      <c r="F419" s="5" t="s">
        <v>1297</v>
      </c>
      <c r="G419" s="5" t="s">
        <v>2346</v>
      </c>
      <c r="H419" s="5" t="s">
        <v>2338</v>
      </c>
      <c r="I419" s="60">
        <v>0</v>
      </c>
      <c r="J419" s="5" t="s">
        <v>1425</v>
      </c>
      <c r="K419" s="58">
        <v>0</v>
      </c>
      <c r="L419" s="5" t="s">
        <v>2347</v>
      </c>
      <c r="M419" s="5" t="s">
        <v>1551</v>
      </c>
      <c r="N419" t="str">
        <f>_xlfn.XLOOKUP(A419,Monitoring!A:A,Monitoring!D:D)</f>
        <v>MALLS</v>
      </c>
    </row>
    <row r="420" spans="1:14" x14ac:dyDescent="0.35">
      <c r="A420" s="5">
        <v>10001391</v>
      </c>
      <c r="B420" s="5" t="s">
        <v>1295</v>
      </c>
      <c r="C420" s="5" t="s">
        <v>1318</v>
      </c>
      <c r="D420" s="61">
        <v>46195</v>
      </c>
      <c r="E420" s="61">
        <v>46173</v>
      </c>
      <c r="F420" s="5" t="s">
        <v>1297</v>
      </c>
      <c r="G420" s="5" t="s">
        <v>2736</v>
      </c>
      <c r="H420" s="5" t="s">
        <v>2737</v>
      </c>
      <c r="I420" s="60">
        <v>0</v>
      </c>
      <c r="J420" s="5" t="s">
        <v>1425</v>
      </c>
      <c r="K420" s="58">
        <v>0</v>
      </c>
      <c r="L420" s="5" t="s">
        <v>1568</v>
      </c>
      <c r="M420" s="5" t="s">
        <v>1551</v>
      </c>
      <c r="N420" t="str">
        <f>_xlfn.XLOOKUP(A420,Monitoring!A:A,Monitoring!D:D)</f>
        <v>MALLS</v>
      </c>
    </row>
    <row r="421" spans="1:14" x14ac:dyDescent="0.35">
      <c r="A421" s="5">
        <v>10001391</v>
      </c>
      <c r="B421" s="5" t="s">
        <v>1295</v>
      </c>
      <c r="C421" s="5" t="s">
        <v>1318</v>
      </c>
      <c r="D421" s="61">
        <v>46195</v>
      </c>
      <c r="E421" s="61">
        <v>46173</v>
      </c>
      <c r="F421" s="5" t="s">
        <v>1297</v>
      </c>
      <c r="G421" s="5" t="s">
        <v>2736</v>
      </c>
      <c r="H421" s="5" t="s">
        <v>2738</v>
      </c>
      <c r="I421" s="60">
        <v>0</v>
      </c>
      <c r="J421" s="5" t="s">
        <v>1425</v>
      </c>
      <c r="K421" s="58">
        <v>0</v>
      </c>
      <c r="L421" s="5" t="s">
        <v>1568</v>
      </c>
      <c r="M421" s="5" t="s">
        <v>1551</v>
      </c>
      <c r="N421" t="str">
        <f>_xlfn.XLOOKUP(A421,Monitoring!A:A,Monitoring!D:D)</f>
        <v>MALLS</v>
      </c>
    </row>
    <row r="422" spans="1:14" x14ac:dyDescent="0.35">
      <c r="A422" s="5">
        <v>10001391</v>
      </c>
      <c r="B422" s="5" t="s">
        <v>1295</v>
      </c>
      <c r="C422" s="5" t="s">
        <v>1318</v>
      </c>
      <c r="D422" s="61">
        <v>46199</v>
      </c>
      <c r="E422" s="61">
        <v>46203</v>
      </c>
      <c r="F422" s="5" t="s">
        <v>1297</v>
      </c>
      <c r="G422" s="5" t="s">
        <v>2739</v>
      </c>
      <c r="H422" s="5" t="s">
        <v>2740</v>
      </c>
      <c r="I422" s="60">
        <v>0</v>
      </c>
      <c r="J422" s="5" t="s">
        <v>2422</v>
      </c>
      <c r="K422" s="58">
        <v>0</v>
      </c>
      <c r="L422" s="5" t="s">
        <v>1554</v>
      </c>
      <c r="M422" s="5" t="s">
        <v>1551</v>
      </c>
      <c r="N422" t="str">
        <f>_xlfn.XLOOKUP(A422,Monitoring!A:A,Monitoring!D:D)</f>
        <v>MALLS</v>
      </c>
    </row>
    <row r="423" spans="1:14" x14ac:dyDescent="0.35">
      <c r="A423" s="5">
        <v>10001391</v>
      </c>
      <c r="B423" s="5" t="s">
        <v>1295</v>
      </c>
      <c r="C423" s="5" t="s">
        <v>1318</v>
      </c>
      <c r="D423" s="61">
        <v>46246</v>
      </c>
      <c r="E423" s="61">
        <v>46265</v>
      </c>
      <c r="F423" s="5" t="s">
        <v>1297</v>
      </c>
      <c r="G423" s="5" t="s">
        <v>3125</v>
      </c>
      <c r="H423" s="5" t="s">
        <v>3126</v>
      </c>
      <c r="I423" s="60">
        <v>0</v>
      </c>
      <c r="J423" s="5" t="s">
        <v>1425</v>
      </c>
      <c r="K423" s="58">
        <v>0</v>
      </c>
      <c r="L423" s="5" t="s">
        <v>1568</v>
      </c>
      <c r="M423" s="5" t="s">
        <v>1540</v>
      </c>
      <c r="N423" t="str">
        <f>_xlfn.XLOOKUP(A423,Monitoring!A:A,Monitoring!D:D)</f>
        <v>MALLS</v>
      </c>
    </row>
    <row r="424" spans="1:14" x14ac:dyDescent="0.35">
      <c r="A424" s="5">
        <v>10001391</v>
      </c>
      <c r="B424" s="5" t="s">
        <v>1295</v>
      </c>
      <c r="C424" s="5" t="s">
        <v>1318</v>
      </c>
      <c r="D424" s="61">
        <v>46246</v>
      </c>
      <c r="E424" s="61">
        <v>46265</v>
      </c>
      <c r="F424" s="5" t="s">
        <v>1297</v>
      </c>
      <c r="G424" s="5" t="s">
        <v>3125</v>
      </c>
      <c r="H424" s="5" t="s">
        <v>2985</v>
      </c>
      <c r="I424" s="60">
        <v>0</v>
      </c>
      <c r="J424" s="5" t="s">
        <v>1300</v>
      </c>
      <c r="K424" s="58">
        <v>0</v>
      </c>
      <c r="L424" s="5" t="s">
        <v>1568</v>
      </c>
      <c r="M424" s="5" t="s">
        <v>1540</v>
      </c>
      <c r="N424" t="str">
        <f>_xlfn.XLOOKUP(A424,Monitoring!A:A,Monitoring!D:D)</f>
        <v>MALLS</v>
      </c>
    </row>
    <row r="425" spans="1:14" x14ac:dyDescent="0.35">
      <c r="A425" s="5">
        <v>10001393</v>
      </c>
      <c r="B425" s="5" t="s">
        <v>1295</v>
      </c>
      <c r="C425" s="5" t="s">
        <v>1318</v>
      </c>
      <c r="D425" s="61">
        <v>46062</v>
      </c>
      <c r="E425" s="61">
        <v>46081</v>
      </c>
      <c r="F425" s="5" t="s">
        <v>1364</v>
      </c>
      <c r="G425" s="5" t="s">
        <v>1556</v>
      </c>
      <c r="H425" s="5" t="s">
        <v>1557</v>
      </c>
      <c r="I425" s="60">
        <v>0</v>
      </c>
      <c r="J425" s="5" t="s">
        <v>1300</v>
      </c>
      <c r="K425" s="58">
        <v>0</v>
      </c>
      <c r="L425" s="5" t="s">
        <v>993</v>
      </c>
      <c r="M425" s="5" t="s">
        <v>1344</v>
      </c>
      <c r="N425" t="str">
        <f>_xlfn.XLOOKUP(A425,Monitoring!A:A,Monitoring!D:D)</f>
        <v>MALLS</v>
      </c>
    </row>
    <row r="426" spans="1:14" x14ac:dyDescent="0.35">
      <c r="A426" s="5">
        <v>10001393</v>
      </c>
      <c r="B426" s="5" t="s">
        <v>1295</v>
      </c>
      <c r="C426" s="5" t="s">
        <v>1318</v>
      </c>
      <c r="D426" s="61">
        <v>46062</v>
      </c>
      <c r="E426" s="61">
        <v>46081</v>
      </c>
      <c r="F426" s="5" t="s">
        <v>1364</v>
      </c>
      <c r="G426" s="5" t="s">
        <v>1558</v>
      </c>
      <c r="H426" s="5" t="s">
        <v>1559</v>
      </c>
      <c r="I426" s="60">
        <v>0</v>
      </c>
      <c r="J426" s="5" t="s">
        <v>1300</v>
      </c>
      <c r="K426" s="58">
        <v>0</v>
      </c>
      <c r="L426" s="5" t="s">
        <v>993</v>
      </c>
      <c r="M426" s="5" t="s">
        <v>1344</v>
      </c>
      <c r="N426" t="str">
        <f>_xlfn.XLOOKUP(A426,Monitoring!A:A,Monitoring!D:D)</f>
        <v>MALLS</v>
      </c>
    </row>
    <row r="427" spans="1:14" x14ac:dyDescent="0.35">
      <c r="A427" s="5">
        <v>10001393</v>
      </c>
      <c r="B427" s="5" t="s">
        <v>1295</v>
      </c>
      <c r="C427" s="5" t="s">
        <v>1318</v>
      </c>
      <c r="D427" s="61">
        <v>46063</v>
      </c>
      <c r="E427" s="61">
        <v>46081</v>
      </c>
      <c r="F427" s="5" t="s">
        <v>1364</v>
      </c>
      <c r="G427" s="5" t="s">
        <v>1560</v>
      </c>
      <c r="H427" s="5" t="s">
        <v>1561</v>
      </c>
      <c r="I427" s="60">
        <v>0</v>
      </c>
      <c r="J427" s="5" t="s">
        <v>1300</v>
      </c>
      <c r="K427" s="58">
        <v>0</v>
      </c>
      <c r="L427" s="5" t="s">
        <v>993</v>
      </c>
      <c r="M427" s="5" t="s">
        <v>1344</v>
      </c>
      <c r="N427" t="str">
        <f>_xlfn.XLOOKUP(A427,Monitoring!A:A,Monitoring!D:D)</f>
        <v>MALLS</v>
      </c>
    </row>
    <row r="428" spans="1:14" x14ac:dyDescent="0.35">
      <c r="A428" s="5">
        <v>10001393</v>
      </c>
      <c r="B428" s="5" t="s">
        <v>1295</v>
      </c>
      <c r="C428" s="5" t="s">
        <v>1318</v>
      </c>
      <c r="D428" s="61">
        <v>46063</v>
      </c>
      <c r="E428" s="61">
        <v>46081</v>
      </c>
      <c r="F428" s="5" t="s">
        <v>1364</v>
      </c>
      <c r="G428" s="5" t="s">
        <v>1562</v>
      </c>
      <c r="H428" s="5" t="s">
        <v>1563</v>
      </c>
      <c r="I428" s="60">
        <v>0</v>
      </c>
      <c r="J428" s="5" t="s">
        <v>1300</v>
      </c>
      <c r="K428" s="58">
        <v>0</v>
      </c>
      <c r="L428" s="5" t="s">
        <v>993</v>
      </c>
      <c r="M428" s="5" t="s">
        <v>1344</v>
      </c>
      <c r="N428" t="str">
        <f>_xlfn.XLOOKUP(A428,Monitoring!A:A,Monitoring!D:D)</f>
        <v>MALLS</v>
      </c>
    </row>
    <row r="429" spans="1:14" x14ac:dyDescent="0.35">
      <c r="A429" s="5">
        <v>10001393</v>
      </c>
      <c r="B429" s="5" t="s">
        <v>1295</v>
      </c>
      <c r="C429" s="5" t="s">
        <v>1318</v>
      </c>
      <c r="D429" s="61">
        <v>46066</v>
      </c>
      <c r="E429" s="61">
        <v>46081</v>
      </c>
      <c r="F429" s="5" t="s">
        <v>1364</v>
      </c>
      <c r="G429" s="5" t="s">
        <v>1564</v>
      </c>
      <c r="H429" s="5" t="s">
        <v>1565</v>
      </c>
      <c r="I429" s="60">
        <v>0</v>
      </c>
      <c r="J429" s="5" t="s">
        <v>1425</v>
      </c>
      <c r="K429" s="58">
        <v>0</v>
      </c>
      <c r="L429" s="5" t="s">
        <v>993</v>
      </c>
      <c r="M429" s="5" t="s">
        <v>1344</v>
      </c>
      <c r="N429" t="str">
        <f>_xlfn.XLOOKUP(A429,Monitoring!A:A,Monitoring!D:D)</f>
        <v>MALLS</v>
      </c>
    </row>
    <row r="430" spans="1:14" x14ac:dyDescent="0.35">
      <c r="A430" s="5">
        <v>10001393</v>
      </c>
      <c r="B430" s="5" t="s">
        <v>1295</v>
      </c>
      <c r="C430" s="5" t="s">
        <v>1318</v>
      </c>
      <c r="D430" s="61">
        <v>46080</v>
      </c>
      <c r="E430" s="61">
        <v>46112</v>
      </c>
      <c r="F430" s="5" t="s">
        <v>1364</v>
      </c>
      <c r="G430" s="5" t="s">
        <v>1566</v>
      </c>
      <c r="H430" s="5" t="s">
        <v>1567</v>
      </c>
      <c r="I430" s="60">
        <v>0</v>
      </c>
      <c r="J430" s="5" t="s">
        <v>1300</v>
      </c>
      <c r="K430" s="58">
        <v>0</v>
      </c>
      <c r="L430" s="5" t="s">
        <v>993</v>
      </c>
      <c r="M430" s="5" t="s">
        <v>1344</v>
      </c>
      <c r="N430" t="str">
        <f>_xlfn.XLOOKUP(A430,Monitoring!A:A,Monitoring!D:D)</f>
        <v>MALLS</v>
      </c>
    </row>
    <row r="431" spans="1:14" x14ac:dyDescent="0.35">
      <c r="A431" s="5">
        <v>10001393</v>
      </c>
      <c r="B431" s="5" t="s">
        <v>1295</v>
      </c>
      <c r="C431" s="5" t="s">
        <v>1318</v>
      </c>
      <c r="D431" s="61">
        <v>46122</v>
      </c>
      <c r="E431" s="61">
        <v>46142</v>
      </c>
      <c r="F431" s="5" t="s">
        <v>1364</v>
      </c>
      <c r="G431" s="5" t="s">
        <v>1994</v>
      </c>
      <c r="H431" s="5" t="s">
        <v>1995</v>
      </c>
      <c r="I431" s="60">
        <v>0</v>
      </c>
      <c r="J431" s="5" t="s">
        <v>1300</v>
      </c>
      <c r="K431" s="58">
        <v>0</v>
      </c>
      <c r="L431" s="5" t="s">
        <v>993</v>
      </c>
      <c r="M431" s="5" t="s">
        <v>1344</v>
      </c>
      <c r="N431" t="str">
        <f>_xlfn.XLOOKUP(A431,Monitoring!A:A,Monitoring!D:D)</f>
        <v>MALLS</v>
      </c>
    </row>
    <row r="432" spans="1:14" x14ac:dyDescent="0.35">
      <c r="A432" s="5">
        <v>10001393</v>
      </c>
      <c r="B432" s="5" t="s">
        <v>1295</v>
      </c>
      <c r="C432" s="5" t="s">
        <v>1318</v>
      </c>
      <c r="D432" s="61">
        <v>46133</v>
      </c>
      <c r="E432" s="61">
        <v>46142</v>
      </c>
      <c r="F432" s="5" t="s">
        <v>1364</v>
      </c>
      <c r="G432" s="5" t="s">
        <v>1996</v>
      </c>
      <c r="H432" s="5" t="s">
        <v>1997</v>
      </c>
      <c r="I432" s="60">
        <v>0</v>
      </c>
      <c r="J432" s="5" t="s">
        <v>1300</v>
      </c>
      <c r="K432" s="58">
        <v>0</v>
      </c>
      <c r="L432" s="5" t="s">
        <v>993</v>
      </c>
      <c r="M432" s="5" t="s">
        <v>1344</v>
      </c>
      <c r="N432" t="str">
        <f>_xlfn.XLOOKUP(A432,Monitoring!A:A,Monitoring!D:D)</f>
        <v>MALLS</v>
      </c>
    </row>
    <row r="433" spans="1:14" x14ac:dyDescent="0.35">
      <c r="A433" s="5">
        <v>10001393</v>
      </c>
      <c r="B433" s="5" t="s">
        <v>1295</v>
      </c>
      <c r="C433" s="5" t="s">
        <v>1318</v>
      </c>
      <c r="D433" s="61">
        <v>46133</v>
      </c>
      <c r="E433" s="61">
        <v>46142</v>
      </c>
      <c r="F433" s="5" t="s">
        <v>1364</v>
      </c>
      <c r="G433" s="5" t="s">
        <v>1998</v>
      </c>
      <c r="H433" s="5" t="s">
        <v>1997</v>
      </c>
      <c r="I433" s="60">
        <v>0</v>
      </c>
      <c r="J433" s="5" t="s">
        <v>1300</v>
      </c>
      <c r="K433" s="58">
        <v>0</v>
      </c>
      <c r="L433" s="5" t="s">
        <v>993</v>
      </c>
      <c r="M433" s="5" t="s">
        <v>1344</v>
      </c>
      <c r="N433" t="str">
        <f>_xlfn.XLOOKUP(A433,Monitoring!A:A,Monitoring!D:D)</f>
        <v>MALLS</v>
      </c>
    </row>
    <row r="434" spans="1:14" x14ac:dyDescent="0.35">
      <c r="A434" s="5">
        <v>10001393</v>
      </c>
      <c r="B434" s="5" t="s">
        <v>1295</v>
      </c>
      <c r="C434" s="5" t="s">
        <v>1318</v>
      </c>
      <c r="D434" s="61">
        <v>46140</v>
      </c>
      <c r="E434" s="61">
        <v>46142</v>
      </c>
      <c r="F434" s="5" t="s">
        <v>1364</v>
      </c>
      <c r="G434" s="5" t="s">
        <v>2103</v>
      </c>
      <c r="H434" s="5" t="s">
        <v>2104</v>
      </c>
      <c r="I434" s="60">
        <v>0</v>
      </c>
      <c r="J434" s="5" t="s">
        <v>2105</v>
      </c>
      <c r="K434" s="58">
        <v>0</v>
      </c>
      <c r="L434" s="5" t="s">
        <v>993</v>
      </c>
      <c r="M434" s="5" t="s">
        <v>1344</v>
      </c>
      <c r="N434" t="str">
        <f>_xlfn.XLOOKUP(A434,Monitoring!A:A,Monitoring!D:D)</f>
        <v>MALLS</v>
      </c>
    </row>
    <row r="435" spans="1:14" x14ac:dyDescent="0.35">
      <c r="A435" s="5">
        <v>10001393</v>
      </c>
      <c r="B435" s="5" t="s">
        <v>1295</v>
      </c>
      <c r="C435" s="5" t="s">
        <v>1318</v>
      </c>
      <c r="D435" s="61">
        <v>46147</v>
      </c>
      <c r="E435" s="61">
        <v>46173</v>
      </c>
      <c r="F435" s="5" t="s">
        <v>1364</v>
      </c>
      <c r="G435" s="5" t="s">
        <v>2348</v>
      </c>
      <c r="H435" s="5" t="s">
        <v>2349</v>
      </c>
      <c r="I435" s="60">
        <v>0</v>
      </c>
      <c r="J435" s="5" t="s">
        <v>1425</v>
      </c>
      <c r="K435" s="58">
        <v>0</v>
      </c>
      <c r="L435" s="5" t="s">
        <v>993</v>
      </c>
      <c r="M435" s="5" t="s">
        <v>1344</v>
      </c>
      <c r="N435" t="str">
        <f>_xlfn.XLOOKUP(A435,Monitoring!A:A,Monitoring!D:D)</f>
        <v>MALLS</v>
      </c>
    </row>
    <row r="436" spans="1:14" x14ac:dyDescent="0.35">
      <c r="A436" s="5">
        <v>10001393</v>
      </c>
      <c r="B436" s="5" t="s">
        <v>1295</v>
      </c>
      <c r="C436" s="5" t="s">
        <v>1318</v>
      </c>
      <c r="D436" s="61">
        <v>46160</v>
      </c>
      <c r="E436" s="61">
        <v>46173</v>
      </c>
      <c r="F436" s="5" t="s">
        <v>1364</v>
      </c>
      <c r="G436" s="5" t="s">
        <v>2350</v>
      </c>
      <c r="H436" s="5" t="s">
        <v>2351</v>
      </c>
      <c r="I436" s="60">
        <v>0</v>
      </c>
      <c r="J436" s="5" t="s">
        <v>1300</v>
      </c>
      <c r="K436" s="58">
        <v>0</v>
      </c>
      <c r="L436" s="5" t="s">
        <v>993</v>
      </c>
      <c r="M436" s="5" t="s">
        <v>1344</v>
      </c>
      <c r="N436" t="str">
        <f>_xlfn.XLOOKUP(A436,Monitoring!A:A,Monitoring!D:D)</f>
        <v>MALLS</v>
      </c>
    </row>
    <row r="437" spans="1:14" x14ac:dyDescent="0.35">
      <c r="A437" s="5">
        <v>10001393</v>
      </c>
      <c r="B437" s="5" t="s">
        <v>1295</v>
      </c>
      <c r="C437" s="5" t="s">
        <v>1318</v>
      </c>
      <c r="D437" s="61">
        <v>46160</v>
      </c>
      <c r="E437" s="61">
        <v>46173</v>
      </c>
      <c r="F437" s="5" t="s">
        <v>1364</v>
      </c>
      <c r="G437" s="5" t="s">
        <v>2352</v>
      </c>
      <c r="H437" s="5" t="s">
        <v>2353</v>
      </c>
      <c r="I437" s="60">
        <v>0</v>
      </c>
      <c r="J437" s="5" t="s">
        <v>1300</v>
      </c>
      <c r="K437" s="58">
        <v>0</v>
      </c>
      <c r="L437" s="5" t="s">
        <v>993</v>
      </c>
      <c r="M437" s="5" t="s">
        <v>1344</v>
      </c>
      <c r="N437" t="str">
        <f>_xlfn.XLOOKUP(A437,Monitoring!A:A,Monitoring!D:D)</f>
        <v>MALLS</v>
      </c>
    </row>
    <row r="438" spans="1:14" x14ac:dyDescent="0.35">
      <c r="A438" s="5">
        <v>10001393</v>
      </c>
      <c r="B438" s="5" t="s">
        <v>1295</v>
      </c>
      <c r="C438" s="5" t="s">
        <v>1318</v>
      </c>
      <c r="D438" s="61">
        <v>46191</v>
      </c>
      <c r="E438" s="61">
        <v>46203</v>
      </c>
      <c r="F438" s="5" t="s">
        <v>1364</v>
      </c>
      <c r="G438" s="5" t="s">
        <v>2741</v>
      </c>
      <c r="H438" s="5" t="s">
        <v>2742</v>
      </c>
      <c r="I438" s="60">
        <v>0</v>
      </c>
      <c r="J438" s="5" t="s">
        <v>2105</v>
      </c>
      <c r="K438" s="58">
        <v>0</v>
      </c>
      <c r="L438" s="5" t="s">
        <v>993</v>
      </c>
      <c r="M438" s="5" t="s">
        <v>1344</v>
      </c>
      <c r="N438" t="str">
        <f>_xlfn.XLOOKUP(A438,Monitoring!A:A,Monitoring!D:D)</f>
        <v>MALLS</v>
      </c>
    </row>
    <row r="439" spans="1:14" x14ac:dyDescent="0.35">
      <c r="A439" s="5">
        <v>10001393</v>
      </c>
      <c r="B439" s="5" t="s">
        <v>1295</v>
      </c>
      <c r="C439" s="5" t="s">
        <v>1318</v>
      </c>
      <c r="D439" s="61">
        <v>46226</v>
      </c>
      <c r="E439" s="61">
        <v>46234</v>
      </c>
      <c r="F439" s="5" t="s">
        <v>1364</v>
      </c>
      <c r="G439" s="5" t="s">
        <v>2986</v>
      </c>
      <c r="H439" s="5" t="s">
        <v>2987</v>
      </c>
      <c r="I439" s="60">
        <v>0</v>
      </c>
      <c r="J439" s="5" t="s">
        <v>1425</v>
      </c>
      <c r="K439" s="58">
        <v>0</v>
      </c>
      <c r="L439" s="5" t="s">
        <v>993</v>
      </c>
      <c r="M439" s="5" t="s">
        <v>1344</v>
      </c>
      <c r="N439" t="str">
        <f>_xlfn.XLOOKUP(A439,Monitoring!A:A,Monitoring!D:D)</f>
        <v>MALLS</v>
      </c>
    </row>
    <row r="440" spans="1:14" x14ac:dyDescent="0.35">
      <c r="A440" s="5">
        <v>10001393</v>
      </c>
      <c r="B440" s="5" t="s">
        <v>1295</v>
      </c>
      <c r="C440" s="5" t="s">
        <v>1318</v>
      </c>
      <c r="D440" s="61">
        <v>46232</v>
      </c>
      <c r="E440" s="61">
        <v>46234</v>
      </c>
      <c r="F440" s="5" t="s">
        <v>1364</v>
      </c>
      <c r="G440" s="5" t="s">
        <v>2988</v>
      </c>
      <c r="H440" s="5" t="s">
        <v>2989</v>
      </c>
      <c r="I440" s="60">
        <v>0</v>
      </c>
      <c r="J440" s="5" t="s">
        <v>1425</v>
      </c>
      <c r="K440" s="58">
        <v>0</v>
      </c>
      <c r="L440" s="5" t="s">
        <v>993</v>
      </c>
      <c r="M440" s="5" t="s">
        <v>1344</v>
      </c>
      <c r="N440" t="str">
        <f>_xlfn.XLOOKUP(A440,Monitoring!A:A,Monitoring!D:D)</f>
        <v>MALLS</v>
      </c>
    </row>
    <row r="441" spans="1:14" x14ac:dyDescent="0.35">
      <c r="A441" s="5">
        <v>10001393</v>
      </c>
      <c r="B441" s="5" t="s">
        <v>1295</v>
      </c>
      <c r="C441" s="5" t="s">
        <v>1318</v>
      </c>
      <c r="D441" s="61">
        <v>46071</v>
      </c>
      <c r="E441" s="61">
        <v>46081</v>
      </c>
      <c r="F441" s="5" t="s">
        <v>1297</v>
      </c>
      <c r="G441" s="5" t="s">
        <v>1221</v>
      </c>
      <c r="H441" s="5" t="s">
        <v>1223</v>
      </c>
      <c r="I441" s="60">
        <v>0</v>
      </c>
      <c r="J441" s="5" t="s">
        <v>1425</v>
      </c>
      <c r="K441" s="58">
        <v>0</v>
      </c>
      <c r="L441" s="5" t="s">
        <v>1568</v>
      </c>
      <c r="M441" s="5" t="s">
        <v>1551</v>
      </c>
      <c r="N441" t="str">
        <f>_xlfn.XLOOKUP(A441,Monitoring!A:A,Monitoring!D:D)</f>
        <v>MALLS</v>
      </c>
    </row>
    <row r="442" spans="1:14" x14ac:dyDescent="0.35">
      <c r="A442" s="5">
        <v>10001393</v>
      </c>
      <c r="B442" s="5" t="s">
        <v>1295</v>
      </c>
      <c r="C442" s="5" t="s">
        <v>1318</v>
      </c>
      <c r="D442" s="61">
        <v>46076</v>
      </c>
      <c r="E442" s="61">
        <v>46081</v>
      </c>
      <c r="F442" s="5" t="s">
        <v>1297</v>
      </c>
      <c r="G442" s="5" t="s">
        <v>1569</v>
      </c>
      <c r="H442" s="5" t="s">
        <v>1570</v>
      </c>
      <c r="I442" s="60">
        <v>0</v>
      </c>
      <c r="J442" s="5" t="s">
        <v>1300</v>
      </c>
      <c r="K442" s="58">
        <v>0</v>
      </c>
      <c r="L442" s="5" t="s">
        <v>1571</v>
      </c>
      <c r="M442" s="5" t="s">
        <v>1551</v>
      </c>
      <c r="N442" t="str">
        <f>_xlfn.XLOOKUP(A442,Monitoring!A:A,Monitoring!D:D)</f>
        <v>MALLS</v>
      </c>
    </row>
    <row r="443" spans="1:14" x14ac:dyDescent="0.35">
      <c r="A443" s="5">
        <v>10001393</v>
      </c>
      <c r="B443" s="5" t="s">
        <v>1295</v>
      </c>
      <c r="C443" s="5" t="s">
        <v>1318</v>
      </c>
      <c r="D443" s="61">
        <v>46080</v>
      </c>
      <c r="E443" s="61">
        <v>46081</v>
      </c>
      <c r="F443" s="5" t="s">
        <v>1297</v>
      </c>
      <c r="G443" s="5" t="s">
        <v>1227</v>
      </c>
      <c r="H443" s="5" t="s">
        <v>1226</v>
      </c>
      <c r="I443" s="60">
        <v>0</v>
      </c>
      <c r="J443" s="5" t="s">
        <v>1300</v>
      </c>
      <c r="K443" s="58">
        <v>0</v>
      </c>
      <c r="L443" s="5" t="s">
        <v>1462</v>
      </c>
      <c r="M443" s="5" t="s">
        <v>1551</v>
      </c>
      <c r="N443" t="str">
        <f>_xlfn.XLOOKUP(A443,Monitoring!A:A,Monitoring!D:D)</f>
        <v>MALLS</v>
      </c>
    </row>
    <row r="444" spans="1:14" x14ac:dyDescent="0.35">
      <c r="A444" s="5">
        <v>10001393</v>
      </c>
      <c r="B444" s="5" t="s">
        <v>1295</v>
      </c>
      <c r="C444" s="5" t="s">
        <v>1318</v>
      </c>
      <c r="D444" s="61">
        <v>46080</v>
      </c>
      <c r="E444" s="61">
        <v>46081</v>
      </c>
      <c r="F444" s="5" t="s">
        <v>1297</v>
      </c>
      <c r="G444" s="5" t="s">
        <v>1224</v>
      </c>
      <c r="H444" s="5" t="s">
        <v>1226</v>
      </c>
      <c r="I444" s="60">
        <v>0</v>
      </c>
      <c r="J444" s="5" t="s">
        <v>1300</v>
      </c>
      <c r="K444" s="58">
        <v>0</v>
      </c>
      <c r="L444" s="5" t="s">
        <v>1462</v>
      </c>
      <c r="M444" s="5" t="s">
        <v>1551</v>
      </c>
      <c r="N444" t="str">
        <f>_xlfn.XLOOKUP(A444,Monitoring!A:A,Monitoring!D:D)</f>
        <v>MALLS</v>
      </c>
    </row>
    <row r="445" spans="1:14" x14ac:dyDescent="0.35">
      <c r="A445" s="5">
        <v>10001393</v>
      </c>
      <c r="B445" s="5" t="s">
        <v>1295</v>
      </c>
      <c r="C445" s="5" t="s">
        <v>1318</v>
      </c>
      <c r="D445" s="61">
        <v>46086</v>
      </c>
      <c r="E445" s="61">
        <v>46081</v>
      </c>
      <c r="F445" s="5" t="s">
        <v>1297</v>
      </c>
      <c r="G445" s="5" t="s">
        <v>1572</v>
      </c>
      <c r="H445" s="5" t="s">
        <v>1573</v>
      </c>
      <c r="I445" s="60">
        <v>0</v>
      </c>
      <c r="J445" s="5" t="s">
        <v>1300</v>
      </c>
      <c r="K445" s="58">
        <v>0</v>
      </c>
      <c r="L445" s="5" t="s">
        <v>1574</v>
      </c>
      <c r="M445" s="5" t="s">
        <v>1551</v>
      </c>
      <c r="N445" t="str">
        <f>_xlfn.XLOOKUP(A445,Monitoring!A:A,Monitoring!D:D)</f>
        <v>MALLS</v>
      </c>
    </row>
    <row r="446" spans="1:14" x14ac:dyDescent="0.35">
      <c r="A446" s="5">
        <v>10001393</v>
      </c>
      <c r="B446" s="5" t="s">
        <v>1295</v>
      </c>
      <c r="C446" s="5" t="s">
        <v>1318</v>
      </c>
      <c r="D446" s="61">
        <v>46086</v>
      </c>
      <c r="E446" s="61">
        <v>46112</v>
      </c>
      <c r="F446" s="5" t="s">
        <v>1297</v>
      </c>
      <c r="G446" s="5" t="s">
        <v>1575</v>
      </c>
      <c r="H446" s="5" t="s">
        <v>1567</v>
      </c>
      <c r="I446" s="60">
        <v>0</v>
      </c>
      <c r="J446" s="5" t="s">
        <v>1300</v>
      </c>
      <c r="K446" s="58">
        <v>0</v>
      </c>
      <c r="L446" s="5" t="s">
        <v>1576</v>
      </c>
      <c r="M446" s="5" t="s">
        <v>1551</v>
      </c>
      <c r="N446" t="str">
        <f>_xlfn.XLOOKUP(A446,Monitoring!A:A,Monitoring!D:D)</f>
        <v>MALLS</v>
      </c>
    </row>
    <row r="447" spans="1:14" x14ac:dyDescent="0.35">
      <c r="A447" s="5">
        <v>10001393</v>
      </c>
      <c r="B447" s="5" t="s">
        <v>1295</v>
      </c>
      <c r="C447" s="5" t="s">
        <v>1318</v>
      </c>
      <c r="D447" s="61">
        <v>46127</v>
      </c>
      <c r="E447" s="61">
        <v>46142</v>
      </c>
      <c r="F447" s="5" t="s">
        <v>1297</v>
      </c>
      <c r="G447" s="5" t="s">
        <v>1928</v>
      </c>
      <c r="H447" s="5" t="s">
        <v>1930</v>
      </c>
      <c r="I447" s="60">
        <v>0</v>
      </c>
      <c r="J447" s="5" t="s">
        <v>1300</v>
      </c>
      <c r="K447" s="58">
        <v>0</v>
      </c>
      <c r="L447" s="5" t="s">
        <v>1568</v>
      </c>
      <c r="M447" s="5" t="s">
        <v>1551</v>
      </c>
      <c r="N447" t="str">
        <f>_xlfn.XLOOKUP(A447,Monitoring!A:A,Monitoring!D:D)</f>
        <v>MALLS</v>
      </c>
    </row>
    <row r="448" spans="1:14" x14ac:dyDescent="0.35">
      <c r="A448" s="5">
        <v>10001393</v>
      </c>
      <c r="B448" s="5" t="s">
        <v>1295</v>
      </c>
      <c r="C448" s="5" t="s">
        <v>1318</v>
      </c>
      <c r="D448" s="61">
        <v>46146</v>
      </c>
      <c r="E448" s="61">
        <v>46142</v>
      </c>
      <c r="F448" s="5" t="s">
        <v>1297</v>
      </c>
      <c r="G448" s="5" t="s">
        <v>2210</v>
      </c>
      <c r="H448" s="5" t="s">
        <v>2212</v>
      </c>
      <c r="I448" s="60">
        <v>0</v>
      </c>
      <c r="J448" s="5" t="s">
        <v>1300</v>
      </c>
      <c r="K448" s="58">
        <v>0</v>
      </c>
      <c r="L448" s="5" t="s">
        <v>1568</v>
      </c>
      <c r="M448" s="5" t="s">
        <v>1551</v>
      </c>
      <c r="N448" t="str">
        <f>_xlfn.XLOOKUP(A448,Monitoring!A:A,Monitoring!D:D)</f>
        <v>MALLS</v>
      </c>
    </row>
    <row r="449" spans="1:14" x14ac:dyDescent="0.35">
      <c r="A449" s="5">
        <v>10001393</v>
      </c>
      <c r="B449" s="5" t="s">
        <v>1295</v>
      </c>
      <c r="C449" s="5" t="s">
        <v>1318</v>
      </c>
      <c r="D449" s="61">
        <v>46146</v>
      </c>
      <c r="E449" s="61">
        <v>46142</v>
      </c>
      <c r="F449" s="5" t="s">
        <v>1297</v>
      </c>
      <c r="G449" s="5" t="s">
        <v>2213</v>
      </c>
      <c r="H449" s="5" t="s">
        <v>2212</v>
      </c>
      <c r="I449" s="60">
        <v>0</v>
      </c>
      <c r="J449" s="5" t="s">
        <v>1300</v>
      </c>
      <c r="K449" s="58">
        <v>0</v>
      </c>
      <c r="L449" s="5" t="s">
        <v>1568</v>
      </c>
      <c r="M449" s="5" t="s">
        <v>1551</v>
      </c>
      <c r="N449" t="str">
        <f>_xlfn.XLOOKUP(A449,Monitoring!A:A,Monitoring!D:D)</f>
        <v>MALLS</v>
      </c>
    </row>
    <row r="450" spans="1:14" x14ac:dyDescent="0.35">
      <c r="A450" s="5">
        <v>10001393</v>
      </c>
      <c r="B450" s="5" t="s">
        <v>1295</v>
      </c>
      <c r="C450" s="5" t="s">
        <v>1318</v>
      </c>
      <c r="D450" s="61">
        <v>46160</v>
      </c>
      <c r="E450" s="61">
        <v>46173</v>
      </c>
      <c r="F450" s="5" t="s">
        <v>1297</v>
      </c>
      <c r="G450" s="5" t="s">
        <v>2217</v>
      </c>
      <c r="H450" s="5" t="s">
        <v>2219</v>
      </c>
      <c r="I450" s="60">
        <v>0</v>
      </c>
      <c r="J450" s="5" t="s">
        <v>1425</v>
      </c>
      <c r="K450" s="58">
        <v>0</v>
      </c>
      <c r="L450" s="5" t="s">
        <v>1568</v>
      </c>
      <c r="M450" s="5" t="s">
        <v>1551</v>
      </c>
      <c r="N450" t="str">
        <f>_xlfn.XLOOKUP(A450,Monitoring!A:A,Monitoring!D:D)</f>
        <v>MALLS</v>
      </c>
    </row>
    <row r="451" spans="1:14" x14ac:dyDescent="0.35">
      <c r="A451" s="5">
        <v>10001393</v>
      </c>
      <c r="B451" s="5" t="s">
        <v>1295</v>
      </c>
      <c r="C451" s="5" t="s">
        <v>1318</v>
      </c>
      <c r="D451" s="61">
        <v>46170</v>
      </c>
      <c r="E451" s="61">
        <v>46173</v>
      </c>
      <c r="F451" s="5" t="s">
        <v>1297</v>
      </c>
      <c r="G451" s="5" t="s">
        <v>2354</v>
      </c>
      <c r="H451" s="5" t="s">
        <v>2355</v>
      </c>
      <c r="I451" s="60">
        <v>0</v>
      </c>
      <c r="J451" s="5" t="s">
        <v>1300</v>
      </c>
      <c r="K451" s="58">
        <v>0</v>
      </c>
      <c r="L451" s="5" t="s">
        <v>1394</v>
      </c>
      <c r="M451" s="5" t="s">
        <v>1551</v>
      </c>
      <c r="N451" t="str">
        <f>_xlfn.XLOOKUP(A451,Monitoring!A:A,Monitoring!D:D)</f>
        <v>MALLS</v>
      </c>
    </row>
    <row r="452" spans="1:14" x14ac:dyDescent="0.35">
      <c r="A452" s="5">
        <v>10001393</v>
      </c>
      <c r="B452" s="5" t="s">
        <v>1295</v>
      </c>
      <c r="C452" s="5" t="s">
        <v>1318</v>
      </c>
      <c r="D452" s="61">
        <v>46174</v>
      </c>
      <c r="E452" s="61">
        <v>46173</v>
      </c>
      <c r="F452" s="5" t="s">
        <v>1297</v>
      </c>
      <c r="G452" s="5" t="s">
        <v>2356</v>
      </c>
      <c r="H452" s="5" t="s">
        <v>2353</v>
      </c>
      <c r="I452" s="60">
        <v>0</v>
      </c>
      <c r="J452" s="5" t="s">
        <v>1300</v>
      </c>
      <c r="K452" s="58">
        <v>0</v>
      </c>
      <c r="L452" s="5" t="s">
        <v>1305</v>
      </c>
      <c r="M452" s="5" t="s">
        <v>1551</v>
      </c>
      <c r="N452" t="str">
        <f>_xlfn.XLOOKUP(A452,Monitoring!A:A,Monitoring!D:D)</f>
        <v>MALLS</v>
      </c>
    </row>
    <row r="453" spans="1:14" x14ac:dyDescent="0.35">
      <c r="A453" s="5">
        <v>10001393</v>
      </c>
      <c r="B453" s="5" t="s">
        <v>1295</v>
      </c>
      <c r="C453" s="5" t="s">
        <v>1318</v>
      </c>
      <c r="D453" s="61">
        <v>46174</v>
      </c>
      <c r="E453" s="61">
        <v>46142</v>
      </c>
      <c r="F453" s="5" t="s">
        <v>1297</v>
      </c>
      <c r="G453" s="5" t="s">
        <v>2357</v>
      </c>
      <c r="H453" s="5" t="s">
        <v>2104</v>
      </c>
      <c r="I453" s="60">
        <v>0</v>
      </c>
      <c r="J453" s="5" t="s">
        <v>2105</v>
      </c>
      <c r="K453" s="58">
        <v>0</v>
      </c>
      <c r="L453" s="5" t="s">
        <v>2358</v>
      </c>
      <c r="M453" s="5" t="s">
        <v>1551</v>
      </c>
      <c r="N453" t="str">
        <f>_xlfn.XLOOKUP(A453,Monitoring!A:A,Monitoring!D:D)</f>
        <v>MALLS</v>
      </c>
    </row>
    <row r="454" spans="1:14" x14ac:dyDescent="0.35">
      <c r="A454" s="5">
        <v>10001393</v>
      </c>
      <c r="B454" s="5" t="s">
        <v>1295</v>
      </c>
      <c r="C454" s="5" t="s">
        <v>1318</v>
      </c>
      <c r="D454" s="61">
        <v>46196</v>
      </c>
      <c r="E454" s="61">
        <v>46203</v>
      </c>
      <c r="F454" s="5" t="s">
        <v>1297</v>
      </c>
      <c r="G454" s="5" t="s">
        <v>2743</v>
      </c>
      <c r="H454" s="5" t="s">
        <v>2744</v>
      </c>
      <c r="I454" s="60">
        <v>10</v>
      </c>
      <c r="J454" s="5" t="s">
        <v>2105</v>
      </c>
      <c r="K454" s="58">
        <v>71428.570000000007</v>
      </c>
      <c r="L454" s="5" t="s">
        <v>2358</v>
      </c>
      <c r="M454" s="5" t="s">
        <v>1344</v>
      </c>
      <c r="N454" t="str">
        <f>_xlfn.XLOOKUP(A454,Monitoring!A:A,Monitoring!D:D)</f>
        <v>MALLS</v>
      </c>
    </row>
    <row r="455" spans="1:14" x14ac:dyDescent="0.35">
      <c r="A455" s="5">
        <v>10001393</v>
      </c>
      <c r="B455" s="5" t="s">
        <v>1295</v>
      </c>
      <c r="C455" s="5" t="s">
        <v>1318</v>
      </c>
      <c r="D455" s="61">
        <v>46239</v>
      </c>
      <c r="E455" s="61">
        <v>46234</v>
      </c>
      <c r="F455" s="5" t="s">
        <v>1297</v>
      </c>
      <c r="G455" s="5" t="s">
        <v>2990</v>
      </c>
      <c r="H455" s="5" t="s">
        <v>2991</v>
      </c>
      <c r="I455" s="60">
        <v>0</v>
      </c>
      <c r="J455" s="5" t="s">
        <v>1425</v>
      </c>
      <c r="K455" s="58">
        <v>0</v>
      </c>
      <c r="L455" s="5" t="s">
        <v>2992</v>
      </c>
      <c r="M455" s="5" t="s">
        <v>1551</v>
      </c>
      <c r="N455" t="str">
        <f>_xlfn.XLOOKUP(A455,Monitoring!A:A,Monitoring!D:D)</f>
        <v>MALLS</v>
      </c>
    </row>
    <row r="456" spans="1:14" x14ac:dyDescent="0.35">
      <c r="A456" s="5">
        <v>10001393</v>
      </c>
      <c r="B456" s="5" t="s">
        <v>1295</v>
      </c>
      <c r="C456" s="5" t="s">
        <v>1318</v>
      </c>
      <c r="D456" s="61">
        <v>46239</v>
      </c>
      <c r="E456" s="61">
        <v>46234</v>
      </c>
      <c r="F456" s="5" t="s">
        <v>1297</v>
      </c>
      <c r="G456" s="5" t="s">
        <v>2993</v>
      </c>
      <c r="H456" s="5" t="s">
        <v>2994</v>
      </c>
      <c r="I456" s="60">
        <v>0</v>
      </c>
      <c r="J456" s="5" t="s">
        <v>1425</v>
      </c>
      <c r="K456" s="58">
        <v>0</v>
      </c>
      <c r="L456" s="5" t="s">
        <v>1568</v>
      </c>
      <c r="M456" s="5" t="s">
        <v>1555</v>
      </c>
      <c r="N456" t="str">
        <f>_xlfn.XLOOKUP(A456,Monitoring!A:A,Monitoring!D:D)</f>
        <v>MALLS</v>
      </c>
    </row>
    <row r="457" spans="1:14" x14ac:dyDescent="0.35">
      <c r="A457" s="5">
        <v>10001394</v>
      </c>
      <c r="B457" s="5" t="s">
        <v>1295</v>
      </c>
      <c r="C457" s="5" t="s">
        <v>1318</v>
      </c>
      <c r="D457" s="61">
        <v>46062</v>
      </c>
      <c r="E457" s="61">
        <v>46081</v>
      </c>
      <c r="F457" s="5" t="s">
        <v>1364</v>
      </c>
      <c r="G457" s="5" t="s">
        <v>1577</v>
      </c>
      <c r="H457" s="5" t="s">
        <v>1578</v>
      </c>
      <c r="I457" s="60">
        <v>0</v>
      </c>
      <c r="J457" s="5" t="s">
        <v>1300</v>
      </c>
      <c r="K457" s="58">
        <v>0</v>
      </c>
      <c r="L457" s="5" t="s">
        <v>993</v>
      </c>
      <c r="M457" s="5" t="s">
        <v>1344</v>
      </c>
      <c r="N457" t="str">
        <f>_xlfn.XLOOKUP(A457,Monitoring!A:A,Monitoring!D:D)</f>
        <v>MALLS</v>
      </c>
    </row>
    <row r="458" spans="1:14" x14ac:dyDescent="0.35">
      <c r="A458" s="5">
        <v>10001394</v>
      </c>
      <c r="B458" s="5" t="s">
        <v>1295</v>
      </c>
      <c r="C458" s="5" t="s">
        <v>1318</v>
      </c>
      <c r="D458" s="61">
        <v>46063</v>
      </c>
      <c r="E458" s="61">
        <v>46081</v>
      </c>
      <c r="F458" s="5" t="s">
        <v>1364</v>
      </c>
      <c r="G458" s="5" t="s">
        <v>1579</v>
      </c>
      <c r="H458" s="5" t="s">
        <v>1580</v>
      </c>
      <c r="I458" s="60">
        <v>0</v>
      </c>
      <c r="J458" s="5" t="s">
        <v>1300</v>
      </c>
      <c r="K458" s="58">
        <v>0</v>
      </c>
      <c r="L458" s="5" t="s">
        <v>993</v>
      </c>
      <c r="M458" s="5" t="s">
        <v>1344</v>
      </c>
      <c r="N458" t="str">
        <f>_xlfn.XLOOKUP(A458,Monitoring!A:A,Monitoring!D:D)</f>
        <v>MALLS</v>
      </c>
    </row>
    <row r="459" spans="1:14" x14ac:dyDescent="0.35">
      <c r="A459" s="5">
        <v>10001394</v>
      </c>
      <c r="B459" s="5" t="s">
        <v>1295</v>
      </c>
      <c r="C459" s="5" t="s">
        <v>1318</v>
      </c>
      <c r="D459" s="61">
        <v>46063</v>
      </c>
      <c r="E459" s="61">
        <v>46081</v>
      </c>
      <c r="F459" s="5" t="s">
        <v>1364</v>
      </c>
      <c r="G459" s="5" t="s">
        <v>1581</v>
      </c>
      <c r="H459" s="5" t="s">
        <v>1582</v>
      </c>
      <c r="I459" s="60">
        <v>0</v>
      </c>
      <c r="J459" s="5" t="s">
        <v>1300</v>
      </c>
      <c r="K459" s="58">
        <v>0</v>
      </c>
      <c r="L459" s="5" t="s">
        <v>993</v>
      </c>
      <c r="M459" s="5" t="s">
        <v>1540</v>
      </c>
      <c r="N459" t="str">
        <f>_xlfn.XLOOKUP(A459,Monitoring!A:A,Monitoring!D:D)</f>
        <v>MALLS</v>
      </c>
    </row>
    <row r="460" spans="1:14" x14ac:dyDescent="0.35">
      <c r="A460" s="5">
        <v>10001394</v>
      </c>
      <c r="B460" s="5" t="s">
        <v>1295</v>
      </c>
      <c r="C460" s="5" t="s">
        <v>1318</v>
      </c>
      <c r="D460" s="61">
        <v>46072</v>
      </c>
      <c r="E460" s="61">
        <v>46081</v>
      </c>
      <c r="F460" s="5" t="s">
        <v>1364</v>
      </c>
      <c r="G460" s="5" t="s">
        <v>1583</v>
      </c>
      <c r="H460" s="5" t="s">
        <v>1584</v>
      </c>
      <c r="I460" s="60">
        <v>0</v>
      </c>
      <c r="J460" s="5" t="s">
        <v>1300</v>
      </c>
      <c r="K460" s="58">
        <v>0</v>
      </c>
      <c r="L460" s="5" t="s">
        <v>993</v>
      </c>
      <c r="M460" s="5" t="s">
        <v>1344</v>
      </c>
      <c r="N460" t="str">
        <f>_xlfn.XLOOKUP(A460,Monitoring!A:A,Monitoring!D:D)</f>
        <v>MALLS</v>
      </c>
    </row>
    <row r="461" spans="1:14" x14ac:dyDescent="0.35">
      <c r="A461" s="5">
        <v>10001394</v>
      </c>
      <c r="B461" s="5" t="s">
        <v>1295</v>
      </c>
      <c r="C461" s="5" t="s">
        <v>1318</v>
      </c>
      <c r="D461" s="61">
        <v>46072</v>
      </c>
      <c r="E461" s="61">
        <v>46081</v>
      </c>
      <c r="F461" s="5" t="s">
        <v>1364</v>
      </c>
      <c r="G461" s="5" t="s">
        <v>1585</v>
      </c>
      <c r="H461" s="5" t="s">
        <v>1586</v>
      </c>
      <c r="I461" s="60">
        <v>0</v>
      </c>
      <c r="J461" s="5" t="s">
        <v>1300</v>
      </c>
      <c r="K461" s="58">
        <v>0</v>
      </c>
      <c r="L461" s="5" t="s">
        <v>993</v>
      </c>
      <c r="M461" s="5" t="s">
        <v>1344</v>
      </c>
      <c r="N461" t="str">
        <f>_xlfn.XLOOKUP(A461,Monitoring!A:A,Monitoring!D:D)</f>
        <v>MALLS</v>
      </c>
    </row>
    <row r="462" spans="1:14" x14ac:dyDescent="0.35">
      <c r="A462" s="5">
        <v>10001394</v>
      </c>
      <c r="B462" s="5" t="s">
        <v>1295</v>
      </c>
      <c r="C462" s="5" t="s">
        <v>1318</v>
      </c>
      <c r="D462" s="61">
        <v>46073</v>
      </c>
      <c r="E462" s="61">
        <v>46081</v>
      </c>
      <c r="F462" s="5" t="s">
        <v>1364</v>
      </c>
      <c r="G462" s="5" t="s">
        <v>1587</v>
      </c>
      <c r="H462" s="5" t="s">
        <v>1588</v>
      </c>
      <c r="I462" s="60">
        <v>0</v>
      </c>
      <c r="J462" s="5" t="s">
        <v>1300</v>
      </c>
      <c r="K462" s="58">
        <v>0</v>
      </c>
      <c r="L462" s="5" t="s">
        <v>993</v>
      </c>
      <c r="M462" s="5" t="s">
        <v>1344</v>
      </c>
      <c r="N462" t="str">
        <f>_xlfn.XLOOKUP(A462,Monitoring!A:A,Monitoring!D:D)</f>
        <v>MALLS</v>
      </c>
    </row>
    <row r="463" spans="1:14" x14ac:dyDescent="0.35">
      <c r="A463" s="5">
        <v>10001394</v>
      </c>
      <c r="B463" s="5" t="s">
        <v>1295</v>
      </c>
      <c r="C463" s="5" t="s">
        <v>1318</v>
      </c>
      <c r="D463" s="61">
        <v>46073</v>
      </c>
      <c r="E463" s="61">
        <v>46081</v>
      </c>
      <c r="F463" s="5" t="s">
        <v>1364</v>
      </c>
      <c r="G463" s="5" t="s">
        <v>1589</v>
      </c>
      <c r="H463" s="5" t="s">
        <v>1243</v>
      </c>
      <c r="I463" s="60">
        <v>0</v>
      </c>
      <c r="J463" s="5" t="s">
        <v>1425</v>
      </c>
      <c r="K463" s="58">
        <v>0</v>
      </c>
      <c r="L463" s="5" t="s">
        <v>993</v>
      </c>
      <c r="M463" s="5" t="s">
        <v>1344</v>
      </c>
      <c r="N463" t="str">
        <f>_xlfn.XLOOKUP(A463,Monitoring!A:A,Monitoring!D:D)</f>
        <v>MALLS</v>
      </c>
    </row>
    <row r="464" spans="1:14" x14ac:dyDescent="0.35">
      <c r="A464" s="5">
        <v>10001394</v>
      </c>
      <c r="B464" s="5" t="s">
        <v>1295</v>
      </c>
      <c r="C464" s="5" t="s">
        <v>1318</v>
      </c>
      <c r="D464" s="61">
        <v>46077</v>
      </c>
      <c r="E464" s="61">
        <v>46081</v>
      </c>
      <c r="F464" s="5" t="s">
        <v>1364</v>
      </c>
      <c r="G464" s="5" t="s">
        <v>1590</v>
      </c>
      <c r="H464" s="5" t="s">
        <v>1591</v>
      </c>
      <c r="I464" s="60">
        <v>0</v>
      </c>
      <c r="J464" s="5" t="s">
        <v>1300</v>
      </c>
      <c r="K464" s="58">
        <v>0</v>
      </c>
      <c r="L464" s="5" t="s">
        <v>993</v>
      </c>
      <c r="M464" s="5" t="s">
        <v>1344</v>
      </c>
      <c r="N464" t="str">
        <f>_xlfn.XLOOKUP(A464,Monitoring!A:A,Monitoring!D:D)</f>
        <v>MALLS</v>
      </c>
    </row>
    <row r="465" spans="1:14" x14ac:dyDescent="0.35">
      <c r="A465" s="5">
        <v>10001394</v>
      </c>
      <c r="B465" s="5" t="s">
        <v>1295</v>
      </c>
      <c r="C465" s="5" t="s">
        <v>1318</v>
      </c>
      <c r="D465" s="61">
        <v>46086</v>
      </c>
      <c r="E465" s="61">
        <v>46112</v>
      </c>
      <c r="F465" s="5" t="s">
        <v>1364</v>
      </c>
      <c r="G465" s="5" t="s">
        <v>1592</v>
      </c>
      <c r="H465" s="5" t="s">
        <v>1593</v>
      </c>
      <c r="I465" s="60">
        <v>0</v>
      </c>
      <c r="J465" s="5" t="s">
        <v>1425</v>
      </c>
      <c r="K465" s="58">
        <v>0</v>
      </c>
      <c r="L465" s="5" t="s">
        <v>993</v>
      </c>
      <c r="M465" s="5" t="s">
        <v>1344</v>
      </c>
      <c r="N465" t="str">
        <f>_xlfn.XLOOKUP(A465,Monitoring!A:A,Monitoring!D:D)</f>
        <v>MALLS</v>
      </c>
    </row>
    <row r="466" spans="1:14" x14ac:dyDescent="0.35">
      <c r="A466" s="5">
        <v>10001394</v>
      </c>
      <c r="B466" s="5" t="s">
        <v>1295</v>
      </c>
      <c r="C466" s="5" t="s">
        <v>1318</v>
      </c>
      <c r="D466" s="61">
        <v>46086</v>
      </c>
      <c r="E466" s="61">
        <v>46112</v>
      </c>
      <c r="F466" s="5" t="s">
        <v>1364</v>
      </c>
      <c r="G466" s="5" t="s">
        <v>1592</v>
      </c>
      <c r="H466" s="5" t="s">
        <v>1594</v>
      </c>
      <c r="I466" s="60">
        <v>0</v>
      </c>
      <c r="J466" s="5" t="s">
        <v>1425</v>
      </c>
      <c r="K466" s="58">
        <v>0</v>
      </c>
      <c r="L466" s="5" t="s">
        <v>993</v>
      </c>
      <c r="M466" s="5" t="s">
        <v>1344</v>
      </c>
      <c r="N466" t="str">
        <f>_xlfn.XLOOKUP(A466,Monitoring!A:A,Monitoring!D:D)</f>
        <v>MALLS</v>
      </c>
    </row>
    <row r="467" spans="1:14" x14ac:dyDescent="0.35">
      <c r="A467" s="5">
        <v>10001394</v>
      </c>
      <c r="B467" s="5" t="s">
        <v>1295</v>
      </c>
      <c r="C467" s="5" t="s">
        <v>1318</v>
      </c>
      <c r="D467" s="61">
        <v>46098</v>
      </c>
      <c r="E467" s="61">
        <v>46112</v>
      </c>
      <c r="F467" s="5" t="s">
        <v>1364</v>
      </c>
      <c r="G467" s="5" t="s">
        <v>1595</v>
      </c>
      <c r="H467" s="5" t="s">
        <v>1596</v>
      </c>
      <c r="I467" s="60">
        <v>0</v>
      </c>
      <c r="J467" s="5" t="s">
        <v>1300</v>
      </c>
      <c r="K467" s="58">
        <v>0</v>
      </c>
      <c r="L467" s="5" t="s">
        <v>993</v>
      </c>
      <c r="M467" s="5" t="s">
        <v>1344</v>
      </c>
      <c r="N467" t="str">
        <f>_xlfn.XLOOKUP(A467,Monitoring!A:A,Monitoring!D:D)</f>
        <v>MALLS</v>
      </c>
    </row>
    <row r="468" spans="1:14" x14ac:dyDescent="0.35">
      <c r="A468" s="5">
        <v>10001394</v>
      </c>
      <c r="B468" s="5" t="s">
        <v>1295</v>
      </c>
      <c r="C468" s="5" t="s">
        <v>1318</v>
      </c>
      <c r="D468" s="61">
        <v>46099</v>
      </c>
      <c r="E468" s="61">
        <v>46112</v>
      </c>
      <c r="F468" s="5" t="s">
        <v>1364</v>
      </c>
      <c r="G468" s="5" t="s">
        <v>1597</v>
      </c>
      <c r="H468" s="5" t="s">
        <v>1598</v>
      </c>
      <c r="I468" s="60">
        <v>0</v>
      </c>
      <c r="J468" s="5" t="s">
        <v>1300</v>
      </c>
      <c r="K468" s="58">
        <v>0</v>
      </c>
      <c r="L468" s="5" t="s">
        <v>993</v>
      </c>
      <c r="M468" s="5" t="s">
        <v>1344</v>
      </c>
      <c r="N468" t="str">
        <f>_xlfn.XLOOKUP(A468,Monitoring!A:A,Monitoring!D:D)</f>
        <v>MALLS</v>
      </c>
    </row>
    <row r="469" spans="1:14" x14ac:dyDescent="0.35">
      <c r="A469" s="5">
        <v>10001394</v>
      </c>
      <c r="B469" s="5" t="s">
        <v>1295</v>
      </c>
      <c r="C469" s="5" t="s">
        <v>1318</v>
      </c>
      <c r="D469" s="61">
        <v>46099</v>
      </c>
      <c r="E469" s="61">
        <v>46112</v>
      </c>
      <c r="F469" s="5" t="s">
        <v>1364</v>
      </c>
      <c r="G469" s="5" t="s">
        <v>1597</v>
      </c>
      <c r="H469" s="5" t="s">
        <v>1598</v>
      </c>
      <c r="I469" s="60">
        <v>0</v>
      </c>
      <c r="J469" s="5" t="s">
        <v>1300</v>
      </c>
      <c r="K469" s="58">
        <v>0</v>
      </c>
      <c r="L469" s="5" t="s">
        <v>993</v>
      </c>
      <c r="M469" s="5" t="s">
        <v>1344</v>
      </c>
      <c r="N469" t="str">
        <f>_xlfn.XLOOKUP(A469,Monitoring!A:A,Monitoring!D:D)</f>
        <v>MALLS</v>
      </c>
    </row>
    <row r="470" spans="1:14" x14ac:dyDescent="0.35">
      <c r="A470" s="5">
        <v>10001394</v>
      </c>
      <c r="B470" s="5" t="s">
        <v>1295</v>
      </c>
      <c r="C470" s="5" t="s">
        <v>1318</v>
      </c>
      <c r="D470" s="61">
        <v>46122</v>
      </c>
      <c r="E470" s="61">
        <v>46142</v>
      </c>
      <c r="F470" s="5" t="s">
        <v>1364</v>
      </c>
      <c r="G470" s="5" t="s">
        <v>1999</v>
      </c>
      <c r="H470" s="5" t="s">
        <v>1995</v>
      </c>
      <c r="I470" s="60">
        <v>0</v>
      </c>
      <c r="J470" s="5" t="s">
        <v>1300</v>
      </c>
      <c r="K470" s="58">
        <v>0</v>
      </c>
      <c r="L470" s="5" t="s">
        <v>993</v>
      </c>
      <c r="M470" s="5" t="s">
        <v>1344</v>
      </c>
      <c r="N470" t="str">
        <f>_xlfn.XLOOKUP(A470,Monitoring!A:A,Monitoring!D:D)</f>
        <v>MALLS</v>
      </c>
    </row>
    <row r="471" spans="1:14" x14ac:dyDescent="0.35">
      <c r="A471" s="5">
        <v>10001394</v>
      </c>
      <c r="B471" s="5" t="s">
        <v>1295</v>
      </c>
      <c r="C471" s="5" t="s">
        <v>1318</v>
      </c>
      <c r="D471" s="61">
        <v>46128</v>
      </c>
      <c r="E471" s="61">
        <v>46142</v>
      </c>
      <c r="F471" s="5" t="s">
        <v>1364</v>
      </c>
      <c r="G471" s="5" t="s">
        <v>2000</v>
      </c>
      <c r="H471" s="5" t="s">
        <v>1995</v>
      </c>
      <c r="I471" s="60">
        <v>0</v>
      </c>
      <c r="J471" s="5" t="s">
        <v>1300</v>
      </c>
      <c r="K471" s="58">
        <v>0</v>
      </c>
      <c r="L471" s="5" t="s">
        <v>993</v>
      </c>
      <c r="M471" s="5" t="s">
        <v>1344</v>
      </c>
      <c r="N471" t="str">
        <f>_xlfn.XLOOKUP(A471,Monitoring!A:A,Monitoring!D:D)</f>
        <v>MALLS</v>
      </c>
    </row>
    <row r="472" spans="1:14" x14ac:dyDescent="0.35">
      <c r="A472" s="5">
        <v>10001394</v>
      </c>
      <c r="B472" s="5" t="s">
        <v>1295</v>
      </c>
      <c r="C472" s="5" t="s">
        <v>1318</v>
      </c>
      <c r="D472" s="61">
        <v>46132</v>
      </c>
      <c r="E472" s="61">
        <v>46142</v>
      </c>
      <c r="F472" s="5" t="s">
        <v>1364</v>
      </c>
      <c r="G472" s="5" t="s">
        <v>2001</v>
      </c>
      <c r="H472" s="5" t="s">
        <v>2002</v>
      </c>
      <c r="I472" s="60">
        <v>0</v>
      </c>
      <c r="J472" s="5" t="s">
        <v>1425</v>
      </c>
      <c r="K472" s="58">
        <v>0</v>
      </c>
      <c r="L472" s="5" t="s">
        <v>993</v>
      </c>
      <c r="M472" s="5" t="s">
        <v>1344</v>
      </c>
      <c r="N472" t="str">
        <f>_xlfn.XLOOKUP(A472,Monitoring!A:A,Monitoring!D:D)</f>
        <v>MALLS</v>
      </c>
    </row>
    <row r="473" spans="1:14" x14ac:dyDescent="0.35">
      <c r="A473" s="5">
        <v>10001394</v>
      </c>
      <c r="B473" s="5" t="s">
        <v>1295</v>
      </c>
      <c r="C473" s="5" t="s">
        <v>1318</v>
      </c>
      <c r="D473" s="61">
        <v>46140</v>
      </c>
      <c r="E473" s="61">
        <v>46142</v>
      </c>
      <c r="F473" s="5" t="s">
        <v>1364</v>
      </c>
      <c r="G473" s="5" t="s">
        <v>2106</v>
      </c>
      <c r="H473" s="5" t="s">
        <v>2107</v>
      </c>
      <c r="I473" s="60">
        <v>1</v>
      </c>
      <c r="J473" s="5" t="s">
        <v>1425</v>
      </c>
      <c r="K473" s="58">
        <v>8544.64</v>
      </c>
      <c r="L473" s="5" t="s">
        <v>993</v>
      </c>
      <c r="M473" s="5" t="s">
        <v>1540</v>
      </c>
      <c r="N473" t="str">
        <f>_xlfn.XLOOKUP(A473,Monitoring!A:A,Monitoring!D:D)</f>
        <v>MALLS</v>
      </c>
    </row>
    <row r="474" spans="1:14" x14ac:dyDescent="0.35">
      <c r="A474" s="5">
        <v>10001394</v>
      </c>
      <c r="B474" s="5" t="s">
        <v>1295</v>
      </c>
      <c r="C474" s="5" t="s">
        <v>1318</v>
      </c>
      <c r="D474" s="61">
        <v>46140</v>
      </c>
      <c r="E474" s="61">
        <v>46142</v>
      </c>
      <c r="F474" s="5" t="s">
        <v>1364</v>
      </c>
      <c r="G474" s="5" t="s">
        <v>2106</v>
      </c>
      <c r="H474" s="5" t="s">
        <v>2108</v>
      </c>
      <c r="I474" s="60">
        <v>1</v>
      </c>
      <c r="J474" s="5" t="s">
        <v>1300</v>
      </c>
      <c r="K474" s="58">
        <v>6696.43</v>
      </c>
      <c r="L474" s="5" t="s">
        <v>993</v>
      </c>
      <c r="M474" s="5" t="s">
        <v>1540</v>
      </c>
      <c r="N474" t="str">
        <f>_xlfn.XLOOKUP(A474,Monitoring!A:A,Monitoring!D:D)</f>
        <v>MALLS</v>
      </c>
    </row>
    <row r="475" spans="1:14" x14ac:dyDescent="0.35">
      <c r="A475" s="5">
        <v>10001394</v>
      </c>
      <c r="B475" s="5" t="s">
        <v>1295</v>
      </c>
      <c r="C475" s="5" t="s">
        <v>1318</v>
      </c>
      <c r="D475" s="61">
        <v>46147</v>
      </c>
      <c r="E475" s="61">
        <v>46173</v>
      </c>
      <c r="F475" s="5" t="s">
        <v>1364</v>
      </c>
      <c r="G475" s="5" t="s">
        <v>2359</v>
      </c>
      <c r="H475" s="5" t="s">
        <v>2360</v>
      </c>
      <c r="I475" s="60">
        <v>0</v>
      </c>
      <c r="J475" s="5" t="s">
        <v>1425</v>
      </c>
      <c r="K475" s="58">
        <v>0</v>
      </c>
      <c r="L475" s="5" t="s">
        <v>993</v>
      </c>
      <c r="M475" s="5" t="s">
        <v>1344</v>
      </c>
      <c r="N475" t="str">
        <f>_xlfn.XLOOKUP(A475,Monitoring!A:A,Monitoring!D:D)</f>
        <v>MALLS</v>
      </c>
    </row>
    <row r="476" spans="1:14" x14ac:dyDescent="0.35">
      <c r="A476" s="5">
        <v>10001394</v>
      </c>
      <c r="B476" s="5" t="s">
        <v>1295</v>
      </c>
      <c r="C476" s="5" t="s">
        <v>1318</v>
      </c>
      <c r="D476" s="61">
        <v>46163</v>
      </c>
      <c r="E476" s="61">
        <v>46173</v>
      </c>
      <c r="F476" s="5" t="s">
        <v>1364</v>
      </c>
      <c r="G476" s="5" t="s">
        <v>2361</v>
      </c>
      <c r="H476" s="5" t="s">
        <v>2362</v>
      </c>
      <c r="I476" s="60">
        <v>0</v>
      </c>
      <c r="J476" s="5" t="s">
        <v>1300</v>
      </c>
      <c r="K476" s="58">
        <v>0</v>
      </c>
      <c r="L476" s="5" t="s">
        <v>993</v>
      </c>
      <c r="M476" s="5" t="s">
        <v>1344</v>
      </c>
      <c r="N476" t="str">
        <f>_xlfn.XLOOKUP(A476,Monitoring!A:A,Monitoring!D:D)</f>
        <v>MALLS</v>
      </c>
    </row>
    <row r="477" spans="1:14" x14ac:dyDescent="0.35">
      <c r="A477" s="5">
        <v>10001394</v>
      </c>
      <c r="B477" s="5" t="s">
        <v>1295</v>
      </c>
      <c r="C477" s="5" t="s">
        <v>1318</v>
      </c>
      <c r="D477" s="61">
        <v>46176</v>
      </c>
      <c r="E477" s="61">
        <v>46203</v>
      </c>
      <c r="F477" s="5" t="s">
        <v>1364</v>
      </c>
      <c r="G477" s="5" t="s">
        <v>2363</v>
      </c>
      <c r="H477" s="5" t="s">
        <v>2364</v>
      </c>
      <c r="I477" s="60">
        <v>0</v>
      </c>
      <c r="J477" s="5" t="s">
        <v>1300</v>
      </c>
      <c r="K477" s="58">
        <v>0</v>
      </c>
      <c r="L477" s="5" t="s">
        <v>993</v>
      </c>
      <c r="M477" s="5" t="s">
        <v>1344</v>
      </c>
      <c r="N477" t="str">
        <f>_xlfn.XLOOKUP(A477,Monitoring!A:A,Monitoring!D:D)</f>
        <v>MALLS</v>
      </c>
    </row>
    <row r="478" spans="1:14" x14ac:dyDescent="0.35">
      <c r="A478" s="5">
        <v>10001394</v>
      </c>
      <c r="B478" s="5" t="s">
        <v>1295</v>
      </c>
      <c r="C478" s="5" t="s">
        <v>1318</v>
      </c>
      <c r="D478" s="61">
        <v>46198</v>
      </c>
      <c r="E478" s="61">
        <v>46203</v>
      </c>
      <c r="F478" s="5" t="s">
        <v>1364</v>
      </c>
      <c r="G478" s="5" t="s">
        <v>2745</v>
      </c>
      <c r="H478" s="5" t="s">
        <v>2746</v>
      </c>
      <c r="I478" s="60">
        <v>0</v>
      </c>
      <c r="J478" s="5" t="s">
        <v>1300</v>
      </c>
      <c r="K478" s="58">
        <v>0</v>
      </c>
      <c r="L478" s="5" t="s">
        <v>993</v>
      </c>
      <c r="M478" s="5" t="s">
        <v>1540</v>
      </c>
      <c r="N478" t="str">
        <f>_xlfn.XLOOKUP(A478,Monitoring!A:A,Monitoring!D:D)</f>
        <v>MALLS</v>
      </c>
    </row>
    <row r="479" spans="1:14" x14ac:dyDescent="0.35">
      <c r="A479" s="5">
        <v>10001394</v>
      </c>
      <c r="B479" s="5" t="s">
        <v>1295</v>
      </c>
      <c r="C479" s="5" t="s">
        <v>1318</v>
      </c>
      <c r="D479" s="61">
        <v>46218</v>
      </c>
      <c r="E479" s="61">
        <v>46234</v>
      </c>
      <c r="F479" s="5" t="s">
        <v>1364</v>
      </c>
      <c r="G479" s="5" t="s">
        <v>2995</v>
      </c>
      <c r="H479" s="5" t="s">
        <v>2996</v>
      </c>
      <c r="I479" s="60">
        <v>0</v>
      </c>
      <c r="J479" s="5" t="s">
        <v>1300</v>
      </c>
      <c r="K479" s="58">
        <v>0</v>
      </c>
      <c r="L479" s="5" t="s">
        <v>993</v>
      </c>
      <c r="M479" s="5" t="s">
        <v>1540</v>
      </c>
      <c r="N479" t="str">
        <f>_xlfn.XLOOKUP(A479,Monitoring!A:A,Monitoring!D:D)</f>
        <v>MALLS</v>
      </c>
    </row>
    <row r="480" spans="1:14" x14ac:dyDescent="0.35">
      <c r="A480" s="5">
        <v>10001394</v>
      </c>
      <c r="B480" s="5" t="s">
        <v>1295</v>
      </c>
      <c r="C480" s="5" t="s">
        <v>1318</v>
      </c>
      <c r="D480" s="61">
        <v>46226</v>
      </c>
      <c r="E480" s="61">
        <v>46234</v>
      </c>
      <c r="F480" s="5" t="s">
        <v>1364</v>
      </c>
      <c r="G480" s="5" t="s">
        <v>2997</v>
      </c>
      <c r="H480" s="5" t="s">
        <v>2998</v>
      </c>
      <c r="I480" s="60">
        <v>0</v>
      </c>
      <c r="J480" s="5" t="s">
        <v>1425</v>
      </c>
      <c r="K480" s="58">
        <v>0</v>
      </c>
      <c r="L480" s="5" t="s">
        <v>993</v>
      </c>
      <c r="M480" s="5" t="s">
        <v>1344</v>
      </c>
      <c r="N480" t="str">
        <f>_xlfn.XLOOKUP(A480,Monitoring!A:A,Monitoring!D:D)</f>
        <v>MALLS</v>
      </c>
    </row>
    <row r="481" spans="1:14" x14ac:dyDescent="0.35">
      <c r="A481" s="5">
        <v>10001394</v>
      </c>
      <c r="B481" s="5" t="s">
        <v>1295</v>
      </c>
      <c r="C481" s="5" t="s">
        <v>1318</v>
      </c>
      <c r="D481" s="61">
        <v>46226</v>
      </c>
      <c r="E481" s="61">
        <v>46234</v>
      </c>
      <c r="F481" s="5" t="s">
        <v>1364</v>
      </c>
      <c r="G481" s="5" t="s">
        <v>2997</v>
      </c>
      <c r="H481" s="5" t="s">
        <v>2999</v>
      </c>
      <c r="I481" s="60">
        <v>0</v>
      </c>
      <c r="J481" s="5" t="s">
        <v>1425</v>
      </c>
      <c r="K481" s="58">
        <v>0</v>
      </c>
      <c r="L481" s="5" t="s">
        <v>993</v>
      </c>
      <c r="M481" s="5" t="s">
        <v>1344</v>
      </c>
      <c r="N481" t="str">
        <f>_xlfn.XLOOKUP(A481,Monitoring!A:A,Monitoring!D:D)</f>
        <v>MALLS</v>
      </c>
    </row>
    <row r="482" spans="1:14" x14ac:dyDescent="0.35">
      <c r="A482" s="5">
        <v>10001394</v>
      </c>
      <c r="B482" s="5" t="s">
        <v>1295</v>
      </c>
      <c r="C482" s="5" t="s">
        <v>1318</v>
      </c>
      <c r="D482" s="61">
        <v>46226</v>
      </c>
      <c r="E482" s="61">
        <v>46234</v>
      </c>
      <c r="F482" s="5" t="s">
        <v>1364</v>
      </c>
      <c r="G482" s="5" t="s">
        <v>2997</v>
      </c>
      <c r="H482" s="5" t="s">
        <v>2108</v>
      </c>
      <c r="I482" s="60">
        <v>0</v>
      </c>
      <c r="J482" s="5" t="s">
        <v>1300</v>
      </c>
      <c r="K482" s="58">
        <v>0</v>
      </c>
      <c r="L482" s="5" t="s">
        <v>993</v>
      </c>
      <c r="M482" s="5" t="s">
        <v>1344</v>
      </c>
      <c r="N482" t="str">
        <f>_xlfn.XLOOKUP(A482,Monitoring!A:A,Monitoring!D:D)</f>
        <v>MALLS</v>
      </c>
    </row>
    <row r="483" spans="1:14" x14ac:dyDescent="0.35">
      <c r="A483" s="5">
        <v>10001394</v>
      </c>
      <c r="B483" s="5" t="s">
        <v>1295</v>
      </c>
      <c r="C483" s="5" t="s">
        <v>1318</v>
      </c>
      <c r="D483" s="61">
        <v>46238</v>
      </c>
      <c r="E483" s="61">
        <v>46265</v>
      </c>
      <c r="F483" s="5" t="s">
        <v>1364</v>
      </c>
      <c r="G483" s="5" t="s">
        <v>3000</v>
      </c>
      <c r="H483" s="5" t="s">
        <v>3001</v>
      </c>
      <c r="I483" s="60">
        <v>0</v>
      </c>
      <c r="J483" s="5" t="s">
        <v>1300</v>
      </c>
      <c r="K483" s="58">
        <v>0</v>
      </c>
      <c r="L483" s="5" t="s">
        <v>993</v>
      </c>
      <c r="M483" s="5" t="s">
        <v>1344</v>
      </c>
      <c r="N483" t="str">
        <f>_xlfn.XLOOKUP(A483,Monitoring!A:A,Monitoring!D:D)</f>
        <v>MALLS</v>
      </c>
    </row>
    <row r="484" spans="1:14" x14ac:dyDescent="0.35">
      <c r="A484" s="5">
        <v>10001394</v>
      </c>
      <c r="B484" s="5" t="s">
        <v>1295</v>
      </c>
      <c r="C484" s="5" t="s">
        <v>1318</v>
      </c>
      <c r="D484" s="61">
        <v>46240</v>
      </c>
      <c r="E484" s="61">
        <v>46265</v>
      </c>
      <c r="F484" s="5" t="s">
        <v>1364</v>
      </c>
      <c r="G484" s="5" t="s">
        <v>3002</v>
      </c>
      <c r="H484" s="5" t="s">
        <v>2746</v>
      </c>
      <c r="I484" s="60">
        <v>0</v>
      </c>
      <c r="J484" s="5" t="s">
        <v>1300</v>
      </c>
      <c r="K484" s="58">
        <v>0</v>
      </c>
      <c r="L484" s="5" t="s">
        <v>993</v>
      </c>
      <c r="M484" s="5" t="s">
        <v>1344</v>
      </c>
      <c r="N484" t="str">
        <f>_xlfn.XLOOKUP(A484,Monitoring!A:A,Monitoring!D:D)</f>
        <v>MALLS</v>
      </c>
    </row>
    <row r="485" spans="1:14" x14ac:dyDescent="0.35">
      <c r="A485" s="5">
        <v>10001394</v>
      </c>
      <c r="B485" s="5" t="s">
        <v>1295</v>
      </c>
      <c r="C485" s="5" t="s">
        <v>1318</v>
      </c>
      <c r="D485" s="61">
        <v>46241</v>
      </c>
      <c r="E485" s="61">
        <v>46265</v>
      </c>
      <c r="F485" s="5" t="s">
        <v>1364</v>
      </c>
      <c r="G485" s="5" t="s">
        <v>3003</v>
      </c>
      <c r="H485" s="5" t="s">
        <v>3004</v>
      </c>
      <c r="I485" s="60">
        <v>0</v>
      </c>
      <c r="J485" s="5" t="s">
        <v>1300</v>
      </c>
      <c r="K485" s="58">
        <v>0</v>
      </c>
      <c r="L485" s="5" t="s">
        <v>993</v>
      </c>
      <c r="M485" s="5" t="s">
        <v>1344</v>
      </c>
      <c r="N485" t="str">
        <f>_xlfn.XLOOKUP(A485,Monitoring!A:A,Monitoring!D:D)</f>
        <v>MALLS</v>
      </c>
    </row>
    <row r="486" spans="1:14" x14ac:dyDescent="0.35">
      <c r="A486" s="5">
        <v>10001394</v>
      </c>
      <c r="B486" s="5" t="s">
        <v>1295</v>
      </c>
      <c r="C486" s="5" t="s">
        <v>1318</v>
      </c>
      <c r="D486" s="61">
        <v>46248</v>
      </c>
      <c r="E486" s="61">
        <v>46265</v>
      </c>
      <c r="F486" s="5" t="s">
        <v>1364</v>
      </c>
      <c r="G486" s="5" t="s">
        <v>3127</v>
      </c>
      <c r="H486" s="5" t="s">
        <v>3128</v>
      </c>
      <c r="I486" s="60">
        <v>1</v>
      </c>
      <c r="J486" s="5" t="s">
        <v>1300</v>
      </c>
      <c r="K486" s="58">
        <v>56205.36</v>
      </c>
      <c r="L486" s="5" t="s">
        <v>993</v>
      </c>
      <c r="M486" s="5" t="s">
        <v>1391</v>
      </c>
      <c r="N486" t="str">
        <f>_xlfn.XLOOKUP(A486,Monitoring!A:A,Monitoring!D:D)</f>
        <v>MALLS</v>
      </c>
    </row>
    <row r="487" spans="1:14" x14ac:dyDescent="0.35">
      <c r="A487" s="5">
        <v>10001394</v>
      </c>
      <c r="B487" s="5" t="s">
        <v>1295</v>
      </c>
      <c r="C487" s="5" t="s">
        <v>1318</v>
      </c>
      <c r="D487" s="61">
        <v>46259</v>
      </c>
      <c r="E487" s="61">
        <v>46265</v>
      </c>
      <c r="F487" s="5" t="s">
        <v>1364</v>
      </c>
      <c r="G487" s="5" t="s">
        <v>3338</v>
      </c>
      <c r="H487" s="5" t="s">
        <v>3339</v>
      </c>
      <c r="I487" s="60">
        <v>0</v>
      </c>
      <c r="J487" s="5" t="s">
        <v>1300</v>
      </c>
      <c r="K487" s="58">
        <v>0</v>
      </c>
      <c r="L487" s="5" t="s">
        <v>993</v>
      </c>
      <c r="M487" s="5" t="s">
        <v>1344</v>
      </c>
      <c r="N487" t="str">
        <f>_xlfn.XLOOKUP(A487,Monitoring!A:A,Monitoring!D:D)</f>
        <v>MALLS</v>
      </c>
    </row>
    <row r="488" spans="1:14" x14ac:dyDescent="0.35">
      <c r="A488" s="5">
        <v>10001394</v>
      </c>
      <c r="B488" s="5" t="s">
        <v>1295</v>
      </c>
      <c r="C488" s="5" t="s">
        <v>1318</v>
      </c>
      <c r="D488" s="61">
        <v>46259</v>
      </c>
      <c r="E488" s="61">
        <v>46265</v>
      </c>
      <c r="F488" s="5" t="s">
        <v>1364</v>
      </c>
      <c r="G488" s="5" t="s">
        <v>3340</v>
      </c>
      <c r="H488" s="5" t="s">
        <v>3341</v>
      </c>
      <c r="I488" s="60">
        <v>0</v>
      </c>
      <c r="J488" s="5" t="s">
        <v>1300</v>
      </c>
      <c r="K488" s="58">
        <v>0</v>
      </c>
      <c r="L488" s="5" t="s">
        <v>993</v>
      </c>
      <c r="M488" s="5" t="s">
        <v>1344</v>
      </c>
      <c r="N488" t="str">
        <f>_xlfn.XLOOKUP(A488,Monitoring!A:A,Monitoring!D:D)</f>
        <v>MALLS</v>
      </c>
    </row>
    <row r="489" spans="1:14" x14ac:dyDescent="0.35">
      <c r="A489" s="5">
        <v>10001394</v>
      </c>
      <c r="B489" s="5" t="s">
        <v>1295</v>
      </c>
      <c r="C489" s="5" t="s">
        <v>1318</v>
      </c>
      <c r="D489" s="61">
        <v>46260</v>
      </c>
      <c r="E489" s="61">
        <v>46265</v>
      </c>
      <c r="F489" s="5" t="s">
        <v>1364</v>
      </c>
      <c r="G489" s="5" t="s">
        <v>3342</v>
      </c>
      <c r="H489" s="5" t="s">
        <v>3343</v>
      </c>
      <c r="I489" s="60">
        <v>0</v>
      </c>
      <c r="J489" s="5" t="s">
        <v>1300</v>
      </c>
      <c r="K489" s="58">
        <v>0</v>
      </c>
      <c r="L489" s="5" t="s">
        <v>993</v>
      </c>
      <c r="M489" s="5" t="s">
        <v>1344</v>
      </c>
      <c r="N489" t="str">
        <f>_xlfn.XLOOKUP(A489,Monitoring!A:A,Monitoring!D:D)</f>
        <v>MALLS</v>
      </c>
    </row>
    <row r="490" spans="1:14" x14ac:dyDescent="0.35">
      <c r="A490" s="5">
        <v>10001394</v>
      </c>
      <c r="B490" s="5" t="s">
        <v>1295</v>
      </c>
      <c r="C490" s="5" t="s">
        <v>1318</v>
      </c>
      <c r="D490" s="61">
        <v>46269</v>
      </c>
      <c r="E490" s="61">
        <v>46295</v>
      </c>
      <c r="F490" s="5" t="s">
        <v>1364</v>
      </c>
      <c r="G490" s="5" t="s">
        <v>3344</v>
      </c>
      <c r="H490" s="5" t="s">
        <v>3345</v>
      </c>
      <c r="I490" s="60">
        <v>20</v>
      </c>
      <c r="J490" s="5" t="s">
        <v>1425</v>
      </c>
      <c r="K490" s="58">
        <v>43321.4</v>
      </c>
      <c r="L490" s="5" t="s">
        <v>993</v>
      </c>
      <c r="M490" s="5" t="s">
        <v>1540</v>
      </c>
      <c r="N490" t="str">
        <f>_xlfn.XLOOKUP(A490,Monitoring!A:A,Monitoring!D:D)</f>
        <v>MALLS</v>
      </c>
    </row>
    <row r="491" spans="1:14" x14ac:dyDescent="0.35">
      <c r="A491" s="5">
        <v>10001394</v>
      </c>
      <c r="B491" s="5" t="s">
        <v>1295</v>
      </c>
      <c r="C491" s="5" t="s">
        <v>1318</v>
      </c>
      <c r="D491" s="61">
        <v>46269</v>
      </c>
      <c r="E491" s="61">
        <v>46295</v>
      </c>
      <c r="F491" s="5" t="s">
        <v>1364</v>
      </c>
      <c r="G491" s="5" t="s">
        <v>3344</v>
      </c>
      <c r="H491" s="5" t="s">
        <v>3346</v>
      </c>
      <c r="I491" s="60">
        <v>15</v>
      </c>
      <c r="J491" s="5" t="s">
        <v>1425</v>
      </c>
      <c r="K491" s="58">
        <v>45281.4</v>
      </c>
      <c r="L491" s="5" t="s">
        <v>993</v>
      </c>
      <c r="M491" s="5" t="s">
        <v>1540</v>
      </c>
      <c r="N491" t="str">
        <f>_xlfn.XLOOKUP(A491,Monitoring!A:A,Monitoring!D:D)</f>
        <v>MALLS</v>
      </c>
    </row>
    <row r="492" spans="1:14" x14ac:dyDescent="0.35">
      <c r="A492" s="5">
        <v>10001394</v>
      </c>
      <c r="B492" s="5" t="s">
        <v>1295</v>
      </c>
      <c r="C492" s="5" t="s">
        <v>1318</v>
      </c>
      <c r="D492" s="61">
        <v>46065</v>
      </c>
      <c r="E492" s="61">
        <v>46081</v>
      </c>
      <c r="F492" s="5" t="s">
        <v>1297</v>
      </c>
      <c r="G492" s="5" t="s">
        <v>1238</v>
      </c>
      <c r="H492" s="5" t="s">
        <v>1240</v>
      </c>
      <c r="I492" s="60">
        <v>0</v>
      </c>
      <c r="J492" s="5" t="s">
        <v>1300</v>
      </c>
      <c r="K492" s="58">
        <v>0</v>
      </c>
      <c r="L492" s="5" t="s">
        <v>1479</v>
      </c>
      <c r="M492" s="5" t="s">
        <v>1551</v>
      </c>
      <c r="N492" t="str">
        <f>_xlfn.XLOOKUP(A492,Monitoring!A:A,Monitoring!D:D)</f>
        <v>MALLS</v>
      </c>
    </row>
    <row r="493" spans="1:14" x14ac:dyDescent="0.35">
      <c r="A493" s="5">
        <v>10001394</v>
      </c>
      <c r="B493" s="5" t="s">
        <v>1295</v>
      </c>
      <c r="C493" s="5" t="s">
        <v>1318</v>
      </c>
      <c r="D493" s="61">
        <v>46065</v>
      </c>
      <c r="E493" s="61">
        <v>46081</v>
      </c>
      <c r="F493" s="5" t="s">
        <v>1297</v>
      </c>
      <c r="G493" s="5" t="s">
        <v>1599</v>
      </c>
      <c r="H493" s="5" t="s">
        <v>1600</v>
      </c>
      <c r="I493" s="60">
        <v>1</v>
      </c>
      <c r="J493" s="5" t="s">
        <v>1300</v>
      </c>
      <c r="K493" s="58">
        <v>20535.71</v>
      </c>
      <c r="L493" s="5" t="s">
        <v>1601</v>
      </c>
      <c r="M493" s="5" t="s">
        <v>1334</v>
      </c>
      <c r="N493" t="str">
        <f>_xlfn.XLOOKUP(A493,Monitoring!A:A,Monitoring!D:D)</f>
        <v>MALLS</v>
      </c>
    </row>
    <row r="494" spans="1:14" x14ac:dyDescent="0.35">
      <c r="A494" s="5">
        <v>10001394</v>
      </c>
      <c r="B494" s="5" t="s">
        <v>1295</v>
      </c>
      <c r="C494" s="5" t="s">
        <v>1318</v>
      </c>
      <c r="D494" s="61">
        <v>46078</v>
      </c>
      <c r="E494" s="61">
        <v>46081</v>
      </c>
      <c r="F494" s="5" t="s">
        <v>1297</v>
      </c>
      <c r="G494" s="5" t="s">
        <v>1241</v>
      </c>
      <c r="H494" s="5" t="s">
        <v>1243</v>
      </c>
      <c r="I494" s="60">
        <v>0</v>
      </c>
      <c r="J494" s="5" t="s">
        <v>1425</v>
      </c>
      <c r="K494" s="58">
        <v>0</v>
      </c>
      <c r="L494" s="5" t="s">
        <v>1568</v>
      </c>
      <c r="M494" s="5" t="s">
        <v>1551</v>
      </c>
      <c r="N494" t="str">
        <f>_xlfn.XLOOKUP(A494,Monitoring!A:A,Monitoring!D:D)</f>
        <v>MALLS</v>
      </c>
    </row>
    <row r="495" spans="1:14" x14ac:dyDescent="0.35">
      <c r="A495" s="5">
        <v>10001394</v>
      </c>
      <c r="B495" s="5" t="s">
        <v>1295</v>
      </c>
      <c r="C495" s="5" t="s">
        <v>1318</v>
      </c>
      <c r="D495" s="61">
        <v>46079</v>
      </c>
      <c r="E495" s="61">
        <v>46081</v>
      </c>
      <c r="F495" s="5" t="s">
        <v>1297</v>
      </c>
      <c r="G495" s="5" t="s">
        <v>1602</v>
      </c>
      <c r="H495" s="5" t="s">
        <v>1603</v>
      </c>
      <c r="I495" s="60">
        <v>0</v>
      </c>
      <c r="J495" s="5" t="s">
        <v>1300</v>
      </c>
      <c r="K495" s="58">
        <v>0</v>
      </c>
      <c r="L495" s="5" t="s">
        <v>1305</v>
      </c>
      <c r="M495" s="5" t="s">
        <v>1551</v>
      </c>
      <c r="N495" t="str">
        <f>_xlfn.XLOOKUP(A495,Monitoring!A:A,Monitoring!D:D)</f>
        <v>MALLS</v>
      </c>
    </row>
    <row r="496" spans="1:14" x14ac:dyDescent="0.35">
      <c r="A496" s="5">
        <v>10001394</v>
      </c>
      <c r="B496" s="5" t="s">
        <v>1295</v>
      </c>
      <c r="C496" s="5" t="s">
        <v>1318</v>
      </c>
      <c r="D496" s="61">
        <v>46080</v>
      </c>
      <c r="E496" s="61">
        <v>46081</v>
      </c>
      <c r="F496" s="5" t="s">
        <v>1297</v>
      </c>
      <c r="G496" s="5" t="s">
        <v>1604</v>
      </c>
      <c r="H496" s="5" t="s">
        <v>1605</v>
      </c>
      <c r="I496" s="60">
        <v>0</v>
      </c>
      <c r="J496" s="5" t="s">
        <v>1300</v>
      </c>
      <c r="K496" s="58">
        <v>0</v>
      </c>
      <c r="L496" s="5" t="s">
        <v>1479</v>
      </c>
      <c r="M496" s="5" t="s">
        <v>1551</v>
      </c>
      <c r="N496" t="str">
        <f>_xlfn.XLOOKUP(A496,Monitoring!A:A,Monitoring!D:D)</f>
        <v>MALLS</v>
      </c>
    </row>
    <row r="497" spans="1:14" x14ac:dyDescent="0.35">
      <c r="A497" s="5">
        <v>10001394</v>
      </c>
      <c r="B497" s="5" t="s">
        <v>1295</v>
      </c>
      <c r="C497" s="5" t="s">
        <v>1318</v>
      </c>
      <c r="D497" s="61">
        <v>46080</v>
      </c>
      <c r="E497" s="61">
        <v>46081</v>
      </c>
      <c r="F497" s="5" t="s">
        <v>1297</v>
      </c>
      <c r="G497" s="5" t="s">
        <v>1606</v>
      </c>
      <c r="H497" s="5" t="s">
        <v>1607</v>
      </c>
      <c r="I497" s="60">
        <v>0</v>
      </c>
      <c r="J497" s="5" t="s">
        <v>1300</v>
      </c>
      <c r="K497" s="58">
        <v>0</v>
      </c>
      <c r="L497" s="5" t="s">
        <v>1479</v>
      </c>
      <c r="M497" s="5" t="s">
        <v>1551</v>
      </c>
      <c r="N497" t="str">
        <f>_xlfn.XLOOKUP(A497,Monitoring!A:A,Monitoring!D:D)</f>
        <v>MALLS</v>
      </c>
    </row>
    <row r="498" spans="1:14" x14ac:dyDescent="0.35">
      <c r="A498" s="5">
        <v>10001394</v>
      </c>
      <c r="B498" s="5" t="s">
        <v>1295</v>
      </c>
      <c r="C498" s="5" t="s">
        <v>1318</v>
      </c>
      <c r="D498" s="61">
        <v>46092</v>
      </c>
      <c r="E498" s="61">
        <v>46081</v>
      </c>
      <c r="F498" s="5" t="s">
        <v>1297</v>
      </c>
      <c r="G498" s="5" t="s">
        <v>1608</v>
      </c>
      <c r="H498" s="5" t="s">
        <v>1609</v>
      </c>
      <c r="I498" s="60">
        <v>0</v>
      </c>
      <c r="J498" s="5" t="s">
        <v>1300</v>
      </c>
      <c r="K498" s="58">
        <v>0</v>
      </c>
      <c r="L498" s="5" t="s">
        <v>1479</v>
      </c>
      <c r="M498" s="5" t="s">
        <v>1551</v>
      </c>
      <c r="N498" t="str">
        <f>_xlfn.XLOOKUP(A498,Monitoring!A:A,Monitoring!D:D)</f>
        <v>MALLS</v>
      </c>
    </row>
    <row r="499" spans="1:14" x14ac:dyDescent="0.35">
      <c r="A499" s="5">
        <v>10001394</v>
      </c>
      <c r="B499" s="5" t="s">
        <v>1295</v>
      </c>
      <c r="C499" s="5" t="s">
        <v>1318</v>
      </c>
      <c r="D499" s="61">
        <v>46092</v>
      </c>
      <c r="E499" s="61">
        <v>46112</v>
      </c>
      <c r="F499" s="5" t="s">
        <v>1297</v>
      </c>
      <c r="G499" s="5" t="s">
        <v>1610</v>
      </c>
      <c r="H499" s="5" t="s">
        <v>1593</v>
      </c>
      <c r="I499" s="60">
        <v>0</v>
      </c>
      <c r="J499" s="5" t="s">
        <v>1425</v>
      </c>
      <c r="K499" s="58">
        <v>0</v>
      </c>
      <c r="L499" s="5" t="s">
        <v>1554</v>
      </c>
      <c r="M499" s="5" t="s">
        <v>1551</v>
      </c>
      <c r="N499" t="str">
        <f>_xlfn.XLOOKUP(A499,Monitoring!A:A,Monitoring!D:D)</f>
        <v>MALLS</v>
      </c>
    </row>
    <row r="500" spans="1:14" x14ac:dyDescent="0.35">
      <c r="A500" s="5">
        <v>10001394</v>
      </c>
      <c r="B500" s="5" t="s">
        <v>1295</v>
      </c>
      <c r="C500" s="5" t="s">
        <v>1318</v>
      </c>
      <c r="D500" s="61">
        <v>46092</v>
      </c>
      <c r="E500" s="61">
        <v>46112</v>
      </c>
      <c r="F500" s="5" t="s">
        <v>1297</v>
      </c>
      <c r="G500" s="5" t="s">
        <v>1610</v>
      </c>
      <c r="H500" s="5" t="s">
        <v>1594</v>
      </c>
      <c r="I500" s="60">
        <v>0</v>
      </c>
      <c r="J500" s="5" t="s">
        <v>1425</v>
      </c>
      <c r="K500" s="58">
        <v>0</v>
      </c>
      <c r="L500" s="5" t="s">
        <v>1554</v>
      </c>
      <c r="M500" s="5" t="s">
        <v>1551</v>
      </c>
      <c r="N500" t="str">
        <f>_xlfn.XLOOKUP(A500,Monitoring!A:A,Monitoring!D:D)</f>
        <v>MALLS</v>
      </c>
    </row>
    <row r="501" spans="1:14" x14ac:dyDescent="0.35">
      <c r="A501" s="5">
        <v>10001394</v>
      </c>
      <c r="B501" s="5" t="s">
        <v>1295</v>
      </c>
      <c r="C501" s="5" t="s">
        <v>1318</v>
      </c>
      <c r="D501" s="61">
        <v>46104</v>
      </c>
      <c r="E501" s="61">
        <v>46112</v>
      </c>
      <c r="F501" s="5" t="s">
        <v>1297</v>
      </c>
      <c r="G501" s="5" t="s">
        <v>1611</v>
      </c>
      <c r="H501" s="5" t="s">
        <v>1612</v>
      </c>
      <c r="I501" s="60">
        <v>0</v>
      </c>
      <c r="J501" s="5" t="s">
        <v>1300</v>
      </c>
      <c r="K501" s="58">
        <v>0</v>
      </c>
      <c r="L501" s="5" t="s">
        <v>1601</v>
      </c>
      <c r="M501" s="5" t="s">
        <v>1551</v>
      </c>
      <c r="N501" t="str">
        <f>_xlfn.XLOOKUP(A501,Monitoring!A:A,Monitoring!D:D)</f>
        <v>MALLS</v>
      </c>
    </row>
    <row r="502" spans="1:14" x14ac:dyDescent="0.35">
      <c r="A502" s="5">
        <v>10001394</v>
      </c>
      <c r="B502" s="5" t="s">
        <v>1295</v>
      </c>
      <c r="C502" s="5" t="s">
        <v>1318</v>
      </c>
      <c r="D502" s="61">
        <v>46106</v>
      </c>
      <c r="E502" s="61">
        <v>46112</v>
      </c>
      <c r="F502" s="5" t="s">
        <v>1297</v>
      </c>
      <c r="G502" s="5" t="s">
        <v>1613</v>
      </c>
      <c r="H502" s="5" t="s">
        <v>1614</v>
      </c>
      <c r="I502" s="60">
        <v>1</v>
      </c>
      <c r="J502" s="5" t="s">
        <v>1300</v>
      </c>
      <c r="K502" s="58">
        <v>25000</v>
      </c>
      <c r="L502" s="5" t="s">
        <v>1370</v>
      </c>
      <c r="M502" s="5" t="s">
        <v>1344</v>
      </c>
      <c r="N502" t="str">
        <f>_xlfn.XLOOKUP(A502,Monitoring!A:A,Monitoring!D:D)</f>
        <v>MALLS</v>
      </c>
    </row>
    <row r="503" spans="1:14" x14ac:dyDescent="0.35">
      <c r="A503" s="5">
        <v>10001394</v>
      </c>
      <c r="B503" s="5" t="s">
        <v>1295</v>
      </c>
      <c r="C503" s="5" t="s">
        <v>1318</v>
      </c>
      <c r="D503" s="61">
        <v>46106</v>
      </c>
      <c r="E503" s="61">
        <v>46112</v>
      </c>
      <c r="F503" s="5" t="s">
        <v>1297</v>
      </c>
      <c r="G503" s="5" t="s">
        <v>1613</v>
      </c>
      <c r="H503" s="5" t="s">
        <v>1614</v>
      </c>
      <c r="I503" s="60">
        <v>1</v>
      </c>
      <c r="J503" s="5" t="s">
        <v>1300</v>
      </c>
      <c r="K503" s="58">
        <v>25000</v>
      </c>
      <c r="L503" s="5" t="s">
        <v>1370</v>
      </c>
      <c r="M503" s="5" t="s">
        <v>1344</v>
      </c>
      <c r="N503" t="str">
        <f>_xlfn.XLOOKUP(A503,Monitoring!A:A,Monitoring!D:D)</f>
        <v>MALLS</v>
      </c>
    </row>
    <row r="504" spans="1:14" x14ac:dyDescent="0.35">
      <c r="A504" s="5">
        <v>10001394</v>
      </c>
      <c r="B504" s="5" t="s">
        <v>1295</v>
      </c>
      <c r="C504" s="5" t="s">
        <v>1318</v>
      </c>
      <c r="D504" s="61">
        <v>46127</v>
      </c>
      <c r="E504" s="61">
        <v>46142</v>
      </c>
      <c r="F504" s="5" t="s">
        <v>1297</v>
      </c>
      <c r="G504" s="5" t="s">
        <v>1937</v>
      </c>
      <c r="H504" s="5" t="s">
        <v>1930</v>
      </c>
      <c r="I504" s="60">
        <v>0</v>
      </c>
      <c r="J504" s="5" t="s">
        <v>1300</v>
      </c>
      <c r="K504" s="58">
        <v>0</v>
      </c>
      <c r="L504" s="5" t="s">
        <v>1568</v>
      </c>
      <c r="M504" s="5" t="s">
        <v>1551</v>
      </c>
      <c r="N504" t="str">
        <f>_xlfn.XLOOKUP(A504,Monitoring!A:A,Monitoring!D:D)</f>
        <v>MALLS</v>
      </c>
    </row>
    <row r="505" spans="1:14" x14ac:dyDescent="0.35">
      <c r="A505" s="5">
        <v>10001394</v>
      </c>
      <c r="B505" s="5" t="s">
        <v>1295</v>
      </c>
      <c r="C505" s="5" t="s">
        <v>1318</v>
      </c>
      <c r="D505" s="61">
        <v>46146</v>
      </c>
      <c r="E505" s="61">
        <v>46142</v>
      </c>
      <c r="F505" s="5" t="s">
        <v>1297</v>
      </c>
      <c r="G505" s="5" t="s">
        <v>2365</v>
      </c>
      <c r="H505" s="5" t="s">
        <v>3005</v>
      </c>
      <c r="I505" s="60">
        <v>0</v>
      </c>
      <c r="J505" s="5" t="s">
        <v>1300</v>
      </c>
      <c r="K505" s="58">
        <v>0</v>
      </c>
      <c r="L505" s="5" t="s">
        <v>1568</v>
      </c>
      <c r="M505" s="5" t="s">
        <v>1555</v>
      </c>
      <c r="N505" t="str">
        <f>_xlfn.XLOOKUP(A505,Monitoring!A:A,Monitoring!D:D)</f>
        <v>MALLS</v>
      </c>
    </row>
    <row r="506" spans="1:14" x14ac:dyDescent="0.35">
      <c r="A506" s="5">
        <v>10001394</v>
      </c>
      <c r="B506" s="5" t="s">
        <v>1295</v>
      </c>
      <c r="C506" s="5" t="s">
        <v>1318</v>
      </c>
      <c r="D506" s="61">
        <v>46148</v>
      </c>
      <c r="E506" s="61">
        <v>46142</v>
      </c>
      <c r="F506" s="5" t="s">
        <v>1297</v>
      </c>
      <c r="G506" s="5" t="s">
        <v>2366</v>
      </c>
      <c r="H506" s="5" t="s">
        <v>2002</v>
      </c>
      <c r="I506" s="60">
        <v>0</v>
      </c>
      <c r="J506" s="5" t="s">
        <v>1425</v>
      </c>
      <c r="K506" s="58">
        <v>0</v>
      </c>
      <c r="L506" s="5" t="s">
        <v>2367</v>
      </c>
      <c r="M506" s="5" t="s">
        <v>1551</v>
      </c>
      <c r="N506" t="str">
        <f>_xlfn.XLOOKUP(A506,Monitoring!A:A,Monitoring!D:D)</f>
        <v>MALLS</v>
      </c>
    </row>
    <row r="507" spans="1:14" x14ac:dyDescent="0.35">
      <c r="A507" s="5">
        <v>10001394</v>
      </c>
      <c r="B507" s="5" t="s">
        <v>1295</v>
      </c>
      <c r="C507" s="5" t="s">
        <v>1318</v>
      </c>
      <c r="D507" s="61">
        <v>46160</v>
      </c>
      <c r="E507" s="61">
        <v>46173</v>
      </c>
      <c r="F507" s="5" t="s">
        <v>1297</v>
      </c>
      <c r="G507" s="5" t="s">
        <v>2223</v>
      </c>
      <c r="H507" s="5" t="s">
        <v>2225</v>
      </c>
      <c r="I507" s="60">
        <v>0</v>
      </c>
      <c r="J507" s="5" t="s">
        <v>1425</v>
      </c>
      <c r="K507" s="58">
        <v>0</v>
      </c>
      <c r="L507" s="5" t="s">
        <v>1568</v>
      </c>
      <c r="M507" s="5" t="s">
        <v>1551</v>
      </c>
      <c r="N507" t="str">
        <f>_xlfn.XLOOKUP(A507,Monitoring!A:A,Monitoring!D:D)</f>
        <v>MALLS</v>
      </c>
    </row>
    <row r="508" spans="1:14" x14ac:dyDescent="0.35">
      <c r="A508" s="5">
        <v>10001394</v>
      </c>
      <c r="B508" s="5" t="s">
        <v>1295</v>
      </c>
      <c r="C508" s="5" t="s">
        <v>1318</v>
      </c>
      <c r="D508" s="61">
        <v>46192</v>
      </c>
      <c r="E508" s="61">
        <v>46203</v>
      </c>
      <c r="F508" s="5" t="s">
        <v>1297</v>
      </c>
      <c r="G508" s="5" t="s">
        <v>2747</v>
      </c>
      <c r="H508" s="5" t="s">
        <v>2364</v>
      </c>
      <c r="I508" s="60">
        <v>0</v>
      </c>
      <c r="J508" s="5" t="s">
        <v>1300</v>
      </c>
      <c r="K508" s="58">
        <v>0</v>
      </c>
      <c r="L508" s="5" t="s">
        <v>1479</v>
      </c>
      <c r="M508" s="5" t="s">
        <v>1551</v>
      </c>
      <c r="N508" t="str">
        <f>_xlfn.XLOOKUP(A508,Monitoring!A:A,Monitoring!D:D)</f>
        <v>MALLS</v>
      </c>
    </row>
    <row r="509" spans="1:14" x14ac:dyDescent="0.35">
      <c r="A509" s="5">
        <v>10001394</v>
      </c>
      <c r="B509" s="5" t="s">
        <v>1295</v>
      </c>
      <c r="C509" s="5" t="s">
        <v>1318</v>
      </c>
      <c r="D509" s="61">
        <v>46202</v>
      </c>
      <c r="E509" s="61">
        <v>46173</v>
      </c>
      <c r="F509" s="5" t="s">
        <v>1297</v>
      </c>
      <c r="G509" s="5" t="s">
        <v>2748</v>
      </c>
      <c r="H509" s="5" t="s">
        <v>2749</v>
      </c>
      <c r="I509" s="60">
        <v>0</v>
      </c>
      <c r="J509" s="5" t="s">
        <v>1300</v>
      </c>
      <c r="K509" s="58">
        <v>0</v>
      </c>
      <c r="L509" s="5" t="s">
        <v>1479</v>
      </c>
      <c r="M509" s="5" t="s">
        <v>1551</v>
      </c>
      <c r="N509" t="str">
        <f>_xlfn.XLOOKUP(A509,Monitoring!A:A,Monitoring!D:D)</f>
        <v>MALLS</v>
      </c>
    </row>
    <row r="510" spans="1:14" x14ac:dyDescent="0.35">
      <c r="A510" s="5">
        <v>10001394</v>
      </c>
      <c r="B510" s="5" t="s">
        <v>1295</v>
      </c>
      <c r="C510" s="5" t="s">
        <v>1318</v>
      </c>
      <c r="D510" s="61">
        <v>46238</v>
      </c>
      <c r="E510" s="61">
        <v>46269</v>
      </c>
      <c r="F510" s="5" t="s">
        <v>1297</v>
      </c>
      <c r="G510" s="5" t="s">
        <v>3006</v>
      </c>
      <c r="H510" s="5" t="s">
        <v>3007</v>
      </c>
      <c r="I510" s="60">
        <v>0</v>
      </c>
      <c r="J510" s="5" t="s">
        <v>1300</v>
      </c>
      <c r="K510" s="58">
        <v>0</v>
      </c>
      <c r="L510" s="5" t="s">
        <v>2026</v>
      </c>
      <c r="M510" s="5" t="s">
        <v>1344</v>
      </c>
      <c r="N510" t="str">
        <f>_xlfn.XLOOKUP(A510,Monitoring!A:A,Monitoring!D:D)</f>
        <v>MALLS</v>
      </c>
    </row>
    <row r="511" spans="1:14" x14ac:dyDescent="0.35">
      <c r="A511" s="5">
        <v>10001394</v>
      </c>
      <c r="B511" s="5" t="s">
        <v>1295</v>
      </c>
      <c r="C511" s="5" t="s">
        <v>1318</v>
      </c>
      <c r="D511" s="61">
        <v>46238</v>
      </c>
      <c r="E511" s="61">
        <v>46234</v>
      </c>
      <c r="F511" s="5" t="s">
        <v>1297</v>
      </c>
      <c r="G511" s="5" t="s">
        <v>3008</v>
      </c>
      <c r="H511" s="5" t="s">
        <v>3009</v>
      </c>
      <c r="I511" s="60">
        <v>0</v>
      </c>
      <c r="J511" s="5" t="s">
        <v>1425</v>
      </c>
      <c r="K511" s="58">
        <v>0</v>
      </c>
      <c r="L511" s="5" t="s">
        <v>1568</v>
      </c>
      <c r="M511" s="5" t="s">
        <v>1540</v>
      </c>
      <c r="N511" t="str">
        <f>_xlfn.XLOOKUP(A511,Monitoring!A:A,Monitoring!D:D)</f>
        <v>MALLS</v>
      </c>
    </row>
    <row r="512" spans="1:14" x14ac:dyDescent="0.35">
      <c r="A512" s="5">
        <v>10001394</v>
      </c>
      <c r="B512" s="5" t="s">
        <v>1295</v>
      </c>
      <c r="C512" s="5" t="s">
        <v>1318</v>
      </c>
      <c r="D512" s="61">
        <v>46238</v>
      </c>
      <c r="E512" s="61">
        <v>46234</v>
      </c>
      <c r="F512" s="5" t="s">
        <v>1297</v>
      </c>
      <c r="G512" s="5" t="s">
        <v>3008</v>
      </c>
      <c r="H512" s="5" t="s">
        <v>3010</v>
      </c>
      <c r="I512" s="60">
        <v>0</v>
      </c>
      <c r="J512" s="5" t="s">
        <v>1425</v>
      </c>
      <c r="K512" s="58">
        <v>0</v>
      </c>
      <c r="L512" s="5" t="s">
        <v>1568</v>
      </c>
      <c r="M512" s="5" t="s">
        <v>1540</v>
      </c>
      <c r="N512" t="str">
        <f>_xlfn.XLOOKUP(A512,Monitoring!A:A,Monitoring!D:D)</f>
        <v>MALLS</v>
      </c>
    </row>
    <row r="513" spans="1:14" x14ac:dyDescent="0.35">
      <c r="A513" s="5">
        <v>10001394</v>
      </c>
      <c r="B513" s="5" t="s">
        <v>1295</v>
      </c>
      <c r="C513" s="5" t="s">
        <v>1318</v>
      </c>
      <c r="D513" s="61">
        <v>46238</v>
      </c>
      <c r="E513" s="61">
        <v>46234</v>
      </c>
      <c r="F513" s="5" t="s">
        <v>1297</v>
      </c>
      <c r="G513" s="5" t="s">
        <v>3008</v>
      </c>
      <c r="H513" s="5" t="s">
        <v>2108</v>
      </c>
      <c r="I513" s="60">
        <v>0</v>
      </c>
      <c r="J513" s="5" t="s">
        <v>1300</v>
      </c>
      <c r="K513" s="58">
        <v>0</v>
      </c>
      <c r="L513" s="5" t="s">
        <v>1568</v>
      </c>
      <c r="M513" s="5" t="s">
        <v>1540</v>
      </c>
      <c r="N513" t="str">
        <f>_xlfn.XLOOKUP(A513,Monitoring!A:A,Monitoring!D:D)</f>
        <v>MALLS</v>
      </c>
    </row>
    <row r="514" spans="1:14" x14ac:dyDescent="0.35">
      <c r="A514" s="5">
        <v>10001394</v>
      </c>
      <c r="B514" s="5" t="s">
        <v>1295</v>
      </c>
      <c r="C514" s="5" t="s">
        <v>1318</v>
      </c>
      <c r="D514" s="61">
        <v>46241</v>
      </c>
      <c r="E514" s="61">
        <v>46269</v>
      </c>
      <c r="F514" s="5" t="s">
        <v>1297</v>
      </c>
      <c r="G514" s="5" t="s">
        <v>3011</v>
      </c>
      <c r="H514" s="5" t="s">
        <v>3007</v>
      </c>
      <c r="I514" s="60">
        <v>1</v>
      </c>
      <c r="J514" s="5" t="s">
        <v>1300</v>
      </c>
      <c r="K514" s="58">
        <v>955357.14</v>
      </c>
      <c r="L514" s="5" t="s">
        <v>3012</v>
      </c>
      <c r="M514" s="5" t="s">
        <v>1344</v>
      </c>
      <c r="N514" t="str">
        <f>_xlfn.XLOOKUP(A514,Monitoring!A:A,Monitoring!D:D)</f>
        <v>MALLS</v>
      </c>
    </row>
    <row r="515" spans="1:14" x14ac:dyDescent="0.35">
      <c r="A515" s="5">
        <v>10001394</v>
      </c>
      <c r="B515" s="5" t="s">
        <v>1295</v>
      </c>
      <c r="C515" s="5" t="s">
        <v>1318</v>
      </c>
      <c r="D515" s="61">
        <v>46247</v>
      </c>
      <c r="E515" s="61">
        <v>46265</v>
      </c>
      <c r="F515" s="5" t="s">
        <v>1297</v>
      </c>
      <c r="G515" s="5" t="s">
        <v>3129</v>
      </c>
      <c r="H515" s="5" t="s">
        <v>3130</v>
      </c>
      <c r="I515" s="60">
        <v>1</v>
      </c>
      <c r="J515" s="5" t="s">
        <v>1300</v>
      </c>
      <c r="K515" s="58">
        <v>589285.71</v>
      </c>
      <c r="L515" s="5" t="s">
        <v>1639</v>
      </c>
      <c r="M515" s="5" t="s">
        <v>1334</v>
      </c>
      <c r="N515" t="str">
        <f>_xlfn.XLOOKUP(A515,Monitoring!A:A,Monitoring!D:D)</f>
        <v>MALLS</v>
      </c>
    </row>
    <row r="516" spans="1:14" x14ac:dyDescent="0.35">
      <c r="A516" s="5">
        <v>10001394</v>
      </c>
      <c r="B516" s="5" t="s">
        <v>1295</v>
      </c>
      <c r="C516" s="5" t="s">
        <v>1318</v>
      </c>
      <c r="D516" s="61">
        <v>46251</v>
      </c>
      <c r="E516" s="61">
        <v>46265</v>
      </c>
      <c r="F516" s="5" t="s">
        <v>1297</v>
      </c>
      <c r="G516" s="5" t="s">
        <v>3248</v>
      </c>
      <c r="H516" s="5" t="s">
        <v>3250</v>
      </c>
      <c r="I516" s="60">
        <v>0</v>
      </c>
      <c r="J516" s="5" t="s">
        <v>1300</v>
      </c>
      <c r="K516" s="58">
        <v>0</v>
      </c>
      <c r="L516" s="5" t="s">
        <v>1305</v>
      </c>
      <c r="M516" s="5" t="s">
        <v>1540</v>
      </c>
      <c r="N516" t="str">
        <f>_xlfn.XLOOKUP(A516,Monitoring!A:A,Monitoring!D:D)</f>
        <v>MALLS</v>
      </c>
    </row>
    <row r="517" spans="1:14" x14ac:dyDescent="0.35">
      <c r="A517" s="5">
        <v>10001394</v>
      </c>
      <c r="B517" s="5" t="s">
        <v>1295</v>
      </c>
      <c r="C517" s="5" t="s">
        <v>1318</v>
      </c>
      <c r="D517" s="61">
        <v>46275</v>
      </c>
      <c r="E517" s="61">
        <v>46265</v>
      </c>
      <c r="F517" s="5" t="s">
        <v>1297</v>
      </c>
      <c r="G517" s="5" t="s">
        <v>3347</v>
      </c>
      <c r="H517" s="5" t="s">
        <v>3348</v>
      </c>
      <c r="I517" s="60">
        <v>1</v>
      </c>
      <c r="J517" s="5" t="s">
        <v>1300</v>
      </c>
      <c r="K517" s="58">
        <v>330357.14</v>
      </c>
      <c r="L517" s="5" t="s">
        <v>1462</v>
      </c>
      <c r="M517" s="5" t="s">
        <v>1344</v>
      </c>
      <c r="N517" t="str">
        <f>_xlfn.XLOOKUP(A517,Monitoring!A:A,Monitoring!D:D)</f>
        <v>MALLS</v>
      </c>
    </row>
    <row r="518" spans="1:14" x14ac:dyDescent="0.35">
      <c r="A518" s="5">
        <v>10001394</v>
      </c>
      <c r="B518" s="5" t="s">
        <v>1295</v>
      </c>
      <c r="C518" s="5" t="s">
        <v>1318</v>
      </c>
      <c r="D518" s="61">
        <v>46276</v>
      </c>
      <c r="E518" s="61">
        <v>46265</v>
      </c>
      <c r="F518" s="5" t="s">
        <v>1297</v>
      </c>
      <c r="G518" s="5" t="s">
        <v>3349</v>
      </c>
      <c r="H518" s="5" t="s">
        <v>3350</v>
      </c>
      <c r="I518" s="60">
        <v>1</v>
      </c>
      <c r="J518" s="5" t="s">
        <v>1300</v>
      </c>
      <c r="K518" s="58">
        <v>84821.43</v>
      </c>
      <c r="L518" s="5" t="s">
        <v>1462</v>
      </c>
      <c r="M518" s="5" t="s">
        <v>1344</v>
      </c>
      <c r="N518" t="str">
        <f>_xlfn.XLOOKUP(A518,Monitoring!A:A,Monitoring!D:D)</f>
        <v>MALLS</v>
      </c>
    </row>
    <row r="519" spans="1:14" x14ac:dyDescent="0.35">
      <c r="A519" s="5">
        <v>10001394</v>
      </c>
      <c r="B519" s="5" t="s">
        <v>1295</v>
      </c>
      <c r="C519" s="5" t="s">
        <v>1318</v>
      </c>
      <c r="D519" s="61">
        <v>46280</v>
      </c>
      <c r="E519" s="61">
        <v>46265</v>
      </c>
      <c r="F519" s="5" t="s">
        <v>1297</v>
      </c>
      <c r="G519" s="5" t="s">
        <v>3351</v>
      </c>
      <c r="H519" s="5" t="s">
        <v>3352</v>
      </c>
      <c r="I519" s="60">
        <v>1</v>
      </c>
      <c r="J519" s="5" t="s">
        <v>1300</v>
      </c>
      <c r="K519" s="58">
        <v>80357.14</v>
      </c>
      <c r="L519" s="5" t="s">
        <v>1639</v>
      </c>
      <c r="M519" s="5" t="s">
        <v>1344</v>
      </c>
      <c r="N519" t="str">
        <f>_xlfn.XLOOKUP(A519,Monitoring!A:A,Monitoring!D:D)</f>
        <v>MALLS</v>
      </c>
    </row>
    <row r="520" spans="1:14" x14ac:dyDescent="0.35">
      <c r="A520" s="5">
        <v>10001395</v>
      </c>
      <c r="B520" s="5" t="s">
        <v>1295</v>
      </c>
      <c r="C520" s="5" t="s">
        <v>1318</v>
      </c>
      <c r="D520" s="61">
        <v>46079</v>
      </c>
      <c r="E520" s="61">
        <v>46079</v>
      </c>
      <c r="F520" s="5" t="s">
        <v>1364</v>
      </c>
      <c r="G520" s="5" t="s">
        <v>1615</v>
      </c>
      <c r="H520" s="5" t="s">
        <v>1616</v>
      </c>
      <c r="I520" s="60">
        <v>0</v>
      </c>
      <c r="J520" s="5" t="s">
        <v>1300</v>
      </c>
      <c r="K520" s="58">
        <v>0</v>
      </c>
      <c r="L520" s="5" t="s">
        <v>993</v>
      </c>
      <c r="M520" s="5" t="s">
        <v>1344</v>
      </c>
      <c r="N520" t="str">
        <f>_xlfn.XLOOKUP(A520,Monitoring!A:A,Monitoring!D:D)</f>
        <v>MALLS</v>
      </c>
    </row>
    <row r="521" spans="1:14" x14ac:dyDescent="0.35">
      <c r="A521" s="5">
        <v>10001395</v>
      </c>
      <c r="B521" s="5" t="s">
        <v>1295</v>
      </c>
      <c r="C521" s="5" t="s">
        <v>1318</v>
      </c>
      <c r="D521" s="61">
        <v>46079</v>
      </c>
      <c r="E521" s="61">
        <v>46093</v>
      </c>
      <c r="F521" s="5" t="s">
        <v>1364</v>
      </c>
      <c r="G521" s="5" t="s">
        <v>1617</v>
      </c>
      <c r="H521" s="5" t="s">
        <v>1618</v>
      </c>
      <c r="I521" s="60">
        <v>0</v>
      </c>
      <c r="J521" s="5" t="s">
        <v>1300</v>
      </c>
      <c r="K521" s="58">
        <v>0</v>
      </c>
      <c r="L521" s="5" t="s">
        <v>993</v>
      </c>
      <c r="M521" s="5" t="s">
        <v>1344</v>
      </c>
      <c r="N521" t="str">
        <f>_xlfn.XLOOKUP(A521,Monitoring!A:A,Monitoring!D:D)</f>
        <v>MALLS</v>
      </c>
    </row>
    <row r="522" spans="1:14" x14ac:dyDescent="0.35">
      <c r="A522" s="5">
        <v>10001395</v>
      </c>
      <c r="B522" s="5" t="s">
        <v>1295</v>
      </c>
      <c r="C522" s="5" t="s">
        <v>1318</v>
      </c>
      <c r="D522" s="61">
        <v>46097</v>
      </c>
      <c r="E522" s="61">
        <v>46111</v>
      </c>
      <c r="F522" s="5" t="s">
        <v>1364</v>
      </c>
      <c r="G522" s="5" t="s">
        <v>1619</v>
      </c>
      <c r="H522" s="5" t="s">
        <v>1620</v>
      </c>
      <c r="I522" s="60">
        <v>0</v>
      </c>
      <c r="J522" s="5" t="s">
        <v>1300</v>
      </c>
      <c r="K522" s="58">
        <v>0</v>
      </c>
      <c r="L522" s="5" t="s">
        <v>993</v>
      </c>
      <c r="M522" s="5" t="s">
        <v>1344</v>
      </c>
      <c r="N522" t="str">
        <f>_xlfn.XLOOKUP(A522,Monitoring!A:A,Monitoring!D:D)</f>
        <v>MALLS</v>
      </c>
    </row>
    <row r="523" spans="1:14" x14ac:dyDescent="0.35">
      <c r="A523" s="5">
        <v>10001395</v>
      </c>
      <c r="B523" s="5" t="s">
        <v>1295</v>
      </c>
      <c r="C523" s="5" t="s">
        <v>1318</v>
      </c>
      <c r="D523" s="61">
        <v>46097</v>
      </c>
      <c r="E523" s="61">
        <v>46111</v>
      </c>
      <c r="F523" s="5" t="s">
        <v>1364</v>
      </c>
      <c r="G523" s="5" t="s">
        <v>1621</v>
      </c>
      <c r="H523" s="5" t="s">
        <v>1622</v>
      </c>
      <c r="I523" s="60">
        <v>0</v>
      </c>
      <c r="J523" s="5" t="s">
        <v>1300</v>
      </c>
      <c r="K523" s="58">
        <v>0</v>
      </c>
      <c r="L523" s="5" t="s">
        <v>993</v>
      </c>
      <c r="M523" s="5" t="s">
        <v>1344</v>
      </c>
      <c r="N523" t="str">
        <f>_xlfn.XLOOKUP(A523,Monitoring!A:A,Monitoring!D:D)</f>
        <v>MALLS</v>
      </c>
    </row>
    <row r="524" spans="1:14" x14ac:dyDescent="0.35">
      <c r="A524" s="5">
        <v>10001395</v>
      </c>
      <c r="B524" s="5" t="s">
        <v>1295</v>
      </c>
      <c r="C524" s="5" t="s">
        <v>1318</v>
      </c>
      <c r="D524" s="61">
        <v>46097</v>
      </c>
      <c r="E524" s="61">
        <v>46111</v>
      </c>
      <c r="F524" s="5" t="s">
        <v>1364</v>
      </c>
      <c r="G524" s="5" t="s">
        <v>1623</v>
      </c>
      <c r="H524" s="5" t="s">
        <v>1624</v>
      </c>
      <c r="I524" s="60">
        <v>0</v>
      </c>
      <c r="J524" s="5" t="s">
        <v>1300</v>
      </c>
      <c r="K524" s="58">
        <v>0</v>
      </c>
      <c r="L524" s="5" t="s">
        <v>993</v>
      </c>
      <c r="M524" s="5" t="s">
        <v>1344</v>
      </c>
      <c r="N524" t="str">
        <f>_xlfn.XLOOKUP(A524,Monitoring!A:A,Monitoring!D:D)</f>
        <v>MALLS</v>
      </c>
    </row>
    <row r="525" spans="1:14" x14ac:dyDescent="0.35">
      <c r="A525" s="5">
        <v>10001395</v>
      </c>
      <c r="B525" s="5" t="s">
        <v>1295</v>
      </c>
      <c r="C525" s="5" t="s">
        <v>1318</v>
      </c>
      <c r="D525" s="61">
        <v>46098</v>
      </c>
      <c r="E525" s="61">
        <v>46112</v>
      </c>
      <c r="F525" s="5" t="s">
        <v>1364</v>
      </c>
      <c r="G525" s="5" t="s">
        <v>1625</v>
      </c>
      <c r="H525" s="5" t="s">
        <v>1626</v>
      </c>
      <c r="I525" s="60">
        <v>0</v>
      </c>
      <c r="J525" s="5" t="s">
        <v>1300</v>
      </c>
      <c r="K525" s="58">
        <v>0</v>
      </c>
      <c r="L525" s="5" t="s">
        <v>993</v>
      </c>
      <c r="M525" s="5" t="s">
        <v>1344</v>
      </c>
      <c r="N525" t="str">
        <f>_xlfn.XLOOKUP(A525,Monitoring!A:A,Monitoring!D:D)</f>
        <v>MALLS</v>
      </c>
    </row>
    <row r="526" spans="1:14" x14ac:dyDescent="0.35">
      <c r="A526" s="5">
        <v>10001395</v>
      </c>
      <c r="B526" s="5" t="s">
        <v>1295</v>
      </c>
      <c r="C526" s="5" t="s">
        <v>1318</v>
      </c>
      <c r="D526" s="61">
        <v>46098</v>
      </c>
      <c r="E526" s="61">
        <v>46112</v>
      </c>
      <c r="F526" s="5" t="s">
        <v>1364</v>
      </c>
      <c r="G526" s="5" t="s">
        <v>1625</v>
      </c>
      <c r="H526" s="5" t="s">
        <v>1627</v>
      </c>
      <c r="I526" s="60">
        <v>0</v>
      </c>
      <c r="J526" s="5" t="s">
        <v>1300</v>
      </c>
      <c r="K526" s="58">
        <v>0</v>
      </c>
      <c r="L526" s="5" t="s">
        <v>993</v>
      </c>
      <c r="M526" s="5" t="s">
        <v>1344</v>
      </c>
      <c r="N526" t="str">
        <f>_xlfn.XLOOKUP(A526,Monitoring!A:A,Monitoring!D:D)</f>
        <v>MALLS</v>
      </c>
    </row>
    <row r="527" spans="1:14" x14ac:dyDescent="0.35">
      <c r="A527" s="5">
        <v>10001395</v>
      </c>
      <c r="B527" s="5" t="s">
        <v>1295</v>
      </c>
      <c r="C527" s="5" t="s">
        <v>1318</v>
      </c>
      <c r="D527" s="61">
        <v>46099</v>
      </c>
      <c r="E527" s="61">
        <v>46113</v>
      </c>
      <c r="F527" s="5" t="s">
        <v>1364</v>
      </c>
      <c r="G527" s="5" t="s">
        <v>1628</v>
      </c>
      <c r="H527" s="5" t="s">
        <v>1629</v>
      </c>
      <c r="I527" s="60">
        <v>0</v>
      </c>
      <c r="J527" s="5" t="s">
        <v>1300</v>
      </c>
      <c r="K527" s="58">
        <v>0</v>
      </c>
      <c r="L527" s="5" t="s">
        <v>993</v>
      </c>
      <c r="M527" s="5" t="s">
        <v>1330</v>
      </c>
      <c r="N527" t="str">
        <f>_xlfn.XLOOKUP(A527,Monitoring!A:A,Monitoring!D:D)</f>
        <v>MALLS</v>
      </c>
    </row>
    <row r="528" spans="1:14" x14ac:dyDescent="0.35">
      <c r="A528" s="5">
        <v>10001395</v>
      </c>
      <c r="B528" s="5" t="s">
        <v>1295</v>
      </c>
      <c r="C528" s="5" t="s">
        <v>1318</v>
      </c>
      <c r="D528" s="61">
        <v>46100</v>
      </c>
      <c r="E528" s="61">
        <v>46114</v>
      </c>
      <c r="F528" s="5" t="s">
        <v>1364</v>
      </c>
      <c r="G528" s="5" t="s">
        <v>1630</v>
      </c>
      <c r="H528" s="5" t="s">
        <v>1631</v>
      </c>
      <c r="I528" s="60">
        <v>0</v>
      </c>
      <c r="J528" s="5" t="s">
        <v>1300</v>
      </c>
      <c r="K528" s="58">
        <v>0</v>
      </c>
      <c r="L528" s="5" t="s">
        <v>993</v>
      </c>
      <c r="M528" s="5" t="s">
        <v>1344</v>
      </c>
      <c r="N528" t="str">
        <f>_xlfn.XLOOKUP(A528,Monitoring!A:A,Monitoring!D:D)</f>
        <v>MALLS</v>
      </c>
    </row>
    <row r="529" spans="1:14" x14ac:dyDescent="0.35">
      <c r="A529" s="5">
        <v>10001395</v>
      </c>
      <c r="B529" s="5" t="s">
        <v>1295</v>
      </c>
      <c r="C529" s="5" t="s">
        <v>1318</v>
      </c>
      <c r="D529" s="61">
        <v>46139</v>
      </c>
      <c r="E529" s="61">
        <v>46153</v>
      </c>
      <c r="F529" s="5" t="s">
        <v>1364</v>
      </c>
      <c r="G529" s="5" t="s">
        <v>2003</v>
      </c>
      <c r="H529" s="5" t="s">
        <v>2004</v>
      </c>
      <c r="I529" s="60">
        <v>0</v>
      </c>
      <c r="J529" s="5" t="s">
        <v>1300</v>
      </c>
      <c r="K529" s="58">
        <v>0</v>
      </c>
      <c r="L529" s="5" t="s">
        <v>993</v>
      </c>
      <c r="M529" s="5" t="s">
        <v>1344</v>
      </c>
      <c r="N529" t="str">
        <f>_xlfn.XLOOKUP(A529,Monitoring!A:A,Monitoring!D:D)</f>
        <v>MALLS</v>
      </c>
    </row>
    <row r="530" spans="1:14" x14ac:dyDescent="0.35">
      <c r="A530" s="5">
        <v>10001395</v>
      </c>
      <c r="B530" s="5" t="s">
        <v>1295</v>
      </c>
      <c r="C530" s="5" t="s">
        <v>1318</v>
      </c>
      <c r="D530" s="61">
        <v>46140</v>
      </c>
      <c r="E530" s="61">
        <v>46154</v>
      </c>
      <c r="F530" s="5" t="s">
        <v>1364</v>
      </c>
      <c r="G530" s="5" t="s">
        <v>2005</v>
      </c>
      <c r="H530" s="5" t="s">
        <v>2006</v>
      </c>
      <c r="I530" s="60">
        <v>0</v>
      </c>
      <c r="J530" s="5" t="s">
        <v>1300</v>
      </c>
      <c r="K530" s="58">
        <v>0</v>
      </c>
      <c r="L530" s="5" t="s">
        <v>993</v>
      </c>
      <c r="M530" s="5" t="s">
        <v>1377</v>
      </c>
      <c r="N530" t="str">
        <f>_xlfn.XLOOKUP(A530,Monitoring!A:A,Monitoring!D:D)</f>
        <v>MALLS</v>
      </c>
    </row>
    <row r="531" spans="1:14" x14ac:dyDescent="0.35">
      <c r="A531" s="5">
        <v>10001395</v>
      </c>
      <c r="B531" s="5" t="s">
        <v>1295</v>
      </c>
      <c r="C531" s="5" t="s">
        <v>1318</v>
      </c>
      <c r="D531" s="61">
        <v>46161</v>
      </c>
      <c r="E531" s="61">
        <v>46175</v>
      </c>
      <c r="F531" s="5" t="s">
        <v>1364</v>
      </c>
      <c r="G531" s="5" t="s">
        <v>2368</v>
      </c>
      <c r="H531" s="5" t="s">
        <v>2369</v>
      </c>
      <c r="I531" s="60">
        <v>0</v>
      </c>
      <c r="J531" s="5" t="s">
        <v>1300</v>
      </c>
      <c r="K531" s="58">
        <v>0</v>
      </c>
      <c r="L531" s="5" t="s">
        <v>993</v>
      </c>
      <c r="M531" s="5" t="s">
        <v>1344</v>
      </c>
      <c r="N531" t="str">
        <f>_xlfn.XLOOKUP(A531,Monitoring!A:A,Monitoring!D:D)</f>
        <v>MALLS</v>
      </c>
    </row>
    <row r="532" spans="1:14" x14ac:dyDescent="0.35">
      <c r="A532" s="5">
        <v>10001395</v>
      </c>
      <c r="B532" s="5" t="s">
        <v>1295</v>
      </c>
      <c r="C532" s="5" t="s">
        <v>1318</v>
      </c>
      <c r="D532" s="61">
        <v>46171</v>
      </c>
      <c r="E532" s="61">
        <v>46192</v>
      </c>
      <c r="F532" s="5" t="s">
        <v>1364</v>
      </c>
      <c r="G532" s="5" t="s">
        <v>2370</v>
      </c>
      <c r="H532" s="5" t="s">
        <v>2371</v>
      </c>
      <c r="I532" s="60">
        <v>0</v>
      </c>
      <c r="J532" s="5" t="s">
        <v>1300</v>
      </c>
      <c r="K532" s="58">
        <v>0</v>
      </c>
      <c r="L532" s="5" t="s">
        <v>993</v>
      </c>
      <c r="M532" s="5" t="s">
        <v>1344</v>
      </c>
      <c r="N532" t="str">
        <f>_xlfn.XLOOKUP(A532,Monitoring!A:A,Monitoring!D:D)</f>
        <v>MALLS</v>
      </c>
    </row>
    <row r="533" spans="1:14" x14ac:dyDescent="0.35">
      <c r="A533" s="5">
        <v>10001395</v>
      </c>
      <c r="B533" s="5" t="s">
        <v>1295</v>
      </c>
      <c r="C533" s="5" t="s">
        <v>1318</v>
      </c>
      <c r="D533" s="61">
        <v>46171</v>
      </c>
      <c r="E533" s="61">
        <v>46192</v>
      </c>
      <c r="F533" s="5" t="s">
        <v>1364</v>
      </c>
      <c r="G533" s="5" t="s">
        <v>2372</v>
      </c>
      <c r="H533" s="5" t="s">
        <v>2373</v>
      </c>
      <c r="I533" s="60">
        <v>0</v>
      </c>
      <c r="J533" s="5" t="s">
        <v>1300</v>
      </c>
      <c r="K533" s="58">
        <v>0</v>
      </c>
      <c r="L533" s="5" t="s">
        <v>993</v>
      </c>
      <c r="M533" s="5" t="s">
        <v>1344</v>
      </c>
      <c r="N533" t="str">
        <f>_xlfn.XLOOKUP(A533,Monitoring!A:A,Monitoring!D:D)</f>
        <v>MALLS</v>
      </c>
    </row>
    <row r="534" spans="1:14" x14ac:dyDescent="0.35">
      <c r="A534" s="5">
        <v>10001395</v>
      </c>
      <c r="B534" s="5" t="s">
        <v>1295</v>
      </c>
      <c r="C534" s="5" t="s">
        <v>1318</v>
      </c>
      <c r="D534" s="61">
        <v>46171</v>
      </c>
      <c r="E534" s="61">
        <v>46192</v>
      </c>
      <c r="F534" s="5" t="s">
        <v>1364</v>
      </c>
      <c r="G534" s="5" t="s">
        <v>2374</v>
      </c>
      <c r="H534" s="5" t="s">
        <v>2375</v>
      </c>
      <c r="I534" s="60">
        <v>0</v>
      </c>
      <c r="J534" s="5" t="s">
        <v>1300</v>
      </c>
      <c r="K534" s="58">
        <v>0</v>
      </c>
      <c r="L534" s="5" t="s">
        <v>993</v>
      </c>
      <c r="M534" s="5" t="s">
        <v>1344</v>
      </c>
      <c r="N534" t="str">
        <f>_xlfn.XLOOKUP(A534,Monitoring!A:A,Monitoring!D:D)</f>
        <v>MALLS</v>
      </c>
    </row>
    <row r="535" spans="1:14" x14ac:dyDescent="0.35">
      <c r="A535" s="5">
        <v>10001395</v>
      </c>
      <c r="B535" s="5" t="s">
        <v>1295</v>
      </c>
      <c r="C535" s="5" t="s">
        <v>1318</v>
      </c>
      <c r="D535" s="61">
        <v>46171</v>
      </c>
      <c r="E535" s="61">
        <v>46192</v>
      </c>
      <c r="F535" s="5" t="s">
        <v>1364</v>
      </c>
      <c r="G535" s="5" t="s">
        <v>2376</v>
      </c>
      <c r="H535" s="5" t="s">
        <v>2377</v>
      </c>
      <c r="I535" s="60">
        <v>0</v>
      </c>
      <c r="J535" s="5" t="s">
        <v>1300</v>
      </c>
      <c r="K535" s="58">
        <v>0</v>
      </c>
      <c r="L535" s="5" t="s">
        <v>993</v>
      </c>
      <c r="M535" s="5" t="s">
        <v>1344</v>
      </c>
      <c r="N535" t="str">
        <f>_xlfn.XLOOKUP(A535,Monitoring!A:A,Monitoring!D:D)</f>
        <v>MALLS</v>
      </c>
    </row>
    <row r="536" spans="1:14" x14ac:dyDescent="0.35">
      <c r="A536" s="5">
        <v>10001395</v>
      </c>
      <c r="B536" s="5" t="s">
        <v>1295</v>
      </c>
      <c r="C536" s="5" t="s">
        <v>1318</v>
      </c>
      <c r="D536" s="61">
        <v>46195</v>
      </c>
      <c r="E536" s="61">
        <v>46216</v>
      </c>
      <c r="F536" s="5" t="s">
        <v>1364</v>
      </c>
      <c r="G536" s="5" t="s">
        <v>2750</v>
      </c>
      <c r="H536" s="5" t="s">
        <v>2751</v>
      </c>
      <c r="I536" s="60">
        <v>0</v>
      </c>
      <c r="J536" s="5" t="s">
        <v>1300</v>
      </c>
      <c r="K536" s="58">
        <v>0</v>
      </c>
      <c r="L536" s="5" t="s">
        <v>993</v>
      </c>
      <c r="M536" s="5" t="s">
        <v>1344</v>
      </c>
      <c r="N536" t="str">
        <f>_xlfn.XLOOKUP(A536,Monitoring!A:A,Monitoring!D:D)</f>
        <v>MALLS</v>
      </c>
    </row>
    <row r="537" spans="1:14" x14ac:dyDescent="0.35">
      <c r="A537" s="5">
        <v>10001395</v>
      </c>
      <c r="B537" s="5" t="s">
        <v>1295</v>
      </c>
      <c r="C537" s="5" t="s">
        <v>1318</v>
      </c>
      <c r="D537" s="61">
        <v>46195</v>
      </c>
      <c r="E537" s="61">
        <v>46216</v>
      </c>
      <c r="F537" s="5" t="s">
        <v>1364</v>
      </c>
      <c r="G537" s="5" t="s">
        <v>2752</v>
      </c>
      <c r="H537" s="5" t="s">
        <v>2753</v>
      </c>
      <c r="I537" s="60">
        <v>0</v>
      </c>
      <c r="J537" s="5" t="s">
        <v>1300</v>
      </c>
      <c r="K537" s="58">
        <v>0</v>
      </c>
      <c r="L537" s="5" t="s">
        <v>993</v>
      </c>
      <c r="M537" s="5" t="s">
        <v>1344</v>
      </c>
      <c r="N537" t="str">
        <f>_xlfn.XLOOKUP(A537,Monitoring!A:A,Monitoring!D:D)</f>
        <v>MALLS</v>
      </c>
    </row>
    <row r="538" spans="1:14" x14ac:dyDescent="0.35">
      <c r="A538" s="5">
        <v>10001395</v>
      </c>
      <c r="B538" s="5" t="s">
        <v>1295</v>
      </c>
      <c r="C538" s="5" t="s">
        <v>1318</v>
      </c>
      <c r="D538" s="61">
        <v>46195</v>
      </c>
      <c r="E538" s="61">
        <v>46216</v>
      </c>
      <c r="F538" s="5" t="s">
        <v>1364</v>
      </c>
      <c r="G538" s="5" t="s">
        <v>2754</v>
      </c>
      <c r="H538" s="5" t="s">
        <v>2755</v>
      </c>
      <c r="I538" s="60">
        <v>0</v>
      </c>
      <c r="J538" s="5" t="s">
        <v>1300</v>
      </c>
      <c r="K538" s="58">
        <v>0</v>
      </c>
      <c r="L538" s="5" t="s">
        <v>993</v>
      </c>
      <c r="M538" s="5" t="s">
        <v>1344</v>
      </c>
      <c r="N538" t="str">
        <f>_xlfn.XLOOKUP(A538,Monitoring!A:A,Monitoring!D:D)</f>
        <v>MALLS</v>
      </c>
    </row>
    <row r="539" spans="1:14" x14ac:dyDescent="0.35">
      <c r="A539" s="5">
        <v>10001395</v>
      </c>
      <c r="B539" s="5" t="s">
        <v>1295</v>
      </c>
      <c r="C539" s="5" t="s">
        <v>1318</v>
      </c>
      <c r="D539" s="61">
        <v>46205</v>
      </c>
      <c r="E539" s="61">
        <v>46226</v>
      </c>
      <c r="F539" s="5" t="s">
        <v>1364</v>
      </c>
      <c r="G539" s="5" t="s">
        <v>2756</v>
      </c>
      <c r="H539" s="5" t="s">
        <v>2757</v>
      </c>
      <c r="I539" s="60">
        <v>0</v>
      </c>
      <c r="J539" s="5" t="s">
        <v>1300</v>
      </c>
      <c r="K539" s="58">
        <v>0</v>
      </c>
      <c r="L539" s="5" t="s">
        <v>993</v>
      </c>
      <c r="M539" s="5" t="s">
        <v>1344</v>
      </c>
      <c r="N539" t="str">
        <f>_xlfn.XLOOKUP(A539,Monitoring!A:A,Monitoring!D:D)</f>
        <v>MALLS</v>
      </c>
    </row>
    <row r="540" spans="1:14" x14ac:dyDescent="0.35">
      <c r="A540" s="5">
        <v>10001395</v>
      </c>
      <c r="B540" s="5" t="s">
        <v>1295</v>
      </c>
      <c r="C540" s="5" t="s">
        <v>1318</v>
      </c>
      <c r="D540" s="61">
        <v>46212</v>
      </c>
      <c r="E540" s="61">
        <v>46233</v>
      </c>
      <c r="F540" s="5" t="s">
        <v>1364</v>
      </c>
      <c r="G540" s="5" t="s">
        <v>2849</v>
      </c>
      <c r="H540" s="5" t="s">
        <v>2850</v>
      </c>
      <c r="I540" s="60">
        <v>0</v>
      </c>
      <c r="J540" s="5" t="s">
        <v>1300</v>
      </c>
      <c r="K540" s="58">
        <v>0</v>
      </c>
      <c r="L540" s="5" t="s">
        <v>993</v>
      </c>
      <c r="M540" s="5" t="s">
        <v>1344</v>
      </c>
      <c r="N540" t="str">
        <f>_xlfn.XLOOKUP(A540,Monitoring!A:A,Monitoring!D:D)</f>
        <v>MALLS</v>
      </c>
    </row>
    <row r="541" spans="1:14" x14ac:dyDescent="0.35">
      <c r="A541" s="5">
        <v>10001395</v>
      </c>
      <c r="B541" s="5" t="s">
        <v>1295</v>
      </c>
      <c r="C541" s="5" t="s">
        <v>1318</v>
      </c>
      <c r="D541" s="61">
        <v>46226</v>
      </c>
      <c r="E541" s="61">
        <v>46240</v>
      </c>
      <c r="F541" s="5" t="s">
        <v>1364</v>
      </c>
      <c r="G541" s="5" t="s">
        <v>3013</v>
      </c>
      <c r="H541" s="5" t="s">
        <v>3014</v>
      </c>
      <c r="I541" s="60">
        <v>0</v>
      </c>
      <c r="J541" s="5" t="s">
        <v>1300</v>
      </c>
      <c r="K541" s="58">
        <v>0</v>
      </c>
      <c r="L541" s="5" t="s">
        <v>993</v>
      </c>
      <c r="M541" s="5" t="s">
        <v>1344</v>
      </c>
      <c r="N541" t="str">
        <f>_xlfn.XLOOKUP(A541,Monitoring!A:A,Monitoring!D:D)</f>
        <v>MALLS</v>
      </c>
    </row>
    <row r="542" spans="1:14" x14ac:dyDescent="0.35">
      <c r="A542" s="5">
        <v>10001395</v>
      </c>
      <c r="B542" s="5" t="s">
        <v>1295</v>
      </c>
      <c r="C542" s="5" t="s">
        <v>1318</v>
      </c>
      <c r="D542" s="61">
        <v>46091</v>
      </c>
      <c r="E542" s="61">
        <v>46093</v>
      </c>
      <c r="F542" s="5" t="s">
        <v>1297</v>
      </c>
      <c r="G542" s="5" t="s">
        <v>1632</v>
      </c>
      <c r="H542" s="5" t="s">
        <v>1633</v>
      </c>
      <c r="I542" s="60">
        <v>0</v>
      </c>
      <c r="J542" s="5" t="s">
        <v>1300</v>
      </c>
      <c r="K542" s="58">
        <v>0</v>
      </c>
      <c r="L542" s="5" t="s">
        <v>1503</v>
      </c>
      <c r="M542" s="5" t="s">
        <v>1555</v>
      </c>
      <c r="N542" t="str">
        <f>_xlfn.XLOOKUP(A542,Monitoring!A:A,Monitoring!D:D)</f>
        <v>MALLS</v>
      </c>
    </row>
    <row r="543" spans="1:14" x14ac:dyDescent="0.35">
      <c r="A543" s="5">
        <v>10001395</v>
      </c>
      <c r="B543" s="5" t="s">
        <v>1295</v>
      </c>
      <c r="C543" s="5" t="s">
        <v>1318</v>
      </c>
      <c r="D543" s="61">
        <v>46098</v>
      </c>
      <c r="E543" s="61">
        <v>46079</v>
      </c>
      <c r="F543" s="5" t="s">
        <v>1297</v>
      </c>
      <c r="G543" s="5" t="s">
        <v>1634</v>
      </c>
      <c r="H543" s="5" t="s">
        <v>1635</v>
      </c>
      <c r="I543" s="60">
        <v>0</v>
      </c>
      <c r="J543" s="5" t="s">
        <v>1300</v>
      </c>
      <c r="K543" s="58">
        <v>0</v>
      </c>
      <c r="L543" s="5" t="s">
        <v>1313</v>
      </c>
      <c r="M543" s="5" t="s">
        <v>1310</v>
      </c>
      <c r="N543" t="str">
        <f>_xlfn.XLOOKUP(A543,Monitoring!A:A,Monitoring!D:D)</f>
        <v>MALLS</v>
      </c>
    </row>
    <row r="544" spans="1:14" x14ac:dyDescent="0.35">
      <c r="A544" s="5">
        <v>10001395</v>
      </c>
      <c r="B544" s="5" t="s">
        <v>1295</v>
      </c>
      <c r="C544" s="5" t="s">
        <v>1318</v>
      </c>
      <c r="D544" s="61">
        <v>46106</v>
      </c>
      <c r="E544" s="61">
        <v>46111</v>
      </c>
      <c r="F544" s="5" t="s">
        <v>1297</v>
      </c>
      <c r="G544" s="5" t="s">
        <v>1636</v>
      </c>
      <c r="H544" s="5" t="s">
        <v>1620</v>
      </c>
      <c r="I544" s="60">
        <v>0</v>
      </c>
      <c r="J544" s="5" t="s">
        <v>1300</v>
      </c>
      <c r="K544" s="58">
        <v>0</v>
      </c>
      <c r="L544" s="5" t="s">
        <v>1462</v>
      </c>
      <c r="M544" s="5" t="s">
        <v>1310</v>
      </c>
      <c r="N544" t="str">
        <f>_xlfn.XLOOKUP(A544,Monitoring!A:A,Monitoring!D:D)</f>
        <v>MALLS</v>
      </c>
    </row>
    <row r="545" spans="1:14" x14ac:dyDescent="0.35">
      <c r="A545" s="5">
        <v>10001395</v>
      </c>
      <c r="B545" s="5" t="s">
        <v>1295</v>
      </c>
      <c r="C545" s="5" t="s">
        <v>1318</v>
      </c>
      <c r="D545" s="61">
        <v>46111</v>
      </c>
      <c r="E545" s="61">
        <v>46111</v>
      </c>
      <c r="F545" s="5" t="s">
        <v>1297</v>
      </c>
      <c r="G545" s="5" t="s">
        <v>1637</v>
      </c>
      <c r="H545" s="5" t="s">
        <v>1638</v>
      </c>
      <c r="I545" s="60">
        <v>0</v>
      </c>
      <c r="J545" s="5" t="s">
        <v>1300</v>
      </c>
      <c r="K545" s="58">
        <v>0</v>
      </c>
      <c r="L545" s="5" t="s">
        <v>1639</v>
      </c>
      <c r="M545" s="5" t="s">
        <v>1310</v>
      </c>
      <c r="N545" t="str">
        <f>_xlfn.XLOOKUP(A545,Monitoring!A:A,Monitoring!D:D)</f>
        <v>MALLS</v>
      </c>
    </row>
    <row r="546" spans="1:14" x14ac:dyDescent="0.35">
      <c r="A546" s="5">
        <v>10001395</v>
      </c>
      <c r="B546" s="5" t="s">
        <v>1295</v>
      </c>
      <c r="C546" s="5" t="s">
        <v>1318</v>
      </c>
      <c r="D546" s="61">
        <v>46111</v>
      </c>
      <c r="E546" s="61">
        <v>46111</v>
      </c>
      <c r="F546" s="5" t="s">
        <v>1297</v>
      </c>
      <c r="G546" s="5" t="s">
        <v>1640</v>
      </c>
      <c r="H546" s="5" t="s">
        <v>1638</v>
      </c>
      <c r="I546" s="60">
        <v>0</v>
      </c>
      <c r="J546" s="5" t="s">
        <v>1300</v>
      </c>
      <c r="K546" s="58">
        <v>0</v>
      </c>
      <c r="L546" s="5" t="s">
        <v>1639</v>
      </c>
      <c r="M546" s="5" t="s">
        <v>1310</v>
      </c>
      <c r="N546" t="str">
        <f>_xlfn.XLOOKUP(A546,Monitoring!A:A,Monitoring!D:D)</f>
        <v>MALLS</v>
      </c>
    </row>
    <row r="547" spans="1:14" x14ac:dyDescent="0.35">
      <c r="A547" s="5">
        <v>10001395</v>
      </c>
      <c r="B547" s="5" t="s">
        <v>1295</v>
      </c>
      <c r="C547" s="5" t="s">
        <v>1318</v>
      </c>
      <c r="D547" s="61">
        <v>46112</v>
      </c>
      <c r="E547" s="61">
        <v>46112</v>
      </c>
      <c r="F547" s="5" t="s">
        <v>1297</v>
      </c>
      <c r="G547" s="5" t="s">
        <v>1805</v>
      </c>
      <c r="H547" s="5" t="s">
        <v>1806</v>
      </c>
      <c r="I547" s="60">
        <v>0</v>
      </c>
      <c r="J547" s="5" t="s">
        <v>1300</v>
      </c>
      <c r="K547" s="58">
        <v>0</v>
      </c>
      <c r="L547" s="5" t="s">
        <v>1462</v>
      </c>
      <c r="M547" s="5" t="s">
        <v>1310</v>
      </c>
      <c r="N547" t="str">
        <f>_xlfn.XLOOKUP(A547,Monitoring!A:A,Monitoring!D:D)</f>
        <v>MALLS</v>
      </c>
    </row>
    <row r="548" spans="1:14" x14ac:dyDescent="0.35">
      <c r="A548" s="5">
        <v>10001395</v>
      </c>
      <c r="B548" s="5" t="s">
        <v>1295</v>
      </c>
      <c r="C548" s="5" t="s">
        <v>1318</v>
      </c>
      <c r="D548" s="61">
        <v>46112</v>
      </c>
      <c r="E548" s="61">
        <v>46112</v>
      </c>
      <c r="F548" s="5" t="s">
        <v>1297</v>
      </c>
      <c r="G548" s="5" t="s">
        <v>1805</v>
      </c>
      <c r="H548" s="5" t="s">
        <v>1627</v>
      </c>
      <c r="I548" s="60">
        <v>0</v>
      </c>
      <c r="J548" s="5" t="s">
        <v>1300</v>
      </c>
      <c r="K548" s="58">
        <v>0</v>
      </c>
      <c r="L548" s="5" t="s">
        <v>1462</v>
      </c>
      <c r="M548" s="5" t="s">
        <v>1310</v>
      </c>
      <c r="N548" t="str">
        <f>_xlfn.XLOOKUP(A548,Monitoring!A:A,Monitoring!D:D)</f>
        <v>MALLS</v>
      </c>
    </row>
    <row r="549" spans="1:14" x14ac:dyDescent="0.35">
      <c r="A549" s="5">
        <v>10001395</v>
      </c>
      <c r="B549" s="5" t="s">
        <v>1295</v>
      </c>
      <c r="C549" s="5" t="s">
        <v>1318</v>
      </c>
      <c r="D549" s="61">
        <v>46119</v>
      </c>
      <c r="E549" s="61">
        <v>46126</v>
      </c>
      <c r="F549" s="5" t="s">
        <v>1297</v>
      </c>
      <c r="G549" s="5" t="s">
        <v>1944</v>
      </c>
      <c r="H549" s="5" t="s">
        <v>1946</v>
      </c>
      <c r="I549" s="60">
        <v>0</v>
      </c>
      <c r="J549" s="5" t="s">
        <v>1300</v>
      </c>
      <c r="K549" s="58">
        <v>0</v>
      </c>
      <c r="L549" s="5" t="s">
        <v>1462</v>
      </c>
      <c r="M549" s="5" t="s">
        <v>1310</v>
      </c>
      <c r="N549" t="str">
        <f>_xlfn.XLOOKUP(A549,Monitoring!A:A,Monitoring!D:D)</f>
        <v>MALLS</v>
      </c>
    </row>
    <row r="550" spans="1:14" x14ac:dyDescent="0.35">
      <c r="A550" s="5">
        <v>10001395</v>
      </c>
      <c r="B550" s="5" t="s">
        <v>1295</v>
      </c>
      <c r="C550" s="5" t="s">
        <v>1318</v>
      </c>
      <c r="D550" s="61">
        <v>46119</v>
      </c>
      <c r="E550" s="61">
        <v>46114</v>
      </c>
      <c r="F550" s="5" t="s">
        <v>1297</v>
      </c>
      <c r="G550" s="5" t="s">
        <v>2007</v>
      </c>
      <c r="H550" s="5" t="s">
        <v>2008</v>
      </c>
      <c r="I550" s="60">
        <v>1</v>
      </c>
      <c r="J550" s="5" t="s">
        <v>1300</v>
      </c>
      <c r="K550" s="58">
        <v>35714.29</v>
      </c>
      <c r="L550" s="5" t="s">
        <v>1462</v>
      </c>
      <c r="M550" s="5" t="s">
        <v>1344</v>
      </c>
      <c r="N550" t="str">
        <f>_xlfn.XLOOKUP(A550,Monitoring!A:A,Monitoring!D:D)</f>
        <v>MALLS</v>
      </c>
    </row>
    <row r="551" spans="1:14" x14ac:dyDescent="0.35">
      <c r="A551" s="5">
        <v>10001395</v>
      </c>
      <c r="B551" s="5" t="s">
        <v>1295</v>
      </c>
      <c r="C551" s="5" t="s">
        <v>1318</v>
      </c>
      <c r="D551" s="61">
        <v>46148</v>
      </c>
      <c r="E551" s="61">
        <v>46153</v>
      </c>
      <c r="F551" s="5" t="s">
        <v>1297</v>
      </c>
      <c r="G551" s="5" t="s">
        <v>2378</v>
      </c>
      <c r="H551" s="5" t="s">
        <v>2379</v>
      </c>
      <c r="I551" s="60">
        <v>1</v>
      </c>
      <c r="J551" s="5" t="s">
        <v>1300</v>
      </c>
      <c r="K551" s="58">
        <v>142857.14000000001</v>
      </c>
      <c r="L551" s="5" t="s">
        <v>1373</v>
      </c>
      <c r="M551" s="5" t="s">
        <v>1344</v>
      </c>
      <c r="N551" t="str">
        <f>_xlfn.XLOOKUP(A551,Monitoring!A:A,Monitoring!D:D)</f>
        <v>MALLS</v>
      </c>
    </row>
    <row r="552" spans="1:14" x14ac:dyDescent="0.35">
      <c r="A552" s="5">
        <v>10001395</v>
      </c>
      <c r="B552" s="5" t="s">
        <v>1295</v>
      </c>
      <c r="C552" s="5" t="s">
        <v>1318</v>
      </c>
      <c r="D552" s="61">
        <v>46176</v>
      </c>
      <c r="E552" s="61">
        <v>46175</v>
      </c>
      <c r="F552" s="5" t="s">
        <v>1297</v>
      </c>
      <c r="G552" s="5" t="s">
        <v>2380</v>
      </c>
      <c r="H552" s="5" t="s">
        <v>2381</v>
      </c>
      <c r="I552" s="60">
        <v>0</v>
      </c>
      <c r="J552" s="5" t="s">
        <v>1300</v>
      </c>
      <c r="K552" s="58">
        <v>0</v>
      </c>
      <c r="L552" s="5" t="s">
        <v>1462</v>
      </c>
      <c r="M552" s="5" t="s">
        <v>1555</v>
      </c>
      <c r="N552" t="str">
        <f>_xlfn.XLOOKUP(A552,Monitoring!A:A,Monitoring!D:D)</f>
        <v>MALLS</v>
      </c>
    </row>
    <row r="553" spans="1:14" x14ac:dyDescent="0.35">
      <c r="A553" s="5">
        <v>10001395</v>
      </c>
      <c r="B553" s="5" t="s">
        <v>1295</v>
      </c>
      <c r="C553" s="5" t="s">
        <v>1318</v>
      </c>
      <c r="D553" s="61">
        <v>46183</v>
      </c>
      <c r="E553" s="61">
        <v>46192</v>
      </c>
      <c r="F553" s="5" t="s">
        <v>1297</v>
      </c>
      <c r="G553" s="5" t="s">
        <v>2758</v>
      </c>
      <c r="H553" s="5" t="s">
        <v>2759</v>
      </c>
      <c r="I553" s="60">
        <v>1</v>
      </c>
      <c r="J553" s="5" t="s">
        <v>1300</v>
      </c>
      <c r="K553" s="58">
        <v>250000</v>
      </c>
      <c r="L553" s="5" t="s">
        <v>1313</v>
      </c>
      <c r="M553" s="5" t="s">
        <v>1344</v>
      </c>
      <c r="N553" t="str">
        <f>_xlfn.XLOOKUP(A553,Monitoring!A:A,Monitoring!D:D)</f>
        <v>MALLS</v>
      </c>
    </row>
    <row r="554" spans="1:14" x14ac:dyDescent="0.35">
      <c r="A554" s="5">
        <v>10001395</v>
      </c>
      <c r="B554" s="5" t="s">
        <v>1295</v>
      </c>
      <c r="C554" s="5" t="s">
        <v>1318</v>
      </c>
      <c r="D554" s="61">
        <v>46184</v>
      </c>
      <c r="E554" s="61">
        <v>46192</v>
      </c>
      <c r="F554" s="5" t="s">
        <v>1297</v>
      </c>
      <c r="G554" s="5" t="s">
        <v>2760</v>
      </c>
      <c r="H554" s="5" t="s">
        <v>2761</v>
      </c>
      <c r="I554" s="60">
        <v>1</v>
      </c>
      <c r="J554" s="5" t="s">
        <v>1300</v>
      </c>
      <c r="K554" s="58">
        <v>31250</v>
      </c>
      <c r="L554" s="5" t="s">
        <v>1305</v>
      </c>
      <c r="M554" s="5" t="s">
        <v>1344</v>
      </c>
      <c r="N554" t="str">
        <f>_xlfn.XLOOKUP(A554,Monitoring!A:A,Monitoring!D:D)</f>
        <v>MALLS</v>
      </c>
    </row>
    <row r="555" spans="1:14" x14ac:dyDescent="0.35">
      <c r="A555" s="5">
        <v>10001395</v>
      </c>
      <c r="B555" s="5" t="s">
        <v>1295</v>
      </c>
      <c r="C555" s="5" t="s">
        <v>1318</v>
      </c>
      <c r="D555" s="61">
        <v>46198</v>
      </c>
      <c r="E555" s="61">
        <v>46192</v>
      </c>
      <c r="F555" s="5" t="s">
        <v>1297</v>
      </c>
      <c r="G555" s="5" t="s">
        <v>2762</v>
      </c>
      <c r="H555" s="5" t="s">
        <v>2763</v>
      </c>
      <c r="I555" s="60">
        <v>1</v>
      </c>
      <c r="J555" s="5" t="s">
        <v>1300</v>
      </c>
      <c r="K555" s="58">
        <v>41071.43</v>
      </c>
      <c r="L555" s="5" t="s">
        <v>2764</v>
      </c>
      <c r="M555" s="5" t="s">
        <v>1344</v>
      </c>
      <c r="N555" t="str">
        <f>_xlfn.XLOOKUP(A555,Monitoring!A:A,Monitoring!D:D)</f>
        <v>MALLS</v>
      </c>
    </row>
    <row r="556" spans="1:14" x14ac:dyDescent="0.35">
      <c r="A556" s="5">
        <v>10001395</v>
      </c>
      <c r="B556" s="5" t="s">
        <v>1295</v>
      </c>
      <c r="C556" s="5" t="s">
        <v>1318</v>
      </c>
      <c r="D556" s="61">
        <v>46202</v>
      </c>
      <c r="E556" s="61">
        <v>46192</v>
      </c>
      <c r="F556" s="5" t="s">
        <v>1297</v>
      </c>
      <c r="G556" s="5" t="s">
        <v>2765</v>
      </c>
      <c r="H556" s="5" t="s">
        <v>2766</v>
      </c>
      <c r="I556" s="60">
        <v>1</v>
      </c>
      <c r="J556" s="5" t="s">
        <v>1300</v>
      </c>
      <c r="K556" s="58">
        <v>169642.86</v>
      </c>
      <c r="L556" s="5" t="s">
        <v>1305</v>
      </c>
      <c r="M556" s="5" t="s">
        <v>1344</v>
      </c>
      <c r="N556" t="str">
        <f>_xlfn.XLOOKUP(A556,Monitoring!A:A,Monitoring!D:D)</f>
        <v>MALLS</v>
      </c>
    </row>
    <row r="557" spans="1:14" x14ac:dyDescent="0.35">
      <c r="A557" s="5">
        <v>10001395</v>
      </c>
      <c r="B557" s="5" t="s">
        <v>1295</v>
      </c>
      <c r="C557" s="5" t="s">
        <v>1318</v>
      </c>
      <c r="D557" s="61">
        <v>46211</v>
      </c>
      <c r="E557" s="61">
        <v>46216</v>
      </c>
      <c r="F557" s="5" t="s">
        <v>1297</v>
      </c>
      <c r="G557" s="5" t="s">
        <v>2767</v>
      </c>
      <c r="H557" s="5" t="s">
        <v>2768</v>
      </c>
      <c r="I557" s="60">
        <v>1</v>
      </c>
      <c r="J557" s="5" t="s">
        <v>1300</v>
      </c>
      <c r="K557" s="58">
        <v>22321.43</v>
      </c>
      <c r="L557" s="5" t="s">
        <v>1531</v>
      </c>
      <c r="M557" s="5" t="s">
        <v>1334</v>
      </c>
      <c r="N557" t="str">
        <f>_xlfn.XLOOKUP(A557,Monitoring!A:A,Monitoring!D:D)</f>
        <v>MALLS</v>
      </c>
    </row>
    <row r="558" spans="1:14" x14ac:dyDescent="0.35">
      <c r="A558" s="5">
        <v>10001395</v>
      </c>
      <c r="B558" s="5" t="s">
        <v>1295</v>
      </c>
      <c r="C558" s="5" t="s">
        <v>1318</v>
      </c>
      <c r="D558" s="61">
        <v>46223</v>
      </c>
      <c r="E558" s="61">
        <v>46216</v>
      </c>
      <c r="F558" s="5" t="s">
        <v>1297</v>
      </c>
      <c r="G558" s="5" t="s">
        <v>2906</v>
      </c>
      <c r="H558" s="5" t="s">
        <v>2908</v>
      </c>
      <c r="I558" s="60">
        <v>0</v>
      </c>
      <c r="J558" s="5" t="s">
        <v>1300</v>
      </c>
      <c r="K558" s="58">
        <v>0</v>
      </c>
      <c r="L558" s="5" t="s">
        <v>1462</v>
      </c>
      <c r="M558" s="5" t="s">
        <v>1555</v>
      </c>
      <c r="N558" t="str">
        <f>_xlfn.XLOOKUP(A558,Monitoring!A:A,Monitoring!D:D)</f>
        <v>MALLS</v>
      </c>
    </row>
    <row r="559" spans="1:14" x14ac:dyDescent="0.35">
      <c r="A559" s="5">
        <v>10001395</v>
      </c>
      <c r="B559" s="5" t="s">
        <v>1295</v>
      </c>
      <c r="C559" s="5" t="s">
        <v>1318</v>
      </c>
      <c r="D559" s="61">
        <v>46232</v>
      </c>
      <c r="E559" s="61">
        <v>46233</v>
      </c>
      <c r="F559" s="5" t="s">
        <v>1297</v>
      </c>
      <c r="G559" s="5" t="s">
        <v>3015</v>
      </c>
      <c r="H559" s="5" t="s">
        <v>3016</v>
      </c>
      <c r="I559" s="60">
        <v>0</v>
      </c>
      <c r="J559" s="5" t="s">
        <v>1300</v>
      </c>
      <c r="K559" s="58">
        <v>0</v>
      </c>
      <c r="L559" s="5" t="s">
        <v>1479</v>
      </c>
      <c r="M559" s="5" t="s">
        <v>1377</v>
      </c>
      <c r="N559" t="str">
        <f>_xlfn.XLOOKUP(A559,Monitoring!A:A,Monitoring!D:D)</f>
        <v>MALLS</v>
      </c>
    </row>
    <row r="560" spans="1:14" x14ac:dyDescent="0.35">
      <c r="A560" s="5">
        <v>10001395</v>
      </c>
      <c r="B560" s="5" t="s">
        <v>1295</v>
      </c>
      <c r="C560" s="5" t="s">
        <v>1318</v>
      </c>
      <c r="D560" s="61">
        <v>46234</v>
      </c>
      <c r="E560" s="61">
        <v>46216</v>
      </c>
      <c r="F560" s="5" t="s">
        <v>1297</v>
      </c>
      <c r="G560" s="5" t="s">
        <v>3017</v>
      </c>
      <c r="H560" s="5" t="s">
        <v>3018</v>
      </c>
      <c r="I560" s="60">
        <v>1</v>
      </c>
      <c r="J560" s="5" t="s">
        <v>1300</v>
      </c>
      <c r="K560" s="58">
        <v>58035.71</v>
      </c>
      <c r="L560" s="5" t="s">
        <v>1531</v>
      </c>
      <c r="M560" s="5" t="s">
        <v>1344</v>
      </c>
      <c r="N560" t="str">
        <f>_xlfn.XLOOKUP(A560,Monitoring!A:A,Monitoring!D:D)</f>
        <v>MALLS</v>
      </c>
    </row>
    <row r="561" spans="1:14" x14ac:dyDescent="0.35">
      <c r="A561" s="5">
        <v>10001395</v>
      </c>
      <c r="B561" s="5" t="s">
        <v>1295</v>
      </c>
      <c r="C561" s="5" t="s">
        <v>1318</v>
      </c>
      <c r="D561" s="61">
        <v>46239</v>
      </c>
      <c r="E561" s="61">
        <v>46226</v>
      </c>
      <c r="F561" s="5" t="s">
        <v>1297</v>
      </c>
      <c r="G561" s="5" t="s">
        <v>3019</v>
      </c>
      <c r="H561" s="5" t="s">
        <v>3020</v>
      </c>
      <c r="I561" s="60">
        <v>1</v>
      </c>
      <c r="J561" s="5" t="s">
        <v>1300</v>
      </c>
      <c r="K561" s="58">
        <v>107142.86</v>
      </c>
      <c r="L561" s="5" t="s">
        <v>1479</v>
      </c>
      <c r="M561" s="5" t="s">
        <v>1344</v>
      </c>
      <c r="N561" t="str">
        <f>_xlfn.XLOOKUP(A561,Monitoring!A:A,Monitoring!D:D)</f>
        <v>MALLS</v>
      </c>
    </row>
    <row r="562" spans="1:14" x14ac:dyDescent="0.35">
      <c r="A562" s="5">
        <v>10001395</v>
      </c>
      <c r="B562" s="5" t="s">
        <v>1295</v>
      </c>
      <c r="C562" s="5" t="s">
        <v>1318</v>
      </c>
      <c r="D562" s="61">
        <v>46240</v>
      </c>
      <c r="E562" s="61">
        <v>46240</v>
      </c>
      <c r="F562" s="5" t="s">
        <v>1297</v>
      </c>
      <c r="G562" s="5" t="s">
        <v>3021</v>
      </c>
      <c r="H562" s="5" t="s">
        <v>3022</v>
      </c>
      <c r="I562" s="60">
        <v>0</v>
      </c>
      <c r="J562" s="5" t="s">
        <v>1300</v>
      </c>
      <c r="K562" s="58">
        <v>0</v>
      </c>
      <c r="L562" s="5" t="s">
        <v>1462</v>
      </c>
      <c r="M562" s="5" t="s">
        <v>1555</v>
      </c>
      <c r="N562" t="str">
        <f>_xlfn.XLOOKUP(A562,Monitoring!A:A,Monitoring!D:D)</f>
        <v>MALLS</v>
      </c>
    </row>
    <row r="563" spans="1:14" x14ac:dyDescent="0.35">
      <c r="A563" s="5">
        <v>10001396</v>
      </c>
      <c r="B563" s="5" t="s">
        <v>1295</v>
      </c>
      <c r="C563" s="5" t="s">
        <v>1318</v>
      </c>
      <c r="D563" s="61">
        <v>46119</v>
      </c>
      <c r="E563" s="61">
        <v>46142</v>
      </c>
      <c r="F563" s="5" t="s">
        <v>1364</v>
      </c>
      <c r="G563" s="5" t="s">
        <v>2009</v>
      </c>
      <c r="H563" s="5" t="s">
        <v>2010</v>
      </c>
      <c r="I563" s="60">
        <v>0</v>
      </c>
      <c r="J563" s="5" t="s">
        <v>1300</v>
      </c>
      <c r="K563" s="58">
        <v>0</v>
      </c>
      <c r="L563" s="5" t="s">
        <v>993</v>
      </c>
      <c r="M563" s="5" t="s">
        <v>1374</v>
      </c>
      <c r="N563" t="str">
        <f>_xlfn.XLOOKUP(A563,Monitoring!A:A,Monitoring!D:D)</f>
        <v>OFFICES</v>
      </c>
    </row>
    <row r="564" spans="1:14" x14ac:dyDescent="0.35">
      <c r="A564" s="5">
        <v>10001396</v>
      </c>
      <c r="B564" s="5" t="s">
        <v>1295</v>
      </c>
      <c r="C564" s="5" t="s">
        <v>1318</v>
      </c>
      <c r="D564" s="61">
        <v>46182</v>
      </c>
      <c r="E564" s="61">
        <v>46203</v>
      </c>
      <c r="F564" s="5" t="s">
        <v>1364</v>
      </c>
      <c r="G564" s="5" t="s">
        <v>2501</v>
      </c>
      <c r="H564" s="5" t="s">
        <v>2502</v>
      </c>
      <c r="I564" s="60">
        <v>1</v>
      </c>
      <c r="J564" s="5" t="s">
        <v>1300</v>
      </c>
      <c r="K564" s="58">
        <v>401785.71</v>
      </c>
      <c r="L564" s="5" t="s">
        <v>993</v>
      </c>
      <c r="M564" s="5" t="s">
        <v>1374</v>
      </c>
      <c r="N564" t="str">
        <f>_xlfn.XLOOKUP(A564,Monitoring!A:A,Monitoring!D:D)</f>
        <v>OFFICES</v>
      </c>
    </row>
    <row r="565" spans="1:14" x14ac:dyDescent="0.35">
      <c r="A565" s="5">
        <v>10001397</v>
      </c>
      <c r="B565" s="5" t="s">
        <v>1295</v>
      </c>
      <c r="C565" s="5" t="s">
        <v>1318</v>
      </c>
      <c r="D565" s="61">
        <v>46097</v>
      </c>
      <c r="E565" s="61">
        <v>46111</v>
      </c>
      <c r="F565" s="5" t="s">
        <v>1364</v>
      </c>
      <c r="G565" s="5" t="s">
        <v>1641</v>
      </c>
      <c r="H565" s="5" t="s">
        <v>1642</v>
      </c>
      <c r="I565" s="60">
        <v>0</v>
      </c>
      <c r="J565" s="5" t="s">
        <v>1300</v>
      </c>
      <c r="K565" s="58">
        <v>0</v>
      </c>
      <c r="L565" s="5" t="s">
        <v>993</v>
      </c>
      <c r="M565" s="5" t="s">
        <v>1344</v>
      </c>
      <c r="N565" t="str">
        <f>_xlfn.XLOOKUP(A565,Monitoring!A:A,Monitoring!D:D)</f>
        <v>OFFICES</v>
      </c>
    </row>
    <row r="566" spans="1:14" x14ac:dyDescent="0.35">
      <c r="A566" s="5">
        <v>10001397</v>
      </c>
      <c r="B566" s="5" t="s">
        <v>1295</v>
      </c>
      <c r="C566" s="5" t="s">
        <v>1318</v>
      </c>
      <c r="D566" s="61">
        <v>46087</v>
      </c>
      <c r="E566" s="61">
        <v>46096</v>
      </c>
      <c r="F566" s="5" t="s">
        <v>1364</v>
      </c>
      <c r="G566" s="5" t="s">
        <v>1643</v>
      </c>
      <c r="H566" s="5" t="s">
        <v>1642</v>
      </c>
      <c r="I566" s="60">
        <v>0</v>
      </c>
      <c r="J566" s="5" t="s">
        <v>1300</v>
      </c>
      <c r="K566" s="58">
        <v>0</v>
      </c>
      <c r="L566" s="5" t="s">
        <v>993</v>
      </c>
      <c r="M566" s="5" t="s">
        <v>1374</v>
      </c>
      <c r="N566" t="str">
        <f>_xlfn.XLOOKUP(A566,Monitoring!A:A,Monitoring!D:D)</f>
        <v>OFFICES</v>
      </c>
    </row>
    <row r="567" spans="1:14" x14ac:dyDescent="0.35">
      <c r="A567" s="5">
        <v>10001397</v>
      </c>
      <c r="B567" s="5" t="s">
        <v>1295</v>
      </c>
      <c r="C567" s="5" t="s">
        <v>1318</v>
      </c>
      <c r="D567" s="61">
        <v>46142</v>
      </c>
      <c r="E567" s="61">
        <v>46111</v>
      </c>
      <c r="F567" s="5" t="s">
        <v>1297</v>
      </c>
      <c r="G567" s="5" t="s">
        <v>2109</v>
      </c>
      <c r="H567" s="5" t="s">
        <v>2110</v>
      </c>
      <c r="I567" s="60">
        <v>0</v>
      </c>
      <c r="J567" s="5" t="s">
        <v>1300</v>
      </c>
      <c r="K567" s="58">
        <v>0</v>
      </c>
      <c r="L567" s="5" t="s">
        <v>1501</v>
      </c>
      <c r="M567" s="5" t="s">
        <v>1334</v>
      </c>
      <c r="N567" t="str">
        <f>_xlfn.XLOOKUP(A567,Monitoring!A:A,Monitoring!D:D)</f>
        <v>OFFICES</v>
      </c>
    </row>
    <row r="568" spans="1:14" x14ac:dyDescent="0.35">
      <c r="A568" s="5">
        <v>10001397</v>
      </c>
      <c r="B568" s="5" t="s">
        <v>1295</v>
      </c>
      <c r="C568" s="5" t="s">
        <v>1318</v>
      </c>
      <c r="D568" s="61">
        <v>46156</v>
      </c>
      <c r="E568" s="61">
        <v>46111</v>
      </c>
      <c r="F568" s="5" t="s">
        <v>1297</v>
      </c>
      <c r="G568" s="5" t="s">
        <v>2382</v>
      </c>
      <c r="H568" s="5" t="s">
        <v>2110</v>
      </c>
      <c r="I568" s="60">
        <v>0</v>
      </c>
      <c r="J568" s="5" t="s">
        <v>1300</v>
      </c>
      <c r="K568" s="58">
        <v>0</v>
      </c>
      <c r="L568" s="5" t="s">
        <v>1501</v>
      </c>
      <c r="M568" s="5" t="s">
        <v>1306</v>
      </c>
      <c r="N568" t="str">
        <f>_xlfn.XLOOKUP(A568,Monitoring!A:A,Monitoring!D:D)</f>
        <v>OFFICES</v>
      </c>
    </row>
    <row r="569" spans="1:14" x14ac:dyDescent="0.35">
      <c r="A569" s="5">
        <v>10001398</v>
      </c>
      <c r="B569" s="5" t="s">
        <v>1295</v>
      </c>
      <c r="C569" s="5" t="s">
        <v>1318</v>
      </c>
      <c r="D569" s="61">
        <v>46087</v>
      </c>
      <c r="E569" s="61">
        <v>46096</v>
      </c>
      <c r="F569" s="5" t="s">
        <v>1364</v>
      </c>
      <c r="G569" s="5" t="s">
        <v>1644</v>
      </c>
      <c r="H569" s="5" t="s">
        <v>1645</v>
      </c>
      <c r="I569" s="60">
        <v>0</v>
      </c>
      <c r="J569" s="5" t="s">
        <v>1300</v>
      </c>
      <c r="K569" s="58">
        <v>0</v>
      </c>
      <c r="L569" s="5" t="s">
        <v>993</v>
      </c>
      <c r="M569" s="5" t="s">
        <v>1344</v>
      </c>
      <c r="N569" t="str">
        <f>_xlfn.XLOOKUP(A569,Monitoring!A:A,Monitoring!D:D)</f>
        <v>OFFICES</v>
      </c>
    </row>
    <row r="570" spans="1:14" x14ac:dyDescent="0.35">
      <c r="A570" s="5">
        <v>10001398</v>
      </c>
      <c r="B570" s="5" t="s">
        <v>1295</v>
      </c>
      <c r="C570" s="5" t="s">
        <v>1318</v>
      </c>
      <c r="D570" s="61">
        <v>46104</v>
      </c>
      <c r="E570" s="61">
        <v>46096</v>
      </c>
      <c r="F570" s="5" t="s">
        <v>1297</v>
      </c>
      <c r="G570" s="5" t="s">
        <v>1646</v>
      </c>
      <c r="H570" s="5" t="s">
        <v>1647</v>
      </c>
      <c r="I570" s="60">
        <v>0</v>
      </c>
      <c r="J570" s="5" t="s">
        <v>1300</v>
      </c>
      <c r="K570" s="58">
        <v>0</v>
      </c>
      <c r="L570" s="5" t="s">
        <v>1648</v>
      </c>
      <c r="M570" s="5" t="s">
        <v>1306</v>
      </c>
      <c r="N570" t="str">
        <f>_xlfn.XLOOKUP(A570,Monitoring!A:A,Monitoring!D:D)</f>
        <v>OFFICES</v>
      </c>
    </row>
    <row r="571" spans="1:14" x14ac:dyDescent="0.35">
      <c r="A571" s="5">
        <v>10001399</v>
      </c>
      <c r="B571" s="5" t="s">
        <v>1295</v>
      </c>
      <c r="C571" s="5" t="s">
        <v>1318</v>
      </c>
      <c r="D571" s="61">
        <v>46105</v>
      </c>
      <c r="E571" s="61">
        <v>46127</v>
      </c>
      <c r="F571" s="5" t="s">
        <v>1364</v>
      </c>
      <c r="G571" s="5" t="s">
        <v>1649</v>
      </c>
      <c r="H571" s="5" t="s">
        <v>1650</v>
      </c>
      <c r="I571" s="60">
        <v>0</v>
      </c>
      <c r="J571" s="5" t="s">
        <v>1300</v>
      </c>
      <c r="K571" s="58">
        <v>0</v>
      </c>
      <c r="L571" s="5" t="s">
        <v>993</v>
      </c>
      <c r="M571" s="5" t="s">
        <v>1330</v>
      </c>
      <c r="N571" t="str">
        <f>_xlfn.XLOOKUP(A571,Monitoring!A:A,Monitoring!D:D)</f>
        <v>OFFICES</v>
      </c>
    </row>
    <row r="572" spans="1:14" x14ac:dyDescent="0.35">
      <c r="A572" s="5">
        <v>10001399</v>
      </c>
      <c r="B572" s="5" t="s">
        <v>1295</v>
      </c>
      <c r="C572" s="5" t="s">
        <v>1318</v>
      </c>
      <c r="D572" s="61">
        <v>46182</v>
      </c>
      <c r="E572" s="61">
        <v>46218</v>
      </c>
      <c r="F572" s="5" t="s">
        <v>1297</v>
      </c>
      <c r="G572" s="5" t="s">
        <v>2503</v>
      </c>
      <c r="H572" s="5" t="s">
        <v>2504</v>
      </c>
      <c r="I572" s="60">
        <v>1</v>
      </c>
      <c r="J572" s="5" t="s">
        <v>1300</v>
      </c>
      <c r="K572" s="58">
        <v>2455357.14</v>
      </c>
      <c r="L572" s="5" t="s">
        <v>1321</v>
      </c>
      <c r="M572" s="5" t="s">
        <v>1306</v>
      </c>
      <c r="N572" t="str">
        <f>_xlfn.XLOOKUP(A572,Monitoring!A:A,Monitoring!D:D)</f>
        <v>OFFICES</v>
      </c>
    </row>
    <row r="573" spans="1:14" x14ac:dyDescent="0.35">
      <c r="A573" s="5">
        <v>10001400</v>
      </c>
      <c r="B573" s="5" t="s">
        <v>1295</v>
      </c>
      <c r="C573" s="5" t="s">
        <v>1318</v>
      </c>
      <c r="D573" s="61">
        <v>46087</v>
      </c>
      <c r="E573" s="61">
        <v>46096</v>
      </c>
      <c r="F573" s="5" t="s">
        <v>1364</v>
      </c>
      <c r="G573" s="5" t="s">
        <v>1641</v>
      </c>
      <c r="H573" s="5" t="s">
        <v>2011</v>
      </c>
      <c r="I573" s="60">
        <v>0</v>
      </c>
      <c r="J573" s="5" t="s">
        <v>1300</v>
      </c>
      <c r="K573" s="58">
        <v>0</v>
      </c>
      <c r="L573" s="5" t="s">
        <v>993</v>
      </c>
      <c r="M573" s="5" t="s">
        <v>1344</v>
      </c>
      <c r="N573" t="str">
        <f>_xlfn.XLOOKUP(A573,Monitoring!A:A,Monitoring!D:D)</f>
        <v>OFFICES</v>
      </c>
    </row>
    <row r="574" spans="1:14" x14ac:dyDescent="0.35">
      <c r="A574" s="5">
        <v>10001400</v>
      </c>
      <c r="B574" s="5" t="s">
        <v>1295</v>
      </c>
      <c r="C574" s="5" t="s">
        <v>1318</v>
      </c>
      <c r="D574" s="61">
        <v>46135</v>
      </c>
      <c r="E574" s="61">
        <v>46096</v>
      </c>
      <c r="F574" s="5" t="s">
        <v>1297</v>
      </c>
      <c r="G574" s="5" t="s">
        <v>2012</v>
      </c>
      <c r="H574" s="5" t="s">
        <v>2013</v>
      </c>
      <c r="I574" s="60">
        <v>0</v>
      </c>
      <c r="J574" s="5" t="s">
        <v>1300</v>
      </c>
      <c r="K574" s="58">
        <v>0</v>
      </c>
      <c r="L574" s="5" t="s">
        <v>1362</v>
      </c>
      <c r="M574" s="5" t="s">
        <v>1339</v>
      </c>
      <c r="N574" t="str">
        <f>_xlfn.XLOOKUP(A574,Monitoring!A:A,Monitoring!D:D)</f>
        <v>OFFICES</v>
      </c>
    </row>
    <row r="575" spans="1:14" x14ac:dyDescent="0.35">
      <c r="A575" s="5">
        <v>10001401</v>
      </c>
      <c r="B575" s="5" t="s">
        <v>1295</v>
      </c>
      <c r="C575" s="5" t="s">
        <v>1318</v>
      </c>
      <c r="D575" s="61">
        <v>46098</v>
      </c>
      <c r="E575" s="61">
        <v>46127</v>
      </c>
      <c r="F575" s="5" t="s">
        <v>1364</v>
      </c>
      <c r="G575" s="5" t="s">
        <v>1651</v>
      </c>
      <c r="H575" s="5" t="s">
        <v>1652</v>
      </c>
      <c r="I575" s="60">
        <v>0</v>
      </c>
      <c r="J575" s="5" t="s">
        <v>1300</v>
      </c>
      <c r="K575" s="58">
        <v>0</v>
      </c>
      <c r="L575" s="5" t="s">
        <v>993</v>
      </c>
      <c r="M575" s="5" t="s">
        <v>1344</v>
      </c>
      <c r="N575" t="str">
        <f>_xlfn.XLOOKUP(A575,Monitoring!A:A,Monitoring!D:D)</f>
        <v>OFFICES</v>
      </c>
    </row>
    <row r="576" spans="1:14" x14ac:dyDescent="0.35">
      <c r="A576" s="5">
        <v>10001401</v>
      </c>
      <c r="B576" s="5" t="s">
        <v>1295</v>
      </c>
      <c r="C576" s="5" t="s">
        <v>1318</v>
      </c>
      <c r="D576" s="61">
        <v>46218</v>
      </c>
      <c r="E576" s="61">
        <v>46233</v>
      </c>
      <c r="F576" s="5" t="s">
        <v>1364</v>
      </c>
      <c r="G576" s="5" t="s">
        <v>3023</v>
      </c>
      <c r="H576" s="5" t="s">
        <v>3024</v>
      </c>
      <c r="I576" s="60">
        <v>0</v>
      </c>
      <c r="J576" s="5" t="s">
        <v>1300</v>
      </c>
      <c r="K576" s="58">
        <v>0</v>
      </c>
      <c r="L576" s="5" t="s">
        <v>993</v>
      </c>
      <c r="M576" s="5" t="s">
        <v>1344</v>
      </c>
      <c r="N576" t="str">
        <f>_xlfn.XLOOKUP(A576,Monitoring!A:A,Monitoring!D:D)</f>
        <v>OFFICES</v>
      </c>
    </row>
    <row r="577" spans="1:14" x14ac:dyDescent="0.35">
      <c r="A577" s="5">
        <v>10001401</v>
      </c>
      <c r="B577" s="5" t="s">
        <v>1295</v>
      </c>
      <c r="C577" s="5" t="s">
        <v>1318</v>
      </c>
      <c r="D577" s="61">
        <v>46128</v>
      </c>
      <c r="E577" s="61">
        <v>46127</v>
      </c>
      <c r="F577" s="5" t="s">
        <v>1297</v>
      </c>
      <c r="G577" s="5" t="s">
        <v>2014</v>
      </c>
      <c r="H577" s="5" t="s">
        <v>2015</v>
      </c>
      <c r="I577" s="60">
        <v>0</v>
      </c>
      <c r="J577" s="5" t="s">
        <v>1300</v>
      </c>
      <c r="K577" s="58">
        <v>0</v>
      </c>
      <c r="L577" s="5" t="s">
        <v>1506</v>
      </c>
      <c r="M577" s="5" t="s">
        <v>1306</v>
      </c>
      <c r="N577" t="str">
        <f>_xlfn.XLOOKUP(A577,Monitoring!A:A,Monitoring!D:D)</f>
        <v>OFFICES</v>
      </c>
    </row>
    <row r="578" spans="1:14" x14ac:dyDescent="0.35">
      <c r="A578" s="5">
        <v>10001401</v>
      </c>
      <c r="B578" s="5" t="s">
        <v>1295</v>
      </c>
      <c r="C578" s="5" t="s">
        <v>1318</v>
      </c>
      <c r="D578" s="61">
        <v>46238</v>
      </c>
      <c r="E578" s="61">
        <v>46233</v>
      </c>
      <c r="F578" s="5" t="s">
        <v>1297</v>
      </c>
      <c r="G578" s="5" t="s">
        <v>3025</v>
      </c>
      <c r="H578" s="5" t="s">
        <v>3026</v>
      </c>
      <c r="I578" s="60">
        <v>1</v>
      </c>
      <c r="J578" s="5" t="s">
        <v>1300</v>
      </c>
      <c r="K578" s="58">
        <v>593750</v>
      </c>
      <c r="L578" s="5" t="s">
        <v>1506</v>
      </c>
      <c r="M578" s="5" t="s">
        <v>1344</v>
      </c>
      <c r="N578" t="str">
        <f>_xlfn.XLOOKUP(A578,Monitoring!A:A,Monitoring!D:D)</f>
        <v>OFFICES</v>
      </c>
    </row>
    <row r="579" spans="1:14" x14ac:dyDescent="0.35">
      <c r="A579" s="5">
        <v>10001404</v>
      </c>
      <c r="B579" s="5" t="s">
        <v>1295</v>
      </c>
      <c r="C579" s="5" t="s">
        <v>1318</v>
      </c>
      <c r="D579" s="61">
        <v>46098</v>
      </c>
      <c r="E579" s="61">
        <v>46127</v>
      </c>
      <c r="F579" s="5" t="s">
        <v>1364</v>
      </c>
      <c r="G579" s="5" t="s">
        <v>1511</v>
      </c>
      <c r="H579" s="5" t="s">
        <v>1653</v>
      </c>
      <c r="I579" s="60">
        <v>0</v>
      </c>
      <c r="J579" s="5" t="s">
        <v>1300</v>
      </c>
      <c r="K579" s="58">
        <v>0</v>
      </c>
      <c r="L579" s="5" t="s">
        <v>993</v>
      </c>
      <c r="M579" s="5" t="s">
        <v>1330</v>
      </c>
      <c r="N579" t="str">
        <f>_xlfn.XLOOKUP(A579,Monitoring!A:A,Monitoring!D:D)</f>
        <v>OFFICES</v>
      </c>
    </row>
    <row r="580" spans="1:14" x14ac:dyDescent="0.35">
      <c r="A580" s="5">
        <v>10001404</v>
      </c>
      <c r="B580" s="5" t="s">
        <v>1295</v>
      </c>
      <c r="C580" s="5" t="s">
        <v>1318</v>
      </c>
      <c r="D580" s="61">
        <v>46106</v>
      </c>
      <c r="E580" s="61">
        <v>46203</v>
      </c>
      <c r="F580" s="5" t="s">
        <v>1297</v>
      </c>
      <c r="G580" s="5" t="s">
        <v>1513</v>
      </c>
      <c r="H580" s="5" t="s">
        <v>1653</v>
      </c>
      <c r="I580" s="59">
        <v>0.1</v>
      </c>
      <c r="J580" s="5" t="s">
        <v>1300</v>
      </c>
      <c r="K580" s="58">
        <v>404319.2</v>
      </c>
      <c r="L580" s="5" t="s">
        <v>1506</v>
      </c>
      <c r="M580" s="5" t="s">
        <v>1306</v>
      </c>
      <c r="N580" t="str">
        <f>_xlfn.XLOOKUP(A580,Monitoring!A:A,Monitoring!D:D)</f>
        <v>OFFICES</v>
      </c>
    </row>
    <row r="581" spans="1:14" x14ac:dyDescent="0.35">
      <c r="A581" s="5">
        <v>10001406</v>
      </c>
      <c r="B581" s="5" t="s">
        <v>1295</v>
      </c>
      <c r="C581" s="5" t="s">
        <v>1318</v>
      </c>
      <c r="D581" s="61">
        <v>46148</v>
      </c>
      <c r="E581" s="61">
        <v>46172</v>
      </c>
      <c r="F581" s="5" t="s">
        <v>1364</v>
      </c>
      <c r="G581" s="5" t="s">
        <v>2383</v>
      </c>
      <c r="H581" s="5" t="s">
        <v>2384</v>
      </c>
      <c r="I581" s="60">
        <v>0</v>
      </c>
      <c r="J581" s="5" t="s">
        <v>1300</v>
      </c>
      <c r="K581" s="58">
        <v>0</v>
      </c>
      <c r="L581" s="5" t="s">
        <v>993</v>
      </c>
      <c r="M581" s="5" t="s">
        <v>1330</v>
      </c>
      <c r="N581" t="str">
        <f>_xlfn.XLOOKUP(A581,Monitoring!A:A,Monitoring!D:D)</f>
        <v>OFFICES</v>
      </c>
    </row>
    <row r="582" spans="1:14" x14ac:dyDescent="0.35">
      <c r="A582" s="5">
        <v>10001406</v>
      </c>
      <c r="B582" s="5" t="s">
        <v>1295</v>
      </c>
      <c r="C582" s="5" t="s">
        <v>1318</v>
      </c>
      <c r="D582" s="61">
        <v>46196</v>
      </c>
      <c r="E582" s="61">
        <v>46265</v>
      </c>
      <c r="F582" s="5" t="s">
        <v>1297</v>
      </c>
      <c r="G582" s="5" t="s">
        <v>2769</v>
      </c>
      <c r="H582" s="5" t="s">
        <v>2504</v>
      </c>
      <c r="I582" s="60">
        <v>1</v>
      </c>
      <c r="J582" s="5" t="s">
        <v>1300</v>
      </c>
      <c r="K582" s="58">
        <v>1294642.8600000001</v>
      </c>
      <c r="L582" s="5" t="s">
        <v>2770</v>
      </c>
      <c r="M582" s="5" t="s">
        <v>1330</v>
      </c>
      <c r="N582" t="str">
        <f>_xlfn.XLOOKUP(A582,Monitoring!A:A,Monitoring!D:D)</f>
        <v>OFFICES</v>
      </c>
    </row>
    <row r="583" spans="1:14" x14ac:dyDescent="0.35">
      <c r="A583" s="5">
        <v>10001407</v>
      </c>
      <c r="B583" s="5" t="s">
        <v>1295</v>
      </c>
      <c r="C583" s="5" t="s">
        <v>1318</v>
      </c>
      <c r="D583" s="61">
        <v>46069</v>
      </c>
      <c r="E583" s="61">
        <v>46081</v>
      </c>
      <c r="F583" s="5" t="s">
        <v>1364</v>
      </c>
      <c r="G583" s="5" t="s">
        <v>1654</v>
      </c>
      <c r="H583" s="5" t="s">
        <v>1655</v>
      </c>
      <c r="I583" s="60">
        <v>0</v>
      </c>
      <c r="J583" s="5" t="s">
        <v>1300</v>
      </c>
      <c r="K583" s="58">
        <v>0</v>
      </c>
      <c r="L583" s="5" t="s">
        <v>993</v>
      </c>
      <c r="M583" s="5" t="s">
        <v>1344</v>
      </c>
      <c r="N583" t="str">
        <f>_xlfn.XLOOKUP(A583,Monitoring!A:A,Monitoring!D:D)</f>
        <v>OFFICES</v>
      </c>
    </row>
    <row r="584" spans="1:14" x14ac:dyDescent="0.35">
      <c r="A584" s="5">
        <v>10001407</v>
      </c>
      <c r="B584" s="5" t="s">
        <v>1295</v>
      </c>
      <c r="C584" s="5" t="s">
        <v>1318</v>
      </c>
      <c r="D584" s="61">
        <v>46092</v>
      </c>
      <c r="E584" s="61">
        <v>46081</v>
      </c>
      <c r="F584" s="5" t="s">
        <v>1297</v>
      </c>
      <c r="G584" s="5" t="s">
        <v>1656</v>
      </c>
      <c r="H584" s="5" t="s">
        <v>1657</v>
      </c>
      <c r="I584" s="60">
        <v>0</v>
      </c>
      <c r="J584" s="5" t="s">
        <v>1300</v>
      </c>
      <c r="K584" s="58">
        <v>0</v>
      </c>
      <c r="L584" s="5" t="s">
        <v>1518</v>
      </c>
      <c r="M584" s="5" t="s">
        <v>1306</v>
      </c>
      <c r="N584" t="str">
        <f>_xlfn.XLOOKUP(A584,Monitoring!A:A,Monitoring!D:D)</f>
        <v>OFFICES</v>
      </c>
    </row>
    <row r="585" spans="1:14" x14ac:dyDescent="0.35">
      <c r="A585" s="5">
        <v>10001411</v>
      </c>
      <c r="B585" s="5" t="s">
        <v>1295</v>
      </c>
      <c r="C585" s="5" t="s">
        <v>1318</v>
      </c>
      <c r="D585" s="61">
        <v>46148</v>
      </c>
      <c r="E585" s="61">
        <v>46172</v>
      </c>
      <c r="F585" s="5" t="s">
        <v>1364</v>
      </c>
      <c r="G585" s="5" t="s">
        <v>2385</v>
      </c>
      <c r="H585" s="5" t="s">
        <v>2386</v>
      </c>
      <c r="I585" s="60">
        <v>1</v>
      </c>
      <c r="J585" s="5" t="s">
        <v>1300</v>
      </c>
      <c r="K585" s="58">
        <v>1000000</v>
      </c>
      <c r="L585" s="5" t="s">
        <v>993</v>
      </c>
      <c r="M585" s="5" t="s">
        <v>1339</v>
      </c>
      <c r="N585" t="str">
        <f>_xlfn.XLOOKUP(A585,Monitoring!A:A,Monitoring!D:D)</f>
        <v>OFFICES</v>
      </c>
    </row>
    <row r="586" spans="1:14" x14ac:dyDescent="0.35">
      <c r="A586" s="5">
        <v>10001413</v>
      </c>
      <c r="B586" s="5" t="s">
        <v>1295</v>
      </c>
      <c r="C586" s="5" t="s">
        <v>1318</v>
      </c>
      <c r="D586" s="61">
        <v>46148</v>
      </c>
      <c r="E586" s="61">
        <v>46172</v>
      </c>
      <c r="F586" s="5" t="s">
        <v>1364</v>
      </c>
      <c r="G586" s="5" t="s">
        <v>2387</v>
      </c>
      <c r="H586" s="5" t="s">
        <v>2388</v>
      </c>
      <c r="I586" s="60">
        <v>1</v>
      </c>
      <c r="J586" s="5" t="s">
        <v>1300</v>
      </c>
      <c r="K586" s="58">
        <v>2576530.61</v>
      </c>
      <c r="L586" s="5" t="s">
        <v>993</v>
      </c>
      <c r="M586" s="5" t="s">
        <v>1339</v>
      </c>
      <c r="N586" t="str">
        <f>_xlfn.XLOOKUP(A586,Monitoring!A:A,Monitoring!D:D)</f>
        <v>OFFICES</v>
      </c>
    </row>
    <row r="587" spans="1:14" x14ac:dyDescent="0.35">
      <c r="A587" s="5">
        <v>10001414</v>
      </c>
      <c r="B587" s="5" t="s">
        <v>1295</v>
      </c>
      <c r="C587" s="5" t="s">
        <v>1318</v>
      </c>
      <c r="D587" s="61">
        <v>46097</v>
      </c>
      <c r="E587" s="61">
        <v>46111</v>
      </c>
      <c r="F587" s="5" t="s">
        <v>1364</v>
      </c>
      <c r="G587" s="5" t="s">
        <v>1658</v>
      </c>
      <c r="H587" s="5" t="s">
        <v>2506</v>
      </c>
      <c r="I587" s="60">
        <v>0</v>
      </c>
      <c r="J587" s="5" t="s">
        <v>1300</v>
      </c>
      <c r="K587" s="58">
        <v>0</v>
      </c>
      <c r="L587" s="5" t="s">
        <v>993</v>
      </c>
      <c r="M587" s="5" t="s">
        <v>1330</v>
      </c>
      <c r="N587" t="str">
        <f>_xlfn.XLOOKUP(A587,Monitoring!A:A,Monitoring!D:D)</f>
        <v>OFFICES</v>
      </c>
    </row>
    <row r="588" spans="1:14" x14ac:dyDescent="0.35">
      <c r="A588" s="5">
        <v>10001414</v>
      </c>
      <c r="B588" s="5" t="s">
        <v>1295</v>
      </c>
      <c r="C588" s="5" t="s">
        <v>1318</v>
      </c>
      <c r="D588" s="61">
        <v>46182</v>
      </c>
      <c r="E588" s="61">
        <v>46111</v>
      </c>
      <c r="F588" s="5" t="s">
        <v>1364</v>
      </c>
      <c r="G588" s="5" t="s">
        <v>1658</v>
      </c>
      <c r="H588" s="5" t="s">
        <v>2507</v>
      </c>
      <c r="I588" s="60">
        <v>0</v>
      </c>
      <c r="J588" s="5" t="s">
        <v>1300</v>
      </c>
      <c r="K588" s="58">
        <v>0</v>
      </c>
      <c r="L588" s="5" t="s">
        <v>993</v>
      </c>
      <c r="M588" s="5" t="s">
        <v>1330</v>
      </c>
      <c r="N588" t="str">
        <f>_xlfn.XLOOKUP(A588,Monitoring!A:A,Monitoring!D:D)</f>
        <v>OFFICES</v>
      </c>
    </row>
    <row r="589" spans="1:14" x14ac:dyDescent="0.35">
      <c r="A589" s="5">
        <v>10001414</v>
      </c>
      <c r="B589" s="5" t="s">
        <v>1295</v>
      </c>
      <c r="C589" s="5" t="s">
        <v>1318</v>
      </c>
      <c r="D589" s="61">
        <v>46129</v>
      </c>
      <c r="E589" s="61">
        <v>46142</v>
      </c>
      <c r="F589" s="5" t="s">
        <v>1364</v>
      </c>
      <c r="G589" s="5" t="s">
        <v>2016</v>
      </c>
      <c r="H589" s="5" t="s">
        <v>2017</v>
      </c>
      <c r="I589" s="60">
        <v>0</v>
      </c>
      <c r="J589" s="5" t="s">
        <v>1300</v>
      </c>
      <c r="K589" s="58">
        <v>0</v>
      </c>
      <c r="L589" s="5" t="s">
        <v>993</v>
      </c>
      <c r="M589" s="5" t="s">
        <v>1344</v>
      </c>
      <c r="N589" t="str">
        <f>_xlfn.XLOOKUP(A589,Monitoring!A:A,Monitoring!D:D)</f>
        <v>OFFICES</v>
      </c>
    </row>
    <row r="590" spans="1:14" x14ac:dyDescent="0.35">
      <c r="A590" s="5">
        <v>10001414</v>
      </c>
      <c r="B590" s="5" t="s">
        <v>1295</v>
      </c>
      <c r="C590" s="5" t="s">
        <v>1318</v>
      </c>
      <c r="D590" s="61">
        <v>46192</v>
      </c>
      <c r="E590" s="61">
        <v>46233</v>
      </c>
      <c r="F590" s="5" t="s">
        <v>1364</v>
      </c>
      <c r="G590" s="5" t="s">
        <v>2771</v>
      </c>
      <c r="H590" s="5" t="s">
        <v>2772</v>
      </c>
      <c r="I590" s="60">
        <v>0</v>
      </c>
      <c r="J590" s="5" t="s">
        <v>1300</v>
      </c>
      <c r="K590" s="58">
        <v>0</v>
      </c>
      <c r="L590" s="5" t="s">
        <v>993</v>
      </c>
      <c r="M590" s="5" t="s">
        <v>1344</v>
      </c>
      <c r="N590" t="str">
        <f>_xlfn.XLOOKUP(A590,Monitoring!A:A,Monitoring!D:D)</f>
        <v>OFFICES</v>
      </c>
    </row>
    <row r="591" spans="1:14" x14ac:dyDescent="0.35">
      <c r="A591" s="5">
        <v>10001414</v>
      </c>
      <c r="B591" s="5" t="s">
        <v>1295</v>
      </c>
      <c r="C591" s="5" t="s">
        <v>1318</v>
      </c>
      <c r="D591" s="61">
        <v>46268</v>
      </c>
      <c r="E591" s="61">
        <v>46295</v>
      </c>
      <c r="F591" s="5" t="s">
        <v>1364</v>
      </c>
      <c r="G591" s="5" t="s">
        <v>3353</v>
      </c>
      <c r="H591" s="5" t="s">
        <v>3354</v>
      </c>
      <c r="I591" s="60">
        <v>1</v>
      </c>
      <c r="J591" s="5" t="s">
        <v>1300</v>
      </c>
      <c r="K591" s="58">
        <v>232095.41</v>
      </c>
      <c r="L591" s="5" t="s">
        <v>993</v>
      </c>
      <c r="M591" s="5" t="s">
        <v>1374</v>
      </c>
      <c r="N591" t="str">
        <f>_xlfn.XLOOKUP(A591,Monitoring!A:A,Monitoring!D:D)</f>
        <v>OFFICES</v>
      </c>
    </row>
    <row r="592" spans="1:14" x14ac:dyDescent="0.35">
      <c r="A592" s="5">
        <v>10001414</v>
      </c>
      <c r="B592" s="5" t="s">
        <v>1295</v>
      </c>
      <c r="C592" s="5" t="s">
        <v>1318</v>
      </c>
      <c r="D592" s="61">
        <v>46162</v>
      </c>
      <c r="E592" s="61">
        <v>46142</v>
      </c>
      <c r="F592" s="5" t="s">
        <v>1297</v>
      </c>
      <c r="G592" s="5" t="s">
        <v>2389</v>
      </c>
      <c r="H592" s="5" t="s">
        <v>2017</v>
      </c>
      <c r="I592" s="60">
        <v>1</v>
      </c>
      <c r="J592" s="5" t="s">
        <v>1300</v>
      </c>
      <c r="K592" s="58">
        <v>116314.29</v>
      </c>
      <c r="L592" s="5" t="s">
        <v>2390</v>
      </c>
      <c r="M592" s="5" t="s">
        <v>1344</v>
      </c>
      <c r="N592" t="str">
        <f>_xlfn.XLOOKUP(A592,Monitoring!A:A,Monitoring!D:D)</f>
        <v>OFFICES</v>
      </c>
    </row>
    <row r="593" spans="1:14" x14ac:dyDescent="0.35">
      <c r="A593" s="5">
        <v>10001414</v>
      </c>
      <c r="B593" s="5" t="s">
        <v>1295</v>
      </c>
      <c r="C593" s="5" t="s">
        <v>1318</v>
      </c>
      <c r="D593" s="61">
        <v>46211</v>
      </c>
      <c r="E593" s="61">
        <v>46234</v>
      </c>
      <c r="F593" s="5" t="s">
        <v>1297</v>
      </c>
      <c r="G593" s="5" t="s">
        <v>2773</v>
      </c>
      <c r="H593" s="5" t="s">
        <v>2774</v>
      </c>
      <c r="I593" s="60">
        <v>1</v>
      </c>
      <c r="J593" s="5" t="s">
        <v>1300</v>
      </c>
      <c r="K593" s="58">
        <v>724317.86</v>
      </c>
      <c r="L593" s="5" t="s">
        <v>2390</v>
      </c>
      <c r="M593" s="5" t="s">
        <v>1330</v>
      </c>
      <c r="N593" t="str">
        <f>_xlfn.XLOOKUP(A593,Monitoring!A:A,Monitoring!D:D)</f>
        <v>OFFICES</v>
      </c>
    </row>
    <row r="594" spans="1:14" x14ac:dyDescent="0.35">
      <c r="A594" s="5">
        <v>10001414</v>
      </c>
      <c r="B594" s="5" t="s">
        <v>1295</v>
      </c>
      <c r="C594" s="5" t="s">
        <v>1318</v>
      </c>
      <c r="D594" s="61">
        <v>46211</v>
      </c>
      <c r="E594" s="61">
        <v>46234</v>
      </c>
      <c r="F594" s="5" t="s">
        <v>1297</v>
      </c>
      <c r="G594" s="5" t="s">
        <v>2773</v>
      </c>
      <c r="H594" s="5" t="s">
        <v>2775</v>
      </c>
      <c r="I594" s="60">
        <v>1</v>
      </c>
      <c r="J594" s="5" t="s">
        <v>1300</v>
      </c>
      <c r="K594" s="58">
        <v>766753.57</v>
      </c>
      <c r="L594" s="5" t="s">
        <v>2390</v>
      </c>
      <c r="M594" s="5" t="s">
        <v>1330</v>
      </c>
      <c r="N594" t="str">
        <f>_xlfn.XLOOKUP(A594,Monitoring!A:A,Monitoring!D:D)</f>
        <v>OFFICES</v>
      </c>
    </row>
    <row r="595" spans="1:14" x14ac:dyDescent="0.35">
      <c r="A595" s="5">
        <v>10001414</v>
      </c>
      <c r="B595" s="5" t="s">
        <v>1295</v>
      </c>
      <c r="C595" s="5" t="s">
        <v>1318</v>
      </c>
      <c r="D595" s="61">
        <v>46199</v>
      </c>
      <c r="E595" s="61">
        <v>46233</v>
      </c>
      <c r="F595" s="5" t="s">
        <v>1297</v>
      </c>
      <c r="G595" s="5" t="s">
        <v>2776</v>
      </c>
      <c r="H595" s="5" t="s">
        <v>2777</v>
      </c>
      <c r="I595" s="60">
        <v>1</v>
      </c>
      <c r="J595" s="5" t="s">
        <v>1300</v>
      </c>
      <c r="K595" s="58">
        <v>89780.36</v>
      </c>
      <c r="L595" s="5" t="s">
        <v>2390</v>
      </c>
      <c r="M595" s="5" t="s">
        <v>1334</v>
      </c>
      <c r="N595" t="str">
        <f>_xlfn.XLOOKUP(A595,Monitoring!A:A,Monitoring!D:D)</f>
        <v>OFFICES</v>
      </c>
    </row>
    <row r="596" spans="1:14" x14ac:dyDescent="0.35">
      <c r="A596" s="5">
        <v>10001416</v>
      </c>
      <c r="B596" s="5" t="s">
        <v>1295</v>
      </c>
      <c r="C596" s="5" t="s">
        <v>1318</v>
      </c>
      <c r="D596" s="61">
        <v>46192</v>
      </c>
      <c r="E596" s="61">
        <v>46233</v>
      </c>
      <c r="F596" s="5" t="s">
        <v>1364</v>
      </c>
      <c r="G596" s="5" t="s">
        <v>2778</v>
      </c>
      <c r="H596" s="5" t="s">
        <v>2779</v>
      </c>
      <c r="I596" s="60">
        <v>0</v>
      </c>
      <c r="J596" s="5" t="s">
        <v>1300</v>
      </c>
      <c r="K596" s="58">
        <v>0</v>
      </c>
      <c r="L596" s="5" t="s">
        <v>993</v>
      </c>
      <c r="M596" s="5" t="s">
        <v>1344</v>
      </c>
      <c r="N596" t="str">
        <f>_xlfn.XLOOKUP(A596,Monitoring!A:A,Monitoring!D:D)</f>
        <v>OFFICES</v>
      </c>
    </row>
    <row r="597" spans="1:14" x14ac:dyDescent="0.35">
      <c r="A597" s="5">
        <v>10001416</v>
      </c>
      <c r="B597" s="5" t="s">
        <v>1295</v>
      </c>
      <c r="C597" s="5" t="s">
        <v>1318</v>
      </c>
      <c r="D597" s="61">
        <v>46202</v>
      </c>
      <c r="E597" s="61">
        <v>46233</v>
      </c>
      <c r="F597" s="5" t="s">
        <v>1297</v>
      </c>
      <c r="G597" s="5" t="s">
        <v>2780</v>
      </c>
      <c r="H597" s="5" t="s">
        <v>2781</v>
      </c>
      <c r="I597" s="60">
        <v>0</v>
      </c>
      <c r="J597" s="5" t="s">
        <v>1300</v>
      </c>
      <c r="K597" s="58">
        <v>0</v>
      </c>
      <c r="L597" s="5" t="s">
        <v>1362</v>
      </c>
      <c r="M597" s="5" t="s">
        <v>1306</v>
      </c>
      <c r="N597" t="str">
        <f>_xlfn.XLOOKUP(A597,Monitoring!A:A,Monitoring!D:D)</f>
        <v>OFFICES</v>
      </c>
    </row>
    <row r="598" spans="1:14" x14ac:dyDescent="0.35">
      <c r="A598" s="5">
        <v>10001417</v>
      </c>
      <c r="B598" s="5" t="s">
        <v>1295</v>
      </c>
      <c r="C598" s="5" t="s">
        <v>1318</v>
      </c>
      <c r="D598" s="61">
        <v>46132</v>
      </c>
      <c r="E598" s="61">
        <v>46157</v>
      </c>
      <c r="F598" s="5" t="s">
        <v>1364</v>
      </c>
      <c r="G598" s="5" t="s">
        <v>2018</v>
      </c>
      <c r="H598" s="5" t="s">
        <v>2019</v>
      </c>
      <c r="I598" s="60">
        <v>0</v>
      </c>
      <c r="J598" s="5" t="s">
        <v>1300</v>
      </c>
      <c r="K598" s="58">
        <v>0</v>
      </c>
      <c r="L598" s="5" t="s">
        <v>993</v>
      </c>
      <c r="M598" s="5" t="s">
        <v>1344</v>
      </c>
      <c r="N598" t="str">
        <f>_xlfn.XLOOKUP(A598,Monitoring!A:A,Monitoring!D:D)</f>
        <v>OFFICES</v>
      </c>
    </row>
    <row r="599" spans="1:14" x14ac:dyDescent="0.35">
      <c r="A599" s="5">
        <v>10001417</v>
      </c>
      <c r="B599" s="5" t="s">
        <v>1295</v>
      </c>
      <c r="C599" s="5" t="s">
        <v>1318</v>
      </c>
      <c r="D599" s="61">
        <v>46167</v>
      </c>
      <c r="E599" s="61">
        <v>46157</v>
      </c>
      <c r="F599" s="5" t="s">
        <v>1297</v>
      </c>
      <c r="G599" s="5" t="s">
        <v>2391</v>
      </c>
      <c r="H599" s="5" t="s">
        <v>2392</v>
      </c>
      <c r="I599" s="60">
        <v>0</v>
      </c>
      <c r="J599" s="5" t="s">
        <v>1300</v>
      </c>
      <c r="K599" s="58">
        <v>0</v>
      </c>
      <c r="L599" s="5" t="s">
        <v>2393</v>
      </c>
      <c r="M599" s="5" t="s">
        <v>1339</v>
      </c>
      <c r="N599" t="str">
        <f>_xlfn.XLOOKUP(A599,Monitoring!A:A,Monitoring!D:D)</f>
        <v>OFFICES</v>
      </c>
    </row>
    <row r="600" spans="1:14" x14ac:dyDescent="0.35">
      <c r="A600" s="5">
        <v>10001418</v>
      </c>
      <c r="B600" s="5" t="s">
        <v>1295</v>
      </c>
      <c r="C600" s="5" t="s">
        <v>1318</v>
      </c>
      <c r="D600" s="61">
        <v>46097</v>
      </c>
      <c r="E600" s="61">
        <v>46111</v>
      </c>
      <c r="F600" s="5" t="s">
        <v>1364</v>
      </c>
      <c r="G600" s="5" t="s">
        <v>1659</v>
      </c>
      <c r="H600" s="5" t="s">
        <v>2782</v>
      </c>
      <c r="I600" s="60">
        <v>0</v>
      </c>
      <c r="J600" s="5" t="s">
        <v>1300</v>
      </c>
      <c r="K600" s="58">
        <v>0</v>
      </c>
      <c r="L600" s="5" t="s">
        <v>993</v>
      </c>
      <c r="M600" s="5" t="s">
        <v>1330</v>
      </c>
      <c r="N600" t="str">
        <f>_xlfn.XLOOKUP(A600,Monitoring!A:A,Monitoring!D:D)</f>
        <v>OFFICES</v>
      </c>
    </row>
    <row r="601" spans="1:14" x14ac:dyDescent="0.35">
      <c r="A601" s="5">
        <v>10001418</v>
      </c>
      <c r="B601" s="5" t="s">
        <v>1295</v>
      </c>
      <c r="C601" s="5" t="s">
        <v>1318</v>
      </c>
      <c r="D601" s="61">
        <v>46203</v>
      </c>
      <c r="E601" s="61">
        <v>46111</v>
      </c>
      <c r="F601" s="5" t="s">
        <v>1364</v>
      </c>
      <c r="G601" s="5" t="s">
        <v>1659</v>
      </c>
      <c r="H601" s="5" t="s">
        <v>2783</v>
      </c>
      <c r="I601" s="60">
        <v>0</v>
      </c>
      <c r="J601" s="5" t="s">
        <v>1300</v>
      </c>
      <c r="K601" s="58">
        <v>0</v>
      </c>
      <c r="L601" s="5" t="s">
        <v>993</v>
      </c>
      <c r="M601" s="5" t="s">
        <v>1330</v>
      </c>
      <c r="N601" t="str">
        <f>_xlfn.XLOOKUP(A601,Monitoring!A:A,Monitoring!D:D)</f>
        <v>OFFICES</v>
      </c>
    </row>
    <row r="602" spans="1:14" x14ac:dyDescent="0.35">
      <c r="A602" s="5">
        <v>10001418</v>
      </c>
      <c r="B602" s="5" t="s">
        <v>1295</v>
      </c>
      <c r="C602" s="5" t="s">
        <v>1318</v>
      </c>
      <c r="D602" s="61">
        <v>46203</v>
      </c>
      <c r="E602" s="61">
        <v>46111</v>
      </c>
      <c r="F602" s="5" t="s">
        <v>1364</v>
      </c>
      <c r="G602" s="5" t="s">
        <v>1659</v>
      </c>
      <c r="H602" s="5" t="s">
        <v>2784</v>
      </c>
      <c r="I602" s="60">
        <v>0</v>
      </c>
      <c r="J602" s="5" t="s">
        <v>1300</v>
      </c>
      <c r="K602" s="58">
        <v>0</v>
      </c>
      <c r="L602" s="5" t="s">
        <v>993</v>
      </c>
      <c r="M602" s="5" t="s">
        <v>1330</v>
      </c>
      <c r="N602" t="str">
        <f>_xlfn.XLOOKUP(A602,Monitoring!A:A,Monitoring!D:D)</f>
        <v>OFFICES</v>
      </c>
    </row>
    <row r="603" spans="1:14" x14ac:dyDescent="0.35">
      <c r="A603" s="5">
        <v>10001418</v>
      </c>
      <c r="B603" s="5" t="s">
        <v>1295</v>
      </c>
      <c r="C603" s="5" t="s">
        <v>1318</v>
      </c>
      <c r="D603" s="61">
        <v>46203</v>
      </c>
      <c r="E603" s="61">
        <v>46111</v>
      </c>
      <c r="F603" s="5" t="s">
        <v>1364</v>
      </c>
      <c r="G603" s="5" t="s">
        <v>1659</v>
      </c>
      <c r="H603" s="5" t="s">
        <v>2785</v>
      </c>
      <c r="I603" s="60">
        <v>0</v>
      </c>
      <c r="J603" s="5" t="s">
        <v>1300</v>
      </c>
      <c r="K603" s="58">
        <v>0</v>
      </c>
      <c r="L603" s="5" t="s">
        <v>993</v>
      </c>
      <c r="M603" s="5" t="s">
        <v>1330</v>
      </c>
      <c r="N603" t="str">
        <f>_xlfn.XLOOKUP(A603,Monitoring!A:A,Monitoring!D:D)</f>
        <v>OFFICES</v>
      </c>
    </row>
    <row r="604" spans="1:14" x14ac:dyDescent="0.35">
      <c r="A604" s="5">
        <v>10001418</v>
      </c>
      <c r="B604" s="5" t="s">
        <v>1295</v>
      </c>
      <c r="C604" s="5" t="s">
        <v>1318</v>
      </c>
      <c r="D604" s="61">
        <v>46218</v>
      </c>
      <c r="E604" s="61">
        <v>46295</v>
      </c>
      <c r="F604" s="5" t="s">
        <v>1297</v>
      </c>
      <c r="G604" s="5" t="s">
        <v>3027</v>
      </c>
      <c r="H604" s="5" t="s">
        <v>3028</v>
      </c>
      <c r="I604" s="60">
        <v>1</v>
      </c>
      <c r="J604" s="5" t="s">
        <v>1300</v>
      </c>
      <c r="K604" s="58">
        <v>629188.44999999995</v>
      </c>
      <c r="L604" s="5" t="s">
        <v>1357</v>
      </c>
      <c r="M604" s="5" t="s">
        <v>1330</v>
      </c>
      <c r="N604" t="str">
        <f>_xlfn.XLOOKUP(A604,Monitoring!A:A,Monitoring!D:D)</f>
        <v>OFFICES</v>
      </c>
    </row>
    <row r="605" spans="1:14" x14ac:dyDescent="0.35">
      <c r="A605" s="5">
        <v>10001418</v>
      </c>
      <c r="B605" s="5" t="s">
        <v>1295</v>
      </c>
      <c r="C605" s="5" t="s">
        <v>1318</v>
      </c>
      <c r="D605" s="61">
        <v>46218</v>
      </c>
      <c r="E605" s="61">
        <v>46295</v>
      </c>
      <c r="F605" s="5" t="s">
        <v>1297</v>
      </c>
      <c r="G605" s="5" t="s">
        <v>3027</v>
      </c>
      <c r="H605" s="5" t="s">
        <v>3029</v>
      </c>
      <c r="I605" s="60">
        <v>1</v>
      </c>
      <c r="J605" s="5" t="s">
        <v>1300</v>
      </c>
      <c r="K605" s="58">
        <v>528444.42000000004</v>
      </c>
      <c r="L605" s="5" t="s">
        <v>1357</v>
      </c>
      <c r="M605" s="5" t="s">
        <v>1330</v>
      </c>
      <c r="N605" t="str">
        <f>_xlfn.XLOOKUP(A605,Monitoring!A:A,Monitoring!D:D)</f>
        <v>OFFICES</v>
      </c>
    </row>
    <row r="606" spans="1:14" x14ac:dyDescent="0.35">
      <c r="A606" s="5">
        <v>10001418</v>
      </c>
      <c r="B606" s="5" t="s">
        <v>1295</v>
      </c>
      <c r="C606" s="5" t="s">
        <v>1318</v>
      </c>
      <c r="D606" s="61">
        <v>46218</v>
      </c>
      <c r="E606" s="61">
        <v>46295</v>
      </c>
      <c r="F606" s="5" t="s">
        <v>1297</v>
      </c>
      <c r="G606" s="5" t="s">
        <v>3027</v>
      </c>
      <c r="H606" s="5" t="s">
        <v>3030</v>
      </c>
      <c r="I606" s="60">
        <v>1</v>
      </c>
      <c r="J606" s="5" t="s">
        <v>1300</v>
      </c>
      <c r="K606" s="58">
        <v>526099.13</v>
      </c>
      <c r="L606" s="5" t="s">
        <v>1357</v>
      </c>
      <c r="M606" s="5" t="s">
        <v>1330</v>
      </c>
      <c r="N606" t="str">
        <f>_xlfn.XLOOKUP(A606,Monitoring!A:A,Monitoring!D:D)</f>
        <v>OFFICES</v>
      </c>
    </row>
    <row r="607" spans="1:14" x14ac:dyDescent="0.35">
      <c r="A607" s="5">
        <v>10001418</v>
      </c>
      <c r="B607" s="5" t="s">
        <v>1295</v>
      </c>
      <c r="C607" s="5" t="s">
        <v>1318</v>
      </c>
      <c r="D607" s="61">
        <v>46218</v>
      </c>
      <c r="E607" s="61">
        <v>46295</v>
      </c>
      <c r="F607" s="5" t="s">
        <v>1297</v>
      </c>
      <c r="G607" s="5" t="s">
        <v>3027</v>
      </c>
      <c r="H607" s="5" t="s">
        <v>3031</v>
      </c>
      <c r="I607" s="60">
        <v>1</v>
      </c>
      <c r="J607" s="5" t="s">
        <v>1300</v>
      </c>
      <c r="K607" s="58">
        <v>905553.71</v>
      </c>
      <c r="L607" s="5" t="s">
        <v>1357</v>
      </c>
      <c r="M607" s="5" t="s">
        <v>1330</v>
      </c>
      <c r="N607" t="str">
        <f>_xlfn.XLOOKUP(A607,Monitoring!A:A,Monitoring!D:D)</f>
        <v>OFFICES</v>
      </c>
    </row>
    <row r="608" spans="1:14" x14ac:dyDescent="0.35">
      <c r="A608" s="5">
        <v>10001419</v>
      </c>
      <c r="B608" s="5" t="s">
        <v>1295</v>
      </c>
      <c r="C608" s="5" t="s">
        <v>1318</v>
      </c>
      <c r="D608" s="61">
        <v>46100</v>
      </c>
      <c r="E608" s="61">
        <v>46111</v>
      </c>
      <c r="F608" s="5" t="s">
        <v>1364</v>
      </c>
      <c r="G608" s="5" t="s">
        <v>1660</v>
      </c>
      <c r="H608" s="5" t="s">
        <v>1661</v>
      </c>
      <c r="I608" s="60">
        <v>0</v>
      </c>
      <c r="J608" s="5" t="s">
        <v>1300</v>
      </c>
      <c r="K608" s="58">
        <v>0</v>
      </c>
      <c r="L608" s="5" t="s">
        <v>993</v>
      </c>
      <c r="M608" s="5" t="s">
        <v>1344</v>
      </c>
      <c r="N608" t="str">
        <f>_xlfn.XLOOKUP(A608,Monitoring!A:A,Monitoring!D:D)</f>
        <v>OFFICES</v>
      </c>
    </row>
    <row r="609" spans="1:14" x14ac:dyDescent="0.35">
      <c r="A609" s="5">
        <v>10001419</v>
      </c>
      <c r="B609" s="5" t="s">
        <v>1295</v>
      </c>
      <c r="C609" s="5" t="s">
        <v>1318</v>
      </c>
      <c r="D609" s="61">
        <v>46112</v>
      </c>
      <c r="E609" s="61">
        <v>46127</v>
      </c>
      <c r="F609" s="5" t="s">
        <v>1364</v>
      </c>
      <c r="G609" s="5" t="s">
        <v>2020</v>
      </c>
      <c r="H609" s="5" t="s">
        <v>2021</v>
      </c>
      <c r="I609" s="60">
        <v>0</v>
      </c>
      <c r="J609" s="5" t="s">
        <v>1300</v>
      </c>
      <c r="K609" s="58">
        <v>0</v>
      </c>
      <c r="L609" s="5" t="s">
        <v>993</v>
      </c>
      <c r="M609" s="5" t="s">
        <v>1330</v>
      </c>
      <c r="N609" t="str">
        <f>_xlfn.XLOOKUP(A609,Monitoring!A:A,Monitoring!D:D)</f>
        <v>OFFICES</v>
      </c>
    </row>
    <row r="610" spans="1:14" x14ac:dyDescent="0.35">
      <c r="A610" s="5">
        <v>10001419</v>
      </c>
      <c r="B610" s="5" t="s">
        <v>1295</v>
      </c>
      <c r="C610" s="5" t="s">
        <v>1318</v>
      </c>
      <c r="D610" s="61">
        <v>46149</v>
      </c>
      <c r="E610" s="61">
        <v>46234</v>
      </c>
      <c r="F610" s="5" t="s">
        <v>1297</v>
      </c>
      <c r="G610" s="5" t="s">
        <v>2394</v>
      </c>
      <c r="H610" s="5" t="s">
        <v>2021</v>
      </c>
      <c r="I610" s="59">
        <v>0.71</v>
      </c>
      <c r="J610" s="5" t="s">
        <v>1300</v>
      </c>
      <c r="K610" s="58">
        <v>2725892.85</v>
      </c>
      <c r="L610" s="5" t="s">
        <v>1453</v>
      </c>
      <c r="M610" s="5" t="s">
        <v>1306</v>
      </c>
      <c r="N610" t="str">
        <f>_xlfn.XLOOKUP(A610,Monitoring!A:A,Monitoring!D:D)</f>
        <v>OFFICES</v>
      </c>
    </row>
    <row r="611" spans="1:14" x14ac:dyDescent="0.35">
      <c r="A611" s="5">
        <v>10001419</v>
      </c>
      <c r="B611" s="5" t="s">
        <v>1295</v>
      </c>
      <c r="C611" s="5" t="s">
        <v>1318</v>
      </c>
      <c r="D611" s="61">
        <v>46141</v>
      </c>
      <c r="E611" s="61">
        <v>46111</v>
      </c>
      <c r="F611" s="5" t="s">
        <v>1297</v>
      </c>
      <c r="G611" s="5" t="s">
        <v>2111</v>
      </c>
      <c r="H611" s="5" t="s">
        <v>1661</v>
      </c>
      <c r="I611" s="60">
        <v>0</v>
      </c>
      <c r="J611" s="5" t="s">
        <v>1300</v>
      </c>
      <c r="K611" s="58">
        <v>0</v>
      </c>
      <c r="L611" s="5" t="s">
        <v>1527</v>
      </c>
      <c r="M611" s="5" t="s">
        <v>1339</v>
      </c>
      <c r="N611" t="str">
        <f>_xlfn.XLOOKUP(A611,Monitoring!A:A,Monitoring!D:D)</f>
        <v>OFFICES</v>
      </c>
    </row>
    <row r="612" spans="1:14" x14ac:dyDescent="0.35">
      <c r="A612" s="5">
        <v>10001420</v>
      </c>
      <c r="B612" s="5" t="s">
        <v>1295</v>
      </c>
      <c r="C612" s="5" t="s">
        <v>1318</v>
      </c>
      <c r="D612" s="61">
        <v>46097</v>
      </c>
      <c r="E612" s="61">
        <v>46111</v>
      </c>
      <c r="F612" s="5" t="s">
        <v>1364</v>
      </c>
      <c r="G612" s="5" t="s">
        <v>1662</v>
      </c>
      <c r="H612" s="5" t="s">
        <v>1663</v>
      </c>
      <c r="I612" s="60">
        <v>0</v>
      </c>
      <c r="J612" s="5" t="s">
        <v>1300</v>
      </c>
      <c r="K612" s="58">
        <v>0</v>
      </c>
      <c r="L612" s="5" t="s">
        <v>993</v>
      </c>
      <c r="M612" s="5" t="s">
        <v>1344</v>
      </c>
      <c r="N612" t="str">
        <f>_xlfn.XLOOKUP(A612,Monitoring!A:A,Monitoring!D:D)</f>
        <v>OFFICES</v>
      </c>
    </row>
    <row r="613" spans="1:14" x14ac:dyDescent="0.35">
      <c r="A613" s="5">
        <v>10001420</v>
      </c>
      <c r="B613" s="5" t="s">
        <v>1295</v>
      </c>
      <c r="C613" s="5" t="s">
        <v>1318</v>
      </c>
      <c r="D613" s="61">
        <v>46268</v>
      </c>
      <c r="E613" s="61">
        <v>46295</v>
      </c>
      <c r="F613" s="5" t="s">
        <v>1364</v>
      </c>
      <c r="G613" s="5" t="s">
        <v>3355</v>
      </c>
      <c r="H613" s="5" t="s">
        <v>3356</v>
      </c>
      <c r="I613" s="60">
        <v>1</v>
      </c>
      <c r="J613" s="5" t="s">
        <v>1300</v>
      </c>
      <c r="K613" s="58">
        <v>240741.96</v>
      </c>
      <c r="L613" s="5" t="s">
        <v>993</v>
      </c>
      <c r="M613" s="5" t="s">
        <v>1374</v>
      </c>
      <c r="N613" t="str">
        <f>_xlfn.XLOOKUP(A613,Monitoring!A:A,Monitoring!D:D)</f>
        <v>OFFICES</v>
      </c>
    </row>
    <row r="614" spans="1:14" x14ac:dyDescent="0.35">
      <c r="A614" s="5">
        <v>10001420</v>
      </c>
      <c r="B614" s="5" t="s">
        <v>1295</v>
      </c>
      <c r="C614" s="5" t="s">
        <v>1318</v>
      </c>
      <c r="D614" s="61">
        <v>46127</v>
      </c>
      <c r="E614" s="61">
        <v>46111</v>
      </c>
      <c r="F614" s="5" t="s">
        <v>1297</v>
      </c>
      <c r="G614" s="5" t="s">
        <v>2022</v>
      </c>
      <c r="H614" s="5" t="s">
        <v>1663</v>
      </c>
      <c r="I614" s="60">
        <v>0</v>
      </c>
      <c r="J614" s="5" t="s">
        <v>1300</v>
      </c>
      <c r="K614" s="58">
        <v>0</v>
      </c>
      <c r="L614" s="5" t="s">
        <v>1527</v>
      </c>
      <c r="M614" s="5" t="s">
        <v>1339</v>
      </c>
      <c r="N614" t="str">
        <f>_xlfn.XLOOKUP(A614,Monitoring!A:A,Monitoring!D:D)</f>
        <v>OFFICES</v>
      </c>
    </row>
    <row r="615" spans="1:14" x14ac:dyDescent="0.35">
      <c r="A615" s="5">
        <v>10001421</v>
      </c>
      <c r="B615" s="5" t="s">
        <v>1295</v>
      </c>
      <c r="C615" s="5" t="s">
        <v>1318</v>
      </c>
      <c r="D615" s="61">
        <v>46132</v>
      </c>
      <c r="E615" s="61">
        <v>46157</v>
      </c>
      <c r="F615" s="5" t="s">
        <v>1364</v>
      </c>
      <c r="G615" s="5" t="s">
        <v>2023</v>
      </c>
      <c r="H615" s="5" t="s">
        <v>3357</v>
      </c>
      <c r="I615" s="60">
        <v>2</v>
      </c>
      <c r="J615" s="5" t="s">
        <v>1380</v>
      </c>
      <c r="K615" s="58">
        <v>224000</v>
      </c>
      <c r="L615" s="5" t="s">
        <v>993</v>
      </c>
      <c r="M615" s="5" t="s">
        <v>1374</v>
      </c>
      <c r="N615" t="str">
        <f>_xlfn.XLOOKUP(A615,Monitoring!A:A,Monitoring!D:D)</f>
        <v>OFFICES</v>
      </c>
    </row>
    <row r="616" spans="1:14" x14ac:dyDescent="0.35">
      <c r="A616" s="5">
        <v>10001422</v>
      </c>
      <c r="B616" s="5" t="s">
        <v>1295</v>
      </c>
      <c r="C616" s="5" t="s">
        <v>1318</v>
      </c>
      <c r="D616" s="61">
        <v>46100</v>
      </c>
      <c r="E616" s="61">
        <v>46111</v>
      </c>
      <c r="F616" s="5" t="s">
        <v>1364</v>
      </c>
      <c r="G616" s="5" t="s">
        <v>1664</v>
      </c>
      <c r="H616" s="5" t="s">
        <v>1665</v>
      </c>
      <c r="I616" s="60">
        <v>0</v>
      </c>
      <c r="J616" s="5" t="s">
        <v>1300</v>
      </c>
      <c r="K616" s="58">
        <v>0</v>
      </c>
      <c r="L616" s="5" t="s">
        <v>993</v>
      </c>
      <c r="M616" s="5" t="s">
        <v>1344</v>
      </c>
      <c r="N616" t="str">
        <f>_xlfn.XLOOKUP(A616,Monitoring!A:A,Monitoring!D:D)</f>
        <v>OFFICES</v>
      </c>
    </row>
    <row r="617" spans="1:14" x14ac:dyDescent="0.35">
      <c r="A617" s="5">
        <v>10001422</v>
      </c>
      <c r="B617" s="5" t="s">
        <v>1295</v>
      </c>
      <c r="C617" s="5" t="s">
        <v>1318</v>
      </c>
      <c r="D617" s="61">
        <v>46133</v>
      </c>
      <c r="E617" s="61">
        <v>46111</v>
      </c>
      <c r="F617" s="5" t="s">
        <v>1297</v>
      </c>
      <c r="G617" s="5" t="s">
        <v>2024</v>
      </c>
      <c r="H617" s="5" t="s">
        <v>2025</v>
      </c>
      <c r="I617" s="60">
        <v>0</v>
      </c>
      <c r="J617" s="5" t="s">
        <v>1300</v>
      </c>
      <c r="K617" s="58">
        <v>0</v>
      </c>
      <c r="L617" s="5" t="s">
        <v>2026</v>
      </c>
      <c r="M617" s="5" t="s">
        <v>1306</v>
      </c>
      <c r="N617" t="str">
        <f>_xlfn.XLOOKUP(A617,Monitoring!A:A,Monitoring!D:D)</f>
        <v>OFFICES</v>
      </c>
    </row>
    <row r="618" spans="1:14" x14ac:dyDescent="0.35">
      <c r="A618" s="5">
        <v>10001423</v>
      </c>
      <c r="B618" s="5" t="s">
        <v>1295</v>
      </c>
      <c r="C618" s="5" t="s">
        <v>1318</v>
      </c>
      <c r="D618" s="61">
        <v>46079</v>
      </c>
      <c r="E618" s="61">
        <v>46096</v>
      </c>
      <c r="F618" s="5" t="s">
        <v>1364</v>
      </c>
      <c r="G618" s="5" t="s">
        <v>1666</v>
      </c>
      <c r="H618" s="5" t="s">
        <v>1667</v>
      </c>
      <c r="I618" s="60">
        <v>0</v>
      </c>
      <c r="J618" s="5" t="s">
        <v>1300</v>
      </c>
      <c r="K618" s="58">
        <v>0</v>
      </c>
      <c r="L618" s="5" t="s">
        <v>993</v>
      </c>
      <c r="M618" s="5" t="s">
        <v>1344</v>
      </c>
      <c r="N618" t="str">
        <f>_xlfn.XLOOKUP(A618,Monitoring!A:A,Monitoring!D:D)</f>
        <v>OFFICES</v>
      </c>
    </row>
    <row r="619" spans="1:14" x14ac:dyDescent="0.35">
      <c r="A619" s="5">
        <v>10001423</v>
      </c>
      <c r="B619" s="5" t="s">
        <v>1295</v>
      </c>
      <c r="C619" s="5" t="s">
        <v>1318</v>
      </c>
      <c r="D619" s="61">
        <v>46099</v>
      </c>
      <c r="E619" s="61">
        <v>46096</v>
      </c>
      <c r="F619" s="5" t="s">
        <v>1297</v>
      </c>
      <c r="G619" s="5" t="s">
        <v>1668</v>
      </c>
      <c r="H619" s="5" t="s">
        <v>1669</v>
      </c>
      <c r="I619" s="60">
        <v>0</v>
      </c>
      <c r="J619" s="5" t="s">
        <v>1300</v>
      </c>
      <c r="K619" s="58">
        <v>0</v>
      </c>
      <c r="L619" s="5" t="s">
        <v>1531</v>
      </c>
      <c r="M619" s="5" t="s">
        <v>1306</v>
      </c>
      <c r="N619" t="str">
        <f>_xlfn.XLOOKUP(A619,Monitoring!A:A,Monitoring!D:D)</f>
        <v>OFFICES</v>
      </c>
    </row>
    <row r="620" spans="1:14" x14ac:dyDescent="0.35">
      <c r="A620" s="5">
        <v>10001425</v>
      </c>
      <c r="B620" s="5" t="s">
        <v>1295</v>
      </c>
      <c r="C620" s="5" t="s">
        <v>1318</v>
      </c>
      <c r="D620" s="61">
        <v>46079</v>
      </c>
      <c r="E620" s="61">
        <v>46096</v>
      </c>
      <c r="F620" s="5" t="s">
        <v>1364</v>
      </c>
      <c r="G620" s="5" t="s">
        <v>1666</v>
      </c>
      <c r="H620" s="5" t="s">
        <v>1667</v>
      </c>
      <c r="I620" s="60">
        <v>0</v>
      </c>
      <c r="J620" s="5" t="s">
        <v>1300</v>
      </c>
      <c r="K620" s="58">
        <v>0</v>
      </c>
      <c r="L620" s="5" t="s">
        <v>993</v>
      </c>
      <c r="M620" s="5" t="s">
        <v>1344</v>
      </c>
      <c r="N620" t="str">
        <f>_xlfn.XLOOKUP(A620,Monitoring!A:A,Monitoring!D:D)</f>
        <v>OFFICES</v>
      </c>
    </row>
    <row r="621" spans="1:14" x14ac:dyDescent="0.35">
      <c r="A621" s="5">
        <v>10001425</v>
      </c>
      <c r="B621" s="5" t="s">
        <v>1295</v>
      </c>
      <c r="C621" s="5" t="s">
        <v>1318</v>
      </c>
      <c r="D621" s="61">
        <v>46099</v>
      </c>
      <c r="E621" s="61">
        <v>46096</v>
      </c>
      <c r="F621" s="5" t="s">
        <v>1297</v>
      </c>
      <c r="G621" s="5" t="s">
        <v>1668</v>
      </c>
      <c r="H621" s="5" t="s">
        <v>1670</v>
      </c>
      <c r="I621" s="60">
        <v>0</v>
      </c>
      <c r="J621" s="5" t="s">
        <v>1300</v>
      </c>
      <c r="K621" s="58">
        <v>0</v>
      </c>
      <c r="L621" s="5" t="s">
        <v>1531</v>
      </c>
      <c r="M621" s="5" t="s">
        <v>1306</v>
      </c>
      <c r="N621" t="str">
        <f>_xlfn.XLOOKUP(A621,Monitoring!A:A,Monitoring!D:D)</f>
        <v>OFFICES</v>
      </c>
    </row>
    <row r="622" spans="1:14" x14ac:dyDescent="0.35">
      <c r="A622" s="5">
        <v>10001426</v>
      </c>
      <c r="B622" s="5" t="s">
        <v>1295</v>
      </c>
      <c r="C622" s="5" t="s">
        <v>1318</v>
      </c>
      <c r="D622" s="61">
        <v>46079</v>
      </c>
      <c r="E622" s="61">
        <v>46096</v>
      </c>
      <c r="F622" s="5" t="s">
        <v>1364</v>
      </c>
      <c r="G622" s="5" t="s">
        <v>1671</v>
      </c>
      <c r="H622" s="5" t="s">
        <v>1672</v>
      </c>
      <c r="I622" s="60">
        <v>0</v>
      </c>
      <c r="J622" s="5" t="s">
        <v>1300</v>
      </c>
      <c r="K622" s="58">
        <v>0</v>
      </c>
      <c r="L622" s="5" t="s">
        <v>993</v>
      </c>
      <c r="M622" s="5" t="s">
        <v>1344</v>
      </c>
      <c r="N622" t="str">
        <f>_xlfn.XLOOKUP(A622,Monitoring!A:A,Monitoring!D:D)</f>
        <v>OFFICES</v>
      </c>
    </row>
    <row r="623" spans="1:14" x14ac:dyDescent="0.35">
      <c r="A623" s="5">
        <v>10001426</v>
      </c>
      <c r="B623" s="5" t="s">
        <v>1295</v>
      </c>
      <c r="C623" s="5" t="s">
        <v>1318</v>
      </c>
      <c r="D623" s="61">
        <v>46091</v>
      </c>
      <c r="E623" s="61">
        <v>46096</v>
      </c>
      <c r="F623" s="5" t="s">
        <v>1297</v>
      </c>
      <c r="G623" s="5" t="s">
        <v>1673</v>
      </c>
      <c r="H623" s="5" t="s">
        <v>1674</v>
      </c>
      <c r="I623" s="60">
        <v>0</v>
      </c>
      <c r="J623" s="5" t="s">
        <v>1300</v>
      </c>
      <c r="K623" s="58">
        <v>0</v>
      </c>
      <c r="L623" s="5" t="s">
        <v>1531</v>
      </c>
      <c r="M623" s="5" t="s">
        <v>1339</v>
      </c>
      <c r="N623" t="str">
        <f>_xlfn.XLOOKUP(A623,Monitoring!A:A,Monitoring!D:D)</f>
        <v>OFFICES</v>
      </c>
    </row>
    <row r="624" spans="1:14" x14ac:dyDescent="0.35">
      <c r="A624" s="5">
        <v>10001428</v>
      </c>
      <c r="B624" s="5" t="s">
        <v>1295</v>
      </c>
      <c r="C624" s="5" t="s">
        <v>1318</v>
      </c>
      <c r="D624" s="61">
        <v>46139</v>
      </c>
      <c r="E624" s="61">
        <v>46157</v>
      </c>
      <c r="F624" s="5" t="s">
        <v>1364</v>
      </c>
      <c r="G624" s="5" t="s">
        <v>2027</v>
      </c>
      <c r="H624" s="5" t="s">
        <v>1667</v>
      </c>
      <c r="I624" s="60">
        <v>0</v>
      </c>
      <c r="J624" s="5" t="s">
        <v>1300</v>
      </c>
      <c r="K624" s="58">
        <v>0</v>
      </c>
      <c r="L624" s="5" t="s">
        <v>993</v>
      </c>
      <c r="M624" s="5" t="s">
        <v>1344</v>
      </c>
      <c r="N624" t="str">
        <f>_xlfn.XLOOKUP(A624,Monitoring!A:A,Monitoring!D:D)</f>
        <v>OFFICES</v>
      </c>
    </row>
    <row r="625" spans="1:14" x14ac:dyDescent="0.35">
      <c r="A625" s="5">
        <v>10001428</v>
      </c>
      <c r="B625" s="5" t="s">
        <v>1295</v>
      </c>
      <c r="C625" s="5" t="s">
        <v>1318</v>
      </c>
      <c r="D625" s="61">
        <v>46161</v>
      </c>
      <c r="E625" s="61">
        <v>46157</v>
      </c>
      <c r="F625" s="5" t="s">
        <v>1297</v>
      </c>
      <c r="G625" s="5" t="s">
        <v>2395</v>
      </c>
      <c r="H625" s="5" t="s">
        <v>2396</v>
      </c>
      <c r="I625" s="60">
        <v>0</v>
      </c>
      <c r="J625" s="5" t="s">
        <v>1300</v>
      </c>
      <c r="K625" s="58">
        <v>0</v>
      </c>
      <c r="L625" s="5" t="s">
        <v>1531</v>
      </c>
      <c r="M625" s="5" t="s">
        <v>1339</v>
      </c>
      <c r="N625" t="str">
        <f>_xlfn.XLOOKUP(A625,Monitoring!A:A,Monitoring!D:D)</f>
        <v>OFFICES</v>
      </c>
    </row>
    <row r="626" spans="1:14" x14ac:dyDescent="0.35">
      <c r="A626" s="5">
        <v>10001432</v>
      </c>
      <c r="B626" s="5" t="s">
        <v>1295</v>
      </c>
      <c r="C626" s="5" t="s">
        <v>1318</v>
      </c>
      <c r="D626" s="61">
        <v>46087</v>
      </c>
      <c r="E626" s="61">
        <v>46101</v>
      </c>
      <c r="F626" s="5" t="s">
        <v>1364</v>
      </c>
      <c r="G626" s="5" t="s">
        <v>1675</v>
      </c>
      <c r="H626" s="5" t="s">
        <v>1676</v>
      </c>
      <c r="I626" s="60">
        <v>0</v>
      </c>
      <c r="J626" s="5" t="s">
        <v>1300</v>
      </c>
      <c r="K626" s="58">
        <v>0</v>
      </c>
      <c r="L626" s="5" t="s">
        <v>993</v>
      </c>
      <c r="M626" s="5" t="s">
        <v>1408</v>
      </c>
      <c r="N626" t="str">
        <f>_xlfn.XLOOKUP(A626,Monitoring!A:A,Monitoring!D:D)</f>
        <v>MALLS</v>
      </c>
    </row>
    <row r="627" spans="1:14" x14ac:dyDescent="0.35">
      <c r="A627" s="5">
        <v>10001432</v>
      </c>
      <c r="B627" s="5" t="s">
        <v>1295</v>
      </c>
      <c r="C627" s="5" t="s">
        <v>1318</v>
      </c>
      <c r="D627" s="61">
        <v>46157</v>
      </c>
      <c r="E627" s="61">
        <v>46234</v>
      </c>
      <c r="F627" s="5" t="s">
        <v>1297</v>
      </c>
      <c r="G627" s="5" t="s">
        <v>2397</v>
      </c>
      <c r="H627" s="5" t="s">
        <v>2398</v>
      </c>
      <c r="I627" s="60">
        <v>1</v>
      </c>
      <c r="J627" s="5" t="s">
        <v>1300</v>
      </c>
      <c r="K627" s="58">
        <v>625000</v>
      </c>
      <c r="L627" s="5" t="s">
        <v>2399</v>
      </c>
      <c r="M627" s="5" t="s">
        <v>1408</v>
      </c>
      <c r="N627" t="str">
        <f>_xlfn.XLOOKUP(A627,Monitoring!A:A,Monitoring!D:D)</f>
        <v>MALLS</v>
      </c>
    </row>
    <row r="628" spans="1:14" x14ac:dyDescent="0.35">
      <c r="A628" s="5">
        <v>10001433</v>
      </c>
      <c r="B628" s="5" t="s">
        <v>1295</v>
      </c>
      <c r="C628" s="5" t="s">
        <v>1318</v>
      </c>
      <c r="D628" s="61">
        <v>46248</v>
      </c>
      <c r="E628" s="61">
        <v>46269</v>
      </c>
      <c r="F628" s="5" t="s">
        <v>1364</v>
      </c>
      <c r="G628" s="5" t="s">
        <v>3131</v>
      </c>
      <c r="H628" s="5" t="s">
        <v>3132</v>
      </c>
      <c r="I628" s="60">
        <v>1</v>
      </c>
      <c r="J628" s="5" t="s">
        <v>1300</v>
      </c>
      <c r="K628" s="58">
        <v>3500000</v>
      </c>
      <c r="L628" s="5" t="s">
        <v>993</v>
      </c>
      <c r="M628" s="5" t="s">
        <v>1377</v>
      </c>
      <c r="N628" t="str">
        <f>_xlfn.XLOOKUP(A628,Monitoring!A:A,Monitoring!D:D)</f>
        <v>MALLS</v>
      </c>
    </row>
    <row r="629" spans="1:14" x14ac:dyDescent="0.35">
      <c r="A629" s="5">
        <v>10001434</v>
      </c>
      <c r="B629" s="5" t="s">
        <v>1295</v>
      </c>
      <c r="C629" s="5" t="s">
        <v>1318</v>
      </c>
      <c r="D629" s="61">
        <v>46183</v>
      </c>
      <c r="E629" s="61">
        <v>46204</v>
      </c>
      <c r="F629" s="5" t="s">
        <v>1364</v>
      </c>
      <c r="G629" s="5" t="s">
        <v>2786</v>
      </c>
      <c r="H629" s="5" t="s">
        <v>2787</v>
      </c>
      <c r="I629" s="60">
        <v>0</v>
      </c>
      <c r="J629" s="5" t="s">
        <v>1300</v>
      </c>
      <c r="K629" s="58">
        <v>0</v>
      </c>
      <c r="L629" s="5" t="s">
        <v>993</v>
      </c>
      <c r="M629" s="5" t="s">
        <v>1344</v>
      </c>
      <c r="N629" t="str">
        <f>_xlfn.XLOOKUP(A629,Monitoring!A:A,Monitoring!D:D)</f>
        <v>MALLS</v>
      </c>
    </row>
    <row r="630" spans="1:14" x14ac:dyDescent="0.35">
      <c r="A630" s="5">
        <v>10001434</v>
      </c>
      <c r="B630" s="5" t="s">
        <v>1295</v>
      </c>
      <c r="C630" s="5" t="s">
        <v>1318</v>
      </c>
      <c r="D630" s="61">
        <v>46195</v>
      </c>
      <c r="E630" s="61">
        <v>46216</v>
      </c>
      <c r="F630" s="5" t="s">
        <v>1364</v>
      </c>
      <c r="G630" s="5" t="s">
        <v>2788</v>
      </c>
      <c r="H630" s="5" t="s">
        <v>2789</v>
      </c>
      <c r="I630" s="60">
        <v>1</v>
      </c>
      <c r="J630" s="5" t="s">
        <v>1300</v>
      </c>
      <c r="K630" s="58">
        <v>467596.43</v>
      </c>
      <c r="L630" s="5" t="s">
        <v>993</v>
      </c>
      <c r="M630" s="5" t="s">
        <v>1391</v>
      </c>
      <c r="N630" t="str">
        <f>_xlfn.XLOOKUP(A630,Monitoring!A:A,Monitoring!D:D)</f>
        <v>MALLS</v>
      </c>
    </row>
    <row r="631" spans="1:14" x14ac:dyDescent="0.35">
      <c r="A631" s="5">
        <v>10001434</v>
      </c>
      <c r="B631" s="5" t="s">
        <v>1295</v>
      </c>
      <c r="C631" s="5" t="s">
        <v>1318</v>
      </c>
      <c r="D631" s="61">
        <v>46233</v>
      </c>
      <c r="E631" s="61">
        <v>46254</v>
      </c>
      <c r="F631" s="5" t="s">
        <v>1364</v>
      </c>
      <c r="G631" s="5" t="s">
        <v>3032</v>
      </c>
      <c r="H631" s="5" t="s">
        <v>3033</v>
      </c>
      <c r="I631" s="60">
        <v>0</v>
      </c>
      <c r="J631" s="5" t="s">
        <v>1300</v>
      </c>
      <c r="K631" s="58">
        <v>0</v>
      </c>
      <c r="L631" s="5" t="s">
        <v>993</v>
      </c>
      <c r="M631" s="5" t="s">
        <v>1344</v>
      </c>
      <c r="N631" t="str">
        <f>_xlfn.XLOOKUP(A631,Monitoring!A:A,Monitoring!D:D)</f>
        <v>MALLS</v>
      </c>
    </row>
    <row r="632" spans="1:14" x14ac:dyDescent="0.35">
      <c r="A632" s="5">
        <v>10001434</v>
      </c>
      <c r="B632" s="5" t="s">
        <v>1295</v>
      </c>
      <c r="C632" s="5" t="s">
        <v>1318</v>
      </c>
      <c r="D632" s="61">
        <v>46261</v>
      </c>
      <c r="E632" s="61">
        <v>46282</v>
      </c>
      <c r="F632" s="5" t="s">
        <v>1364</v>
      </c>
      <c r="G632" s="5" t="s">
        <v>3358</v>
      </c>
      <c r="H632" s="5" t="s">
        <v>3359</v>
      </c>
      <c r="I632" s="60">
        <v>1</v>
      </c>
      <c r="J632" s="5" t="s">
        <v>1300</v>
      </c>
      <c r="K632" s="58">
        <v>525251.12</v>
      </c>
      <c r="L632" s="5" t="s">
        <v>993</v>
      </c>
      <c r="M632" s="5" t="s">
        <v>1377</v>
      </c>
      <c r="N632" t="str">
        <f>_xlfn.XLOOKUP(A632,Monitoring!A:A,Monitoring!D:D)</f>
        <v>MALLS</v>
      </c>
    </row>
    <row r="633" spans="1:14" x14ac:dyDescent="0.35">
      <c r="A633" s="5">
        <v>10001434</v>
      </c>
      <c r="B633" s="5" t="s">
        <v>1295</v>
      </c>
      <c r="C633" s="5" t="s">
        <v>1318</v>
      </c>
      <c r="D633" s="61">
        <v>46204</v>
      </c>
      <c r="E633" s="61">
        <v>46204</v>
      </c>
      <c r="F633" s="5" t="s">
        <v>1297</v>
      </c>
      <c r="G633" s="5" t="s">
        <v>2790</v>
      </c>
      <c r="H633" s="5" t="s">
        <v>2791</v>
      </c>
      <c r="I633" s="60">
        <v>1</v>
      </c>
      <c r="J633" s="5" t="s">
        <v>1300</v>
      </c>
      <c r="K633" s="58">
        <v>715704.46</v>
      </c>
      <c r="L633" s="5" t="s">
        <v>2390</v>
      </c>
      <c r="M633" s="5" t="s">
        <v>1344</v>
      </c>
      <c r="N633" t="str">
        <f>_xlfn.XLOOKUP(A633,Monitoring!A:A,Monitoring!D:D)</f>
        <v>MALLS</v>
      </c>
    </row>
    <row r="634" spans="1:14" x14ac:dyDescent="0.35">
      <c r="A634" s="5">
        <v>10001434</v>
      </c>
      <c r="B634" s="5" t="s">
        <v>1295</v>
      </c>
      <c r="C634" s="5" t="s">
        <v>1318</v>
      </c>
      <c r="D634" s="61">
        <v>46260</v>
      </c>
      <c r="E634" s="61">
        <v>46254</v>
      </c>
      <c r="F634" s="5" t="s">
        <v>1297</v>
      </c>
      <c r="G634" s="5" t="s">
        <v>3360</v>
      </c>
      <c r="H634" s="5" t="s">
        <v>3361</v>
      </c>
      <c r="I634" s="60">
        <v>1</v>
      </c>
      <c r="J634" s="5" t="s">
        <v>1300</v>
      </c>
      <c r="K634" s="58">
        <v>369424.11</v>
      </c>
      <c r="L634" s="5" t="s">
        <v>2390</v>
      </c>
      <c r="M634" s="5" t="s">
        <v>1344</v>
      </c>
      <c r="N634" t="str">
        <f>_xlfn.XLOOKUP(A634,Monitoring!A:A,Monitoring!D:D)</f>
        <v>MALLS</v>
      </c>
    </row>
    <row r="635" spans="1:14" x14ac:dyDescent="0.35">
      <c r="A635" s="5">
        <v>10001435</v>
      </c>
      <c r="B635" s="5" t="s">
        <v>1295</v>
      </c>
      <c r="C635" s="5" t="s">
        <v>1318</v>
      </c>
      <c r="D635" s="61">
        <v>46080</v>
      </c>
      <c r="E635" s="61">
        <v>46094</v>
      </c>
      <c r="F635" s="5" t="s">
        <v>1364</v>
      </c>
      <c r="G635" s="5" t="s">
        <v>1677</v>
      </c>
      <c r="H635" s="5" t="s">
        <v>1678</v>
      </c>
      <c r="I635" s="60">
        <v>0</v>
      </c>
      <c r="J635" s="5" t="s">
        <v>1300</v>
      </c>
      <c r="K635" s="58">
        <v>0</v>
      </c>
      <c r="L635" s="5" t="s">
        <v>993</v>
      </c>
      <c r="M635" s="5" t="s">
        <v>1344</v>
      </c>
      <c r="N635" t="str">
        <f>_xlfn.XLOOKUP(A635,Monitoring!A:A,Monitoring!D:D)</f>
        <v>MALLS</v>
      </c>
    </row>
    <row r="636" spans="1:14" x14ac:dyDescent="0.35">
      <c r="A636" s="5">
        <v>10001435</v>
      </c>
      <c r="B636" s="5" t="s">
        <v>1295</v>
      </c>
      <c r="C636" s="5" t="s">
        <v>1318</v>
      </c>
      <c r="D636" s="61">
        <v>46128</v>
      </c>
      <c r="E636" s="61">
        <v>46142</v>
      </c>
      <c r="F636" s="5" t="s">
        <v>1364</v>
      </c>
      <c r="G636" s="5" t="s">
        <v>2028</v>
      </c>
      <c r="H636" s="5" t="s">
        <v>2029</v>
      </c>
      <c r="I636" s="60">
        <v>0</v>
      </c>
      <c r="J636" s="5" t="s">
        <v>1300</v>
      </c>
      <c r="K636" s="58">
        <v>0</v>
      </c>
      <c r="L636" s="5" t="s">
        <v>993</v>
      </c>
      <c r="M636" s="5" t="s">
        <v>1330</v>
      </c>
      <c r="N636" t="str">
        <f>_xlfn.XLOOKUP(A636,Monitoring!A:A,Monitoring!D:D)</f>
        <v>MALLS</v>
      </c>
    </row>
    <row r="637" spans="1:14" x14ac:dyDescent="0.35">
      <c r="A637" s="5">
        <v>10001435</v>
      </c>
      <c r="B637" s="5" t="s">
        <v>1295</v>
      </c>
      <c r="C637" s="5" t="s">
        <v>1318</v>
      </c>
      <c r="D637" s="61">
        <v>46146</v>
      </c>
      <c r="E637" s="61">
        <v>46160</v>
      </c>
      <c r="F637" s="5" t="s">
        <v>1364</v>
      </c>
      <c r="G637" s="5" t="s">
        <v>2400</v>
      </c>
      <c r="H637" s="5" t="s">
        <v>2401</v>
      </c>
      <c r="I637" s="60">
        <v>0</v>
      </c>
      <c r="J637" s="5" t="s">
        <v>1300</v>
      </c>
      <c r="K637" s="58">
        <v>0</v>
      </c>
      <c r="L637" s="5" t="s">
        <v>993</v>
      </c>
      <c r="M637" s="5" t="s">
        <v>1344</v>
      </c>
      <c r="N637" t="str">
        <f>_xlfn.XLOOKUP(A637,Monitoring!A:A,Monitoring!D:D)</f>
        <v>MALLS</v>
      </c>
    </row>
    <row r="638" spans="1:14" x14ac:dyDescent="0.35">
      <c r="A638" s="5">
        <v>10001435</v>
      </c>
      <c r="B638" s="5" t="s">
        <v>1295</v>
      </c>
      <c r="C638" s="5" t="s">
        <v>1318</v>
      </c>
      <c r="D638" s="61">
        <v>46217</v>
      </c>
      <c r="E638" s="61">
        <v>46238</v>
      </c>
      <c r="F638" s="5" t="s">
        <v>1364</v>
      </c>
      <c r="G638" s="5" t="s">
        <v>3034</v>
      </c>
      <c r="H638" s="5" t="s">
        <v>3035</v>
      </c>
      <c r="I638" s="60">
        <v>0</v>
      </c>
      <c r="J638" s="5" t="s">
        <v>1300</v>
      </c>
      <c r="K638" s="58">
        <v>0</v>
      </c>
      <c r="L638" s="5" t="s">
        <v>993</v>
      </c>
      <c r="M638" s="5" t="s">
        <v>1344</v>
      </c>
      <c r="N638" t="str">
        <f>_xlfn.XLOOKUP(A638,Monitoring!A:A,Monitoring!D:D)</f>
        <v>MALLS</v>
      </c>
    </row>
    <row r="639" spans="1:14" x14ac:dyDescent="0.35">
      <c r="A639" s="5">
        <v>10001435</v>
      </c>
      <c r="B639" s="5" t="s">
        <v>1295</v>
      </c>
      <c r="C639" s="5" t="s">
        <v>1318</v>
      </c>
      <c r="D639" s="61">
        <v>46233</v>
      </c>
      <c r="E639" s="61">
        <v>46254</v>
      </c>
      <c r="F639" s="5" t="s">
        <v>1364</v>
      </c>
      <c r="G639" s="5" t="s">
        <v>3036</v>
      </c>
      <c r="H639" s="5" t="s">
        <v>3037</v>
      </c>
      <c r="I639" s="60">
        <v>0</v>
      </c>
      <c r="J639" s="5" t="s">
        <v>1300</v>
      </c>
      <c r="K639" s="58">
        <v>0</v>
      </c>
      <c r="L639" s="5" t="s">
        <v>993</v>
      </c>
      <c r="M639" s="5" t="s">
        <v>1344</v>
      </c>
      <c r="N639" t="str">
        <f>_xlfn.XLOOKUP(A639,Monitoring!A:A,Monitoring!D:D)</f>
        <v>MALLS</v>
      </c>
    </row>
    <row r="640" spans="1:14" x14ac:dyDescent="0.35">
      <c r="A640" s="5">
        <v>10001435</v>
      </c>
      <c r="B640" s="5" t="s">
        <v>1295</v>
      </c>
      <c r="C640" s="5" t="s">
        <v>1318</v>
      </c>
      <c r="D640" s="61">
        <v>46094</v>
      </c>
      <c r="E640" s="61">
        <v>46094</v>
      </c>
      <c r="F640" s="5" t="s">
        <v>1297</v>
      </c>
      <c r="G640" s="5" t="s">
        <v>1679</v>
      </c>
      <c r="H640" s="5" t="s">
        <v>1680</v>
      </c>
      <c r="I640" s="60">
        <v>0</v>
      </c>
      <c r="J640" s="5" t="s">
        <v>1300</v>
      </c>
      <c r="K640" s="58">
        <v>0</v>
      </c>
      <c r="L640" s="5" t="s">
        <v>1462</v>
      </c>
      <c r="M640" s="5" t="s">
        <v>1310</v>
      </c>
      <c r="N640" t="str">
        <f>_xlfn.XLOOKUP(A640,Monitoring!A:A,Monitoring!D:D)</f>
        <v>MALLS</v>
      </c>
    </row>
    <row r="641" spans="1:14" x14ac:dyDescent="0.35">
      <c r="A641" s="5">
        <v>10001435</v>
      </c>
      <c r="B641" s="5" t="s">
        <v>1295</v>
      </c>
      <c r="C641" s="5" t="s">
        <v>1318</v>
      </c>
      <c r="D641" s="61">
        <v>46155</v>
      </c>
      <c r="E641" s="61">
        <v>46160</v>
      </c>
      <c r="F641" s="5" t="s">
        <v>1297</v>
      </c>
      <c r="G641" s="5" t="s">
        <v>2232</v>
      </c>
      <c r="H641" s="5" t="s">
        <v>2234</v>
      </c>
      <c r="I641" s="60">
        <v>0</v>
      </c>
      <c r="J641" s="5" t="s">
        <v>1300</v>
      </c>
      <c r="K641" s="58">
        <v>0</v>
      </c>
      <c r="L641" s="5" t="s">
        <v>1462</v>
      </c>
      <c r="M641" s="5" t="s">
        <v>1555</v>
      </c>
      <c r="N641" t="str">
        <f>_xlfn.XLOOKUP(A641,Monitoring!A:A,Monitoring!D:D)</f>
        <v>MALLS</v>
      </c>
    </row>
    <row r="642" spans="1:14" x14ac:dyDescent="0.35">
      <c r="A642" s="5">
        <v>10001435</v>
      </c>
      <c r="B642" s="5" t="s">
        <v>1295</v>
      </c>
      <c r="C642" s="5" t="s">
        <v>1318</v>
      </c>
      <c r="D642" s="61">
        <v>46162</v>
      </c>
      <c r="E642" s="61">
        <v>46203</v>
      </c>
      <c r="F642" s="5" t="s">
        <v>1297</v>
      </c>
      <c r="G642" s="5" t="s">
        <v>2402</v>
      </c>
      <c r="H642" s="5" t="s">
        <v>2403</v>
      </c>
      <c r="I642" s="59">
        <v>0.45</v>
      </c>
      <c r="J642" s="5" t="s">
        <v>1300</v>
      </c>
      <c r="K642" s="58">
        <v>522321.43</v>
      </c>
      <c r="L642" s="5" t="s">
        <v>1370</v>
      </c>
      <c r="M642" s="5" t="s">
        <v>1555</v>
      </c>
      <c r="N642" t="str">
        <f>_xlfn.XLOOKUP(A642,Monitoring!A:A,Monitoring!D:D)</f>
        <v>MALLS</v>
      </c>
    </row>
    <row r="643" spans="1:14" x14ac:dyDescent="0.35">
      <c r="A643" s="5">
        <v>10001435</v>
      </c>
      <c r="B643" s="5" t="s">
        <v>1295</v>
      </c>
      <c r="C643" s="5" t="s">
        <v>1318</v>
      </c>
      <c r="D643" s="61">
        <v>46237</v>
      </c>
      <c r="E643" s="61">
        <v>46238</v>
      </c>
      <c r="F643" s="5" t="s">
        <v>1297</v>
      </c>
      <c r="G643" s="5" t="s">
        <v>3038</v>
      </c>
      <c r="H643" s="5" t="s">
        <v>3039</v>
      </c>
      <c r="I643" s="60">
        <v>1</v>
      </c>
      <c r="J643" s="5" t="s">
        <v>1300</v>
      </c>
      <c r="K643" s="58">
        <v>178571.43</v>
      </c>
      <c r="L643" s="5" t="s">
        <v>1370</v>
      </c>
      <c r="M643" s="5" t="s">
        <v>1344</v>
      </c>
      <c r="N643" t="str">
        <f>_xlfn.XLOOKUP(A643,Monitoring!A:A,Monitoring!D:D)</f>
        <v>MALLS</v>
      </c>
    </row>
    <row r="644" spans="1:14" x14ac:dyDescent="0.35">
      <c r="A644" s="5">
        <v>10001435</v>
      </c>
      <c r="B644" s="5" t="s">
        <v>1295</v>
      </c>
      <c r="C644" s="5" t="s">
        <v>1318</v>
      </c>
      <c r="D644" s="61">
        <v>46266</v>
      </c>
      <c r="E644" s="61">
        <v>46254</v>
      </c>
      <c r="F644" s="5" t="s">
        <v>1297</v>
      </c>
      <c r="G644" s="5" t="s">
        <v>3362</v>
      </c>
      <c r="H644" s="5" t="s">
        <v>3363</v>
      </c>
      <c r="I644" s="60">
        <v>1</v>
      </c>
      <c r="J644" s="5" t="s">
        <v>1300</v>
      </c>
      <c r="K644" s="58">
        <v>102008.93</v>
      </c>
      <c r="L644" s="5" t="s">
        <v>3364</v>
      </c>
      <c r="M644" s="5" t="s">
        <v>1344</v>
      </c>
      <c r="N644" t="str">
        <f>_xlfn.XLOOKUP(A644,Monitoring!A:A,Monitoring!D:D)</f>
        <v>MALLS</v>
      </c>
    </row>
    <row r="645" spans="1:14" x14ac:dyDescent="0.35">
      <c r="A645" s="5">
        <v>10001440</v>
      </c>
      <c r="B645" s="5" t="s">
        <v>1295</v>
      </c>
      <c r="C645" s="5" t="s">
        <v>1296</v>
      </c>
      <c r="D645" s="61">
        <v>46125</v>
      </c>
      <c r="E645" s="61">
        <v>46139</v>
      </c>
      <c r="F645" s="5" t="s">
        <v>1364</v>
      </c>
      <c r="G645" s="5" t="s">
        <v>2030</v>
      </c>
      <c r="H645" s="5" t="s">
        <v>2031</v>
      </c>
      <c r="I645" s="60">
        <v>0</v>
      </c>
      <c r="J645" s="5" t="s">
        <v>1300</v>
      </c>
      <c r="K645" s="58">
        <v>0</v>
      </c>
      <c r="L645" s="5" t="s">
        <v>993</v>
      </c>
      <c r="M645" s="5" t="s">
        <v>1330</v>
      </c>
      <c r="N645" t="str">
        <f>_xlfn.XLOOKUP(A645,Monitoring!A:A,Monitoring!D:D)</f>
        <v>ESTATES</v>
      </c>
    </row>
    <row r="646" spans="1:14" x14ac:dyDescent="0.35">
      <c r="A646" s="5">
        <v>10001440</v>
      </c>
      <c r="B646" s="5" t="s">
        <v>1295</v>
      </c>
      <c r="C646" s="5" t="s">
        <v>1296</v>
      </c>
      <c r="D646" s="61">
        <v>46149</v>
      </c>
      <c r="E646" s="61">
        <v>46179</v>
      </c>
      <c r="F646" s="5" t="s">
        <v>1297</v>
      </c>
      <c r="G646" s="5" t="s">
        <v>2404</v>
      </c>
      <c r="H646" s="5" t="s">
        <v>2405</v>
      </c>
      <c r="I646" s="60">
        <v>0</v>
      </c>
      <c r="J646" s="5" t="s">
        <v>1300</v>
      </c>
      <c r="K646" s="58">
        <v>0</v>
      </c>
      <c r="L646" s="5" t="s">
        <v>2406</v>
      </c>
      <c r="M646" s="5" t="s">
        <v>1306</v>
      </c>
      <c r="N646" t="str">
        <f>_xlfn.XLOOKUP(A646,Monitoring!A:A,Monitoring!D:D)</f>
        <v>ESTATES</v>
      </c>
    </row>
    <row r="647" spans="1:14" x14ac:dyDescent="0.35">
      <c r="A647" s="5">
        <v>10001441</v>
      </c>
      <c r="B647" s="5" t="s">
        <v>1295</v>
      </c>
      <c r="C647" s="5" t="s">
        <v>1296</v>
      </c>
      <c r="D647" s="61">
        <v>46203</v>
      </c>
      <c r="E647" s="61">
        <v>46213</v>
      </c>
      <c r="F647" s="5" t="s">
        <v>1364</v>
      </c>
      <c r="G647" s="5" t="s">
        <v>2792</v>
      </c>
      <c r="H647" s="5" t="s">
        <v>2793</v>
      </c>
      <c r="I647" s="60">
        <v>0</v>
      </c>
      <c r="J647" s="5" t="s">
        <v>1300</v>
      </c>
      <c r="K647" s="58">
        <v>0</v>
      </c>
      <c r="L647" s="5" t="s">
        <v>993</v>
      </c>
      <c r="M647" s="5" t="s">
        <v>1408</v>
      </c>
      <c r="N647" t="str">
        <f>_xlfn.XLOOKUP(A647,Monitoring!A:A,Monitoring!D:D)</f>
        <v>ESTATES</v>
      </c>
    </row>
    <row r="648" spans="1:14" x14ac:dyDescent="0.35">
      <c r="A648" s="5">
        <v>10001441</v>
      </c>
      <c r="B648" s="5" t="s">
        <v>1295</v>
      </c>
      <c r="C648" s="5" t="s">
        <v>1296</v>
      </c>
      <c r="D648" s="61">
        <v>46208</v>
      </c>
      <c r="E648" s="61">
        <v>46213</v>
      </c>
      <c r="F648" s="5" t="s">
        <v>1297</v>
      </c>
      <c r="G648" s="5" t="s">
        <v>2794</v>
      </c>
      <c r="H648" s="5" t="s">
        <v>2793</v>
      </c>
      <c r="I648" s="60">
        <v>0</v>
      </c>
      <c r="J648" s="5" t="s">
        <v>1300</v>
      </c>
      <c r="K648" s="58">
        <v>0</v>
      </c>
      <c r="L648" s="5" t="s">
        <v>2406</v>
      </c>
      <c r="M648" s="5" t="s">
        <v>1326</v>
      </c>
      <c r="N648" t="str">
        <f>_xlfn.XLOOKUP(A648,Monitoring!A:A,Monitoring!D:D)</f>
        <v>ESTATES</v>
      </c>
    </row>
    <row r="649" spans="1:14" x14ac:dyDescent="0.35">
      <c r="A649" s="5">
        <v>10001443</v>
      </c>
      <c r="B649" s="5" t="s">
        <v>1295</v>
      </c>
      <c r="C649" s="5" t="s">
        <v>1296</v>
      </c>
      <c r="D649" s="61">
        <v>46083</v>
      </c>
      <c r="E649" s="61">
        <v>46097</v>
      </c>
      <c r="F649" s="5" t="s">
        <v>1364</v>
      </c>
      <c r="G649" s="5" t="s">
        <v>1681</v>
      </c>
      <c r="H649" s="5" t="s">
        <v>1682</v>
      </c>
      <c r="I649" s="60">
        <v>0</v>
      </c>
      <c r="J649" s="5" t="s">
        <v>1300</v>
      </c>
      <c r="K649" s="58">
        <v>0</v>
      </c>
      <c r="L649" s="5" t="s">
        <v>993</v>
      </c>
      <c r="M649" s="5" t="s">
        <v>1330</v>
      </c>
      <c r="N649" t="str">
        <f>_xlfn.XLOOKUP(A649,Monitoring!A:A,Monitoring!D:D)</f>
        <v>ESTATES</v>
      </c>
    </row>
    <row r="650" spans="1:14" x14ac:dyDescent="0.35">
      <c r="A650" s="5">
        <v>10001443</v>
      </c>
      <c r="B650" s="5" t="s">
        <v>1295</v>
      </c>
      <c r="C650" s="5" t="s">
        <v>1296</v>
      </c>
      <c r="D650" s="61">
        <v>46107</v>
      </c>
      <c r="E650" s="61">
        <v>46097</v>
      </c>
      <c r="F650" s="5" t="s">
        <v>1297</v>
      </c>
      <c r="G650" s="5" t="s">
        <v>1683</v>
      </c>
      <c r="H650" s="5" t="s">
        <v>1684</v>
      </c>
      <c r="I650" s="60">
        <v>0</v>
      </c>
      <c r="J650" s="5" t="s">
        <v>1300</v>
      </c>
      <c r="K650" s="58">
        <v>0</v>
      </c>
      <c r="L650" s="5" t="s">
        <v>1522</v>
      </c>
      <c r="M650" s="5" t="s">
        <v>1339</v>
      </c>
      <c r="N650" t="str">
        <f>_xlfn.XLOOKUP(A650,Monitoring!A:A,Monitoring!D:D)</f>
        <v>ESTATES</v>
      </c>
    </row>
    <row r="651" spans="1:14" x14ac:dyDescent="0.35">
      <c r="A651" s="5">
        <v>10001444</v>
      </c>
      <c r="B651" s="5" t="s">
        <v>1295</v>
      </c>
      <c r="C651" s="5" t="s">
        <v>1318</v>
      </c>
      <c r="D651" s="61">
        <v>46087</v>
      </c>
      <c r="E651" s="61">
        <v>46104</v>
      </c>
      <c r="F651" s="5" t="s">
        <v>1364</v>
      </c>
      <c r="G651" s="5" t="s">
        <v>1685</v>
      </c>
      <c r="H651" s="5" t="s">
        <v>1686</v>
      </c>
      <c r="I651" s="60">
        <v>0</v>
      </c>
      <c r="J651" s="5" t="s">
        <v>1300</v>
      </c>
      <c r="K651" s="58">
        <v>0</v>
      </c>
      <c r="L651" s="5" t="s">
        <v>993</v>
      </c>
      <c r="M651" s="5" t="s">
        <v>1344</v>
      </c>
      <c r="N651" t="str">
        <f>_xlfn.XLOOKUP(A651,Monitoring!A:A,Monitoring!D:D)</f>
        <v>OFFICES</v>
      </c>
    </row>
    <row r="652" spans="1:14" x14ac:dyDescent="0.35">
      <c r="A652" s="5">
        <v>10001444</v>
      </c>
      <c r="B652" s="5" t="s">
        <v>1295</v>
      </c>
      <c r="C652" s="5" t="s">
        <v>1318</v>
      </c>
      <c r="D652" s="61">
        <v>46087</v>
      </c>
      <c r="E652" s="61">
        <v>46104</v>
      </c>
      <c r="F652" s="5" t="s">
        <v>1364</v>
      </c>
      <c r="G652" s="5" t="s">
        <v>1687</v>
      </c>
      <c r="H652" s="5" t="s">
        <v>1686</v>
      </c>
      <c r="I652" s="60">
        <v>0</v>
      </c>
      <c r="J652" s="5" t="s">
        <v>1300</v>
      </c>
      <c r="K652" s="58">
        <v>0</v>
      </c>
      <c r="L652" s="5" t="s">
        <v>993</v>
      </c>
      <c r="M652" s="5" t="s">
        <v>1344</v>
      </c>
      <c r="N652" t="str">
        <f>_xlfn.XLOOKUP(A652,Monitoring!A:A,Monitoring!D:D)</f>
        <v>OFFICES</v>
      </c>
    </row>
    <row r="653" spans="1:14" x14ac:dyDescent="0.35">
      <c r="A653" s="5">
        <v>10001444</v>
      </c>
      <c r="B653" s="5" t="s">
        <v>1295</v>
      </c>
      <c r="C653" s="5" t="s">
        <v>1318</v>
      </c>
      <c r="D653" s="61">
        <v>46104</v>
      </c>
      <c r="E653" s="61">
        <v>46104</v>
      </c>
      <c r="F653" s="5" t="s">
        <v>1297</v>
      </c>
      <c r="G653" s="5" t="s">
        <v>1688</v>
      </c>
      <c r="H653" s="5" t="s">
        <v>1689</v>
      </c>
      <c r="I653" s="60">
        <v>0</v>
      </c>
      <c r="J653" s="5" t="s">
        <v>1300</v>
      </c>
      <c r="K653" s="58">
        <v>0</v>
      </c>
      <c r="L653" s="5" t="s">
        <v>1531</v>
      </c>
      <c r="M653" s="5" t="s">
        <v>1339</v>
      </c>
      <c r="N653" t="str">
        <f>_xlfn.XLOOKUP(A653,Monitoring!A:A,Monitoring!D:D)</f>
        <v>OFFICES</v>
      </c>
    </row>
    <row r="654" spans="1:14" x14ac:dyDescent="0.35">
      <c r="A654" s="5">
        <v>10001444</v>
      </c>
      <c r="B654" s="5" t="s">
        <v>1295</v>
      </c>
      <c r="C654" s="5" t="s">
        <v>1318</v>
      </c>
      <c r="D654" s="61">
        <v>46104</v>
      </c>
      <c r="E654" s="61">
        <v>46104</v>
      </c>
      <c r="F654" s="5" t="s">
        <v>1297</v>
      </c>
      <c r="G654" s="5" t="s">
        <v>1690</v>
      </c>
      <c r="H654" s="5" t="s">
        <v>1691</v>
      </c>
      <c r="I654" s="60">
        <v>0</v>
      </c>
      <c r="J654" s="5" t="s">
        <v>1300</v>
      </c>
      <c r="K654" s="58">
        <v>0</v>
      </c>
      <c r="L654" s="5" t="s">
        <v>1531</v>
      </c>
      <c r="M654" s="5" t="s">
        <v>1339</v>
      </c>
      <c r="N654" t="str">
        <f>_xlfn.XLOOKUP(A654,Monitoring!A:A,Monitoring!D:D)</f>
        <v>OFFICES</v>
      </c>
    </row>
    <row r="655" spans="1:14" x14ac:dyDescent="0.35">
      <c r="A655" s="5">
        <v>10001445</v>
      </c>
      <c r="B655" s="5" t="s">
        <v>1295</v>
      </c>
      <c r="C655" s="5" t="s">
        <v>1318</v>
      </c>
      <c r="D655" s="61">
        <v>46092</v>
      </c>
      <c r="E655" s="61">
        <v>46106</v>
      </c>
      <c r="F655" s="5" t="s">
        <v>1364</v>
      </c>
      <c r="G655" s="5" t="s">
        <v>1692</v>
      </c>
      <c r="H655" s="5" t="s">
        <v>1693</v>
      </c>
      <c r="I655" s="60">
        <v>1</v>
      </c>
      <c r="J655" s="5" t="s">
        <v>1300</v>
      </c>
      <c r="K655" s="58">
        <v>2500000</v>
      </c>
      <c r="L655" s="5" t="s">
        <v>993</v>
      </c>
      <c r="M655" s="5" t="s">
        <v>1377</v>
      </c>
      <c r="N655" t="str">
        <f>_xlfn.XLOOKUP(A655,Monitoring!A:A,Monitoring!D:D)</f>
        <v>MALLS</v>
      </c>
    </row>
    <row r="656" spans="1:14" x14ac:dyDescent="0.35">
      <c r="A656" s="5">
        <v>10001446</v>
      </c>
      <c r="B656" s="5" t="s">
        <v>1295</v>
      </c>
      <c r="C656" s="5" t="s">
        <v>1318</v>
      </c>
      <c r="D656" s="61">
        <v>46093</v>
      </c>
      <c r="E656" s="61">
        <v>46107</v>
      </c>
      <c r="F656" s="5" t="s">
        <v>1364</v>
      </c>
      <c r="G656" s="5" t="s">
        <v>1694</v>
      </c>
      <c r="H656" s="5" t="s">
        <v>1695</v>
      </c>
      <c r="I656" s="60">
        <v>0</v>
      </c>
      <c r="J656" s="5" t="s">
        <v>1300</v>
      </c>
      <c r="K656" s="58">
        <v>0</v>
      </c>
      <c r="L656" s="5" t="s">
        <v>993</v>
      </c>
      <c r="M656" s="5" t="s">
        <v>1330</v>
      </c>
      <c r="N656" t="str">
        <f>_xlfn.XLOOKUP(A656,Monitoring!A:A,Monitoring!D:D)</f>
        <v>MALLS</v>
      </c>
    </row>
    <row r="657" spans="1:14" x14ac:dyDescent="0.35">
      <c r="A657" s="5">
        <v>10001446</v>
      </c>
      <c r="B657" s="5" t="s">
        <v>1295</v>
      </c>
      <c r="C657" s="5" t="s">
        <v>1318</v>
      </c>
      <c r="D657" s="61">
        <v>46093</v>
      </c>
      <c r="E657" s="61">
        <v>46203</v>
      </c>
      <c r="F657" s="5" t="s">
        <v>1297</v>
      </c>
      <c r="G657" s="5" t="s">
        <v>1696</v>
      </c>
      <c r="H657" s="5" t="s">
        <v>1697</v>
      </c>
      <c r="I657" s="60">
        <v>1</v>
      </c>
      <c r="J657" s="5" t="s">
        <v>1300</v>
      </c>
      <c r="K657" s="58">
        <v>2500000</v>
      </c>
      <c r="L657" s="5" t="s">
        <v>1698</v>
      </c>
      <c r="M657" s="5" t="s">
        <v>1310</v>
      </c>
      <c r="N657" t="str">
        <f>_xlfn.XLOOKUP(A657,Monitoring!A:A,Monitoring!D:D)</f>
        <v>MALLS</v>
      </c>
    </row>
    <row r="658" spans="1:14" x14ac:dyDescent="0.35">
      <c r="A658" s="5">
        <v>10001447</v>
      </c>
      <c r="B658" s="5" t="s">
        <v>1295</v>
      </c>
      <c r="C658" s="5" t="s">
        <v>1318</v>
      </c>
      <c r="D658" s="61">
        <v>46154</v>
      </c>
      <c r="E658" s="61">
        <v>46172</v>
      </c>
      <c r="F658" s="5" t="s">
        <v>1364</v>
      </c>
      <c r="G658" s="5" t="s">
        <v>2407</v>
      </c>
      <c r="H658" s="5" t="s">
        <v>2408</v>
      </c>
      <c r="I658" s="60">
        <v>0</v>
      </c>
      <c r="J658" s="5" t="s">
        <v>1300</v>
      </c>
      <c r="K658" s="58">
        <v>0</v>
      </c>
      <c r="L658" s="5" t="s">
        <v>993</v>
      </c>
      <c r="M658" s="5" t="s">
        <v>1330</v>
      </c>
      <c r="N658" t="str">
        <f>_xlfn.XLOOKUP(A658,Monitoring!A:A,Monitoring!D:D)</f>
        <v>OFFICES</v>
      </c>
    </row>
    <row r="659" spans="1:14" x14ac:dyDescent="0.35">
      <c r="A659" s="5">
        <v>10001447</v>
      </c>
      <c r="B659" s="5" t="s">
        <v>1295</v>
      </c>
      <c r="C659" s="5" t="s">
        <v>1318</v>
      </c>
      <c r="D659" s="61">
        <v>46177</v>
      </c>
      <c r="E659" s="61">
        <v>46203</v>
      </c>
      <c r="F659" s="5" t="s">
        <v>1297</v>
      </c>
      <c r="G659" s="5" t="s">
        <v>2409</v>
      </c>
      <c r="H659" s="5" t="s">
        <v>2408</v>
      </c>
      <c r="I659" s="60">
        <v>0</v>
      </c>
      <c r="J659" s="5" t="s">
        <v>1300</v>
      </c>
      <c r="K659" s="58">
        <v>0</v>
      </c>
      <c r="L659" s="5" t="s">
        <v>1531</v>
      </c>
      <c r="M659" s="5" t="s">
        <v>1339</v>
      </c>
      <c r="N659" t="str">
        <f>_xlfn.XLOOKUP(A659,Monitoring!A:A,Monitoring!D:D)</f>
        <v>OFFICES</v>
      </c>
    </row>
    <row r="660" spans="1:14" x14ac:dyDescent="0.35">
      <c r="A660" s="5">
        <v>10001448</v>
      </c>
      <c r="B660" s="5" t="s">
        <v>1295</v>
      </c>
      <c r="C660" s="5" t="s">
        <v>1318</v>
      </c>
      <c r="D660" s="61">
        <v>46136</v>
      </c>
      <c r="E660" s="61">
        <v>46161</v>
      </c>
      <c r="F660" s="5" t="s">
        <v>1364</v>
      </c>
      <c r="G660" s="5" t="s">
        <v>2410</v>
      </c>
      <c r="H660" s="5" t="s">
        <v>2411</v>
      </c>
      <c r="I660" s="60">
        <v>0</v>
      </c>
      <c r="J660" s="5" t="s">
        <v>2412</v>
      </c>
      <c r="K660" s="58">
        <v>0</v>
      </c>
      <c r="L660" s="5" t="s">
        <v>993</v>
      </c>
      <c r="M660" s="5" t="s">
        <v>1344</v>
      </c>
      <c r="N660" t="str">
        <f>_xlfn.XLOOKUP(A660,Monitoring!A:A,Monitoring!D:D)</f>
        <v>MALLS</v>
      </c>
    </row>
    <row r="661" spans="1:14" x14ac:dyDescent="0.35">
      <c r="A661" s="5">
        <v>10001448</v>
      </c>
      <c r="B661" s="5" t="s">
        <v>1295</v>
      </c>
      <c r="C661" s="5" t="s">
        <v>1318</v>
      </c>
      <c r="D661" s="61">
        <v>46136</v>
      </c>
      <c r="E661" s="61">
        <v>46161</v>
      </c>
      <c r="F661" s="5" t="s">
        <v>1364</v>
      </c>
      <c r="G661" s="5" t="s">
        <v>2410</v>
      </c>
      <c r="H661" s="5" t="s">
        <v>2413</v>
      </c>
      <c r="I661" s="60">
        <v>0</v>
      </c>
      <c r="J661" s="5" t="s">
        <v>2414</v>
      </c>
      <c r="K661" s="58">
        <v>0</v>
      </c>
      <c r="L661" s="5" t="s">
        <v>993</v>
      </c>
      <c r="M661" s="5" t="s">
        <v>1344</v>
      </c>
      <c r="N661" t="str">
        <f>_xlfn.XLOOKUP(A661,Monitoring!A:A,Monitoring!D:D)</f>
        <v>MALLS</v>
      </c>
    </row>
    <row r="662" spans="1:14" x14ac:dyDescent="0.35">
      <c r="A662" s="5">
        <v>10001448</v>
      </c>
      <c r="B662" s="5" t="s">
        <v>1295</v>
      </c>
      <c r="C662" s="5" t="s">
        <v>1318</v>
      </c>
      <c r="D662" s="61">
        <v>46136</v>
      </c>
      <c r="E662" s="61">
        <v>46161</v>
      </c>
      <c r="F662" s="5" t="s">
        <v>1364</v>
      </c>
      <c r="G662" s="5" t="s">
        <v>2410</v>
      </c>
      <c r="H662" s="5" t="s">
        <v>2415</v>
      </c>
      <c r="I662" s="60">
        <v>0</v>
      </c>
      <c r="J662" s="5" t="s">
        <v>2414</v>
      </c>
      <c r="K662" s="58">
        <v>0</v>
      </c>
      <c r="L662" s="5" t="s">
        <v>993</v>
      </c>
      <c r="M662" s="5" t="s">
        <v>1344</v>
      </c>
      <c r="N662" t="str">
        <f>_xlfn.XLOOKUP(A662,Monitoring!A:A,Monitoring!D:D)</f>
        <v>MALLS</v>
      </c>
    </row>
    <row r="663" spans="1:14" x14ac:dyDescent="0.35">
      <c r="A663" s="5">
        <v>10001448</v>
      </c>
      <c r="B663" s="5" t="s">
        <v>1295</v>
      </c>
      <c r="C663" s="5" t="s">
        <v>1318</v>
      </c>
      <c r="D663" s="61">
        <v>46136</v>
      </c>
      <c r="E663" s="61">
        <v>46161</v>
      </c>
      <c r="F663" s="5" t="s">
        <v>1364</v>
      </c>
      <c r="G663" s="5" t="s">
        <v>2410</v>
      </c>
      <c r="H663" s="5" t="s">
        <v>2416</v>
      </c>
      <c r="I663" s="60">
        <v>0</v>
      </c>
      <c r="J663" s="5" t="s">
        <v>1425</v>
      </c>
      <c r="K663" s="58">
        <v>0</v>
      </c>
      <c r="L663" s="5" t="s">
        <v>993</v>
      </c>
      <c r="M663" s="5" t="s">
        <v>1344</v>
      </c>
      <c r="N663" t="str">
        <f>_xlfn.XLOOKUP(A663,Monitoring!A:A,Monitoring!D:D)</f>
        <v>MALLS</v>
      </c>
    </row>
    <row r="664" spans="1:14" x14ac:dyDescent="0.35">
      <c r="A664" s="5">
        <v>10001448</v>
      </c>
      <c r="B664" s="5" t="s">
        <v>1295</v>
      </c>
      <c r="C664" s="5" t="s">
        <v>1318</v>
      </c>
      <c r="D664" s="61">
        <v>46136</v>
      </c>
      <c r="E664" s="61">
        <v>46161</v>
      </c>
      <c r="F664" s="5" t="s">
        <v>1364</v>
      </c>
      <c r="G664" s="5" t="s">
        <v>2410</v>
      </c>
      <c r="H664" s="5" t="s">
        <v>2417</v>
      </c>
      <c r="I664" s="60">
        <v>0</v>
      </c>
      <c r="J664" s="5" t="s">
        <v>1300</v>
      </c>
      <c r="K664" s="58">
        <v>0</v>
      </c>
      <c r="L664" s="5" t="s">
        <v>993</v>
      </c>
      <c r="M664" s="5" t="s">
        <v>1344</v>
      </c>
      <c r="N664" t="str">
        <f>_xlfn.XLOOKUP(A664,Monitoring!A:A,Monitoring!D:D)</f>
        <v>MALLS</v>
      </c>
    </row>
    <row r="665" spans="1:14" x14ac:dyDescent="0.35">
      <c r="A665" s="5">
        <v>10001448</v>
      </c>
      <c r="B665" s="5" t="s">
        <v>1295</v>
      </c>
      <c r="C665" s="5" t="s">
        <v>1318</v>
      </c>
      <c r="D665" s="61">
        <v>46141</v>
      </c>
      <c r="E665" s="61">
        <v>46155</v>
      </c>
      <c r="F665" s="5" t="s">
        <v>1364</v>
      </c>
      <c r="G665" s="5" t="s">
        <v>2112</v>
      </c>
      <c r="H665" s="5" t="s">
        <v>2113</v>
      </c>
      <c r="I665" s="60">
        <v>1</v>
      </c>
      <c r="J665" s="5" t="s">
        <v>1300</v>
      </c>
      <c r="K665" s="58">
        <v>891683.63</v>
      </c>
      <c r="L665" s="5" t="s">
        <v>993</v>
      </c>
      <c r="M665" s="5" t="s">
        <v>1377</v>
      </c>
      <c r="N665" t="str">
        <f>_xlfn.XLOOKUP(A665,Monitoring!A:A,Monitoring!D:D)</f>
        <v>MALLS</v>
      </c>
    </row>
    <row r="666" spans="1:14" x14ac:dyDescent="0.35">
      <c r="A666" s="5">
        <v>10001448</v>
      </c>
      <c r="B666" s="5" t="s">
        <v>1295</v>
      </c>
      <c r="C666" s="5" t="s">
        <v>1318</v>
      </c>
      <c r="D666" s="61">
        <v>46154</v>
      </c>
      <c r="E666" s="61">
        <v>46168</v>
      </c>
      <c r="F666" s="5" t="s">
        <v>1364</v>
      </c>
      <c r="G666" s="5" t="s">
        <v>2418</v>
      </c>
      <c r="H666" s="5" t="s">
        <v>2419</v>
      </c>
      <c r="I666" s="60">
        <v>1</v>
      </c>
      <c r="J666" s="5" t="s">
        <v>1300</v>
      </c>
      <c r="K666" s="58">
        <v>224442.86</v>
      </c>
      <c r="L666" s="5" t="s">
        <v>993</v>
      </c>
      <c r="M666" s="5" t="s">
        <v>1377</v>
      </c>
      <c r="N666" t="str">
        <f>_xlfn.XLOOKUP(A666,Monitoring!A:A,Monitoring!D:D)</f>
        <v>MALLS</v>
      </c>
    </row>
    <row r="667" spans="1:14" x14ac:dyDescent="0.35">
      <c r="A667" s="5">
        <v>10001448</v>
      </c>
      <c r="B667" s="5" t="s">
        <v>1295</v>
      </c>
      <c r="C667" s="5" t="s">
        <v>1318</v>
      </c>
      <c r="D667" s="61">
        <v>46154</v>
      </c>
      <c r="E667" s="61">
        <v>46168</v>
      </c>
      <c r="F667" s="5" t="s">
        <v>1364</v>
      </c>
      <c r="G667" s="5" t="s">
        <v>2420</v>
      </c>
      <c r="H667" s="5" t="s">
        <v>2421</v>
      </c>
      <c r="I667" s="60">
        <v>0</v>
      </c>
      <c r="J667" s="5" t="s">
        <v>2422</v>
      </c>
      <c r="K667" s="58">
        <v>0</v>
      </c>
      <c r="L667" s="5" t="s">
        <v>993</v>
      </c>
      <c r="M667" s="5" t="s">
        <v>1344</v>
      </c>
      <c r="N667" t="str">
        <f>_xlfn.XLOOKUP(A667,Monitoring!A:A,Monitoring!D:D)</f>
        <v>MALLS</v>
      </c>
    </row>
    <row r="668" spans="1:14" x14ac:dyDescent="0.35">
      <c r="A668" s="5">
        <v>10001448</v>
      </c>
      <c r="B668" s="5" t="s">
        <v>1295</v>
      </c>
      <c r="C668" s="5" t="s">
        <v>1318</v>
      </c>
      <c r="D668" s="61">
        <v>46154</v>
      </c>
      <c r="E668" s="61">
        <v>46168</v>
      </c>
      <c r="F668" s="5" t="s">
        <v>1364</v>
      </c>
      <c r="G668" s="5" t="s">
        <v>2420</v>
      </c>
      <c r="H668" s="5" t="s">
        <v>2245</v>
      </c>
      <c r="I668" s="60">
        <v>0</v>
      </c>
      <c r="J668" s="5" t="s">
        <v>2422</v>
      </c>
      <c r="K668" s="58">
        <v>0</v>
      </c>
      <c r="L668" s="5" t="s">
        <v>993</v>
      </c>
      <c r="M668" s="5" t="s">
        <v>1344</v>
      </c>
      <c r="N668" t="str">
        <f>_xlfn.XLOOKUP(A668,Monitoring!A:A,Monitoring!D:D)</f>
        <v>MALLS</v>
      </c>
    </row>
    <row r="669" spans="1:14" x14ac:dyDescent="0.35">
      <c r="A669" s="5">
        <v>10001448</v>
      </c>
      <c r="B669" s="5" t="s">
        <v>1295</v>
      </c>
      <c r="C669" s="5" t="s">
        <v>1318</v>
      </c>
      <c r="D669" s="61">
        <v>46154</v>
      </c>
      <c r="E669" s="61">
        <v>46168</v>
      </c>
      <c r="F669" s="5" t="s">
        <v>1364</v>
      </c>
      <c r="G669" s="5" t="s">
        <v>2420</v>
      </c>
      <c r="H669" s="5" t="s">
        <v>2246</v>
      </c>
      <c r="I669" s="60">
        <v>0</v>
      </c>
      <c r="J669" s="5" t="s">
        <v>2422</v>
      </c>
      <c r="K669" s="58">
        <v>0</v>
      </c>
      <c r="L669" s="5" t="s">
        <v>993</v>
      </c>
      <c r="M669" s="5" t="s">
        <v>1344</v>
      </c>
      <c r="N669" t="str">
        <f>_xlfn.XLOOKUP(A669,Monitoring!A:A,Monitoring!D:D)</f>
        <v>MALLS</v>
      </c>
    </row>
    <row r="670" spans="1:14" x14ac:dyDescent="0.35">
      <c r="A670" s="5">
        <v>10001448</v>
      </c>
      <c r="B670" s="5" t="s">
        <v>1295</v>
      </c>
      <c r="C670" s="5" t="s">
        <v>1318</v>
      </c>
      <c r="D670" s="61">
        <v>46154</v>
      </c>
      <c r="E670" s="61">
        <v>46168</v>
      </c>
      <c r="F670" s="5" t="s">
        <v>1364</v>
      </c>
      <c r="G670" s="5" t="s">
        <v>2420</v>
      </c>
      <c r="H670" s="5" t="s">
        <v>2247</v>
      </c>
      <c r="I670" s="60">
        <v>0</v>
      </c>
      <c r="J670" s="5" t="s">
        <v>2422</v>
      </c>
      <c r="K670" s="58">
        <v>0</v>
      </c>
      <c r="L670" s="5" t="s">
        <v>993</v>
      </c>
      <c r="M670" s="5" t="s">
        <v>1344</v>
      </c>
      <c r="N670" t="str">
        <f>_xlfn.XLOOKUP(A670,Monitoring!A:A,Monitoring!D:D)</f>
        <v>MALLS</v>
      </c>
    </row>
    <row r="671" spans="1:14" x14ac:dyDescent="0.35">
      <c r="A671" s="5">
        <v>10001448</v>
      </c>
      <c r="B671" s="5" t="s">
        <v>1295</v>
      </c>
      <c r="C671" s="5" t="s">
        <v>1318</v>
      </c>
      <c r="D671" s="61">
        <v>46154</v>
      </c>
      <c r="E671" s="61">
        <v>46168</v>
      </c>
      <c r="F671" s="5" t="s">
        <v>1364</v>
      </c>
      <c r="G671" s="5" t="s">
        <v>2423</v>
      </c>
      <c r="H671" s="5" t="s">
        <v>2424</v>
      </c>
      <c r="I671" s="60">
        <v>0</v>
      </c>
      <c r="J671" s="5" t="s">
        <v>1425</v>
      </c>
      <c r="K671" s="58">
        <v>0</v>
      </c>
      <c r="L671" s="5" t="s">
        <v>993</v>
      </c>
      <c r="M671" s="5" t="s">
        <v>1377</v>
      </c>
      <c r="N671" t="str">
        <f>_xlfn.XLOOKUP(A671,Monitoring!A:A,Monitoring!D:D)</f>
        <v>MALLS</v>
      </c>
    </row>
    <row r="672" spans="1:14" x14ac:dyDescent="0.35">
      <c r="A672" s="5">
        <v>10001448</v>
      </c>
      <c r="B672" s="5" t="s">
        <v>1295</v>
      </c>
      <c r="C672" s="5" t="s">
        <v>1318</v>
      </c>
      <c r="D672" s="61">
        <v>46154</v>
      </c>
      <c r="E672" s="61">
        <v>46168</v>
      </c>
      <c r="F672" s="5" t="s">
        <v>1364</v>
      </c>
      <c r="G672" s="5" t="s">
        <v>2423</v>
      </c>
      <c r="H672" s="5" t="s">
        <v>2425</v>
      </c>
      <c r="I672" s="60">
        <v>0</v>
      </c>
      <c r="J672" s="5" t="s">
        <v>1425</v>
      </c>
      <c r="K672" s="58">
        <v>0</v>
      </c>
      <c r="L672" s="5" t="s">
        <v>993</v>
      </c>
      <c r="M672" s="5" t="s">
        <v>1377</v>
      </c>
      <c r="N672" t="str">
        <f>_xlfn.XLOOKUP(A672,Monitoring!A:A,Monitoring!D:D)</f>
        <v>MALLS</v>
      </c>
    </row>
    <row r="673" spans="1:14" x14ac:dyDescent="0.35">
      <c r="A673" s="5">
        <v>10001448</v>
      </c>
      <c r="B673" s="5" t="s">
        <v>1295</v>
      </c>
      <c r="C673" s="5" t="s">
        <v>1318</v>
      </c>
      <c r="D673" s="61">
        <v>46174</v>
      </c>
      <c r="E673" s="61">
        <v>46188</v>
      </c>
      <c r="F673" s="5" t="s">
        <v>1364</v>
      </c>
      <c r="G673" s="5" t="s">
        <v>2426</v>
      </c>
      <c r="H673" s="5" t="s">
        <v>2427</v>
      </c>
      <c r="I673" s="60">
        <v>0</v>
      </c>
      <c r="J673" s="5" t="s">
        <v>2412</v>
      </c>
      <c r="K673" s="58">
        <v>0</v>
      </c>
      <c r="L673" s="5" t="s">
        <v>993</v>
      </c>
      <c r="M673" s="5" t="s">
        <v>1344</v>
      </c>
      <c r="N673" t="str">
        <f>_xlfn.XLOOKUP(A673,Monitoring!A:A,Monitoring!D:D)</f>
        <v>MALLS</v>
      </c>
    </row>
    <row r="674" spans="1:14" x14ac:dyDescent="0.35">
      <c r="A674" s="5">
        <v>10001448</v>
      </c>
      <c r="B674" s="5" t="s">
        <v>1295</v>
      </c>
      <c r="C674" s="5" t="s">
        <v>1318</v>
      </c>
      <c r="D674" s="61">
        <v>46149</v>
      </c>
      <c r="E674" s="61">
        <v>46161</v>
      </c>
      <c r="F674" s="5" t="s">
        <v>1297</v>
      </c>
      <c r="G674" s="5" t="s">
        <v>2428</v>
      </c>
      <c r="H674" s="5" t="s">
        <v>2411</v>
      </c>
      <c r="I674" s="60">
        <v>0</v>
      </c>
      <c r="J674" s="5" t="s">
        <v>2412</v>
      </c>
      <c r="K674" s="58">
        <v>0</v>
      </c>
      <c r="L674" s="5" t="s">
        <v>1440</v>
      </c>
      <c r="M674" s="5" t="s">
        <v>1555</v>
      </c>
      <c r="N674" t="str">
        <f>_xlfn.XLOOKUP(A674,Monitoring!A:A,Monitoring!D:D)</f>
        <v>MALLS</v>
      </c>
    </row>
    <row r="675" spans="1:14" x14ac:dyDescent="0.35">
      <c r="A675" s="5">
        <v>10001448</v>
      </c>
      <c r="B675" s="5" t="s">
        <v>1295</v>
      </c>
      <c r="C675" s="5" t="s">
        <v>1318</v>
      </c>
      <c r="D675" s="61">
        <v>46149</v>
      </c>
      <c r="E675" s="61">
        <v>46161</v>
      </c>
      <c r="F675" s="5" t="s">
        <v>1297</v>
      </c>
      <c r="G675" s="5" t="s">
        <v>2428</v>
      </c>
      <c r="H675" s="5" t="s">
        <v>2413</v>
      </c>
      <c r="I675" s="60">
        <v>0</v>
      </c>
      <c r="J675" s="5" t="s">
        <v>2414</v>
      </c>
      <c r="K675" s="58">
        <v>0</v>
      </c>
      <c r="L675" s="5" t="s">
        <v>1440</v>
      </c>
      <c r="M675" s="5" t="s">
        <v>1555</v>
      </c>
      <c r="N675" t="str">
        <f>_xlfn.XLOOKUP(A675,Monitoring!A:A,Monitoring!D:D)</f>
        <v>MALLS</v>
      </c>
    </row>
    <row r="676" spans="1:14" x14ac:dyDescent="0.35">
      <c r="A676" s="5">
        <v>10001448</v>
      </c>
      <c r="B676" s="5" t="s">
        <v>1295</v>
      </c>
      <c r="C676" s="5" t="s">
        <v>1318</v>
      </c>
      <c r="D676" s="61">
        <v>46149</v>
      </c>
      <c r="E676" s="61">
        <v>46161</v>
      </c>
      <c r="F676" s="5" t="s">
        <v>1297</v>
      </c>
      <c r="G676" s="5" t="s">
        <v>2428</v>
      </c>
      <c r="H676" s="5" t="s">
        <v>2415</v>
      </c>
      <c r="I676" s="60">
        <v>0</v>
      </c>
      <c r="J676" s="5" t="s">
        <v>2414</v>
      </c>
      <c r="K676" s="58">
        <v>0</v>
      </c>
      <c r="L676" s="5" t="s">
        <v>1440</v>
      </c>
      <c r="M676" s="5" t="s">
        <v>1555</v>
      </c>
      <c r="N676" t="str">
        <f>_xlfn.XLOOKUP(A676,Monitoring!A:A,Monitoring!D:D)</f>
        <v>MALLS</v>
      </c>
    </row>
    <row r="677" spans="1:14" x14ac:dyDescent="0.35">
      <c r="A677" s="5">
        <v>10001448</v>
      </c>
      <c r="B677" s="5" t="s">
        <v>1295</v>
      </c>
      <c r="C677" s="5" t="s">
        <v>1318</v>
      </c>
      <c r="D677" s="61">
        <v>46149</v>
      </c>
      <c r="E677" s="61">
        <v>46161</v>
      </c>
      <c r="F677" s="5" t="s">
        <v>1297</v>
      </c>
      <c r="G677" s="5" t="s">
        <v>2428</v>
      </c>
      <c r="H677" s="5" t="s">
        <v>2416</v>
      </c>
      <c r="I677" s="60">
        <v>0</v>
      </c>
      <c r="J677" s="5" t="s">
        <v>1425</v>
      </c>
      <c r="K677" s="58">
        <v>0</v>
      </c>
      <c r="L677" s="5" t="s">
        <v>1440</v>
      </c>
      <c r="M677" s="5" t="s">
        <v>1555</v>
      </c>
      <c r="N677" t="str">
        <f>_xlfn.XLOOKUP(A677,Monitoring!A:A,Monitoring!D:D)</f>
        <v>MALLS</v>
      </c>
    </row>
    <row r="678" spans="1:14" x14ac:dyDescent="0.35">
      <c r="A678" s="5">
        <v>10001448</v>
      </c>
      <c r="B678" s="5" t="s">
        <v>1295</v>
      </c>
      <c r="C678" s="5" t="s">
        <v>1318</v>
      </c>
      <c r="D678" s="61">
        <v>46149</v>
      </c>
      <c r="E678" s="61">
        <v>46161</v>
      </c>
      <c r="F678" s="5" t="s">
        <v>1297</v>
      </c>
      <c r="G678" s="5" t="s">
        <v>2428</v>
      </c>
      <c r="H678" s="5" t="s">
        <v>2417</v>
      </c>
      <c r="I678" s="60">
        <v>0</v>
      </c>
      <c r="J678" s="5" t="s">
        <v>1300</v>
      </c>
      <c r="K678" s="58">
        <v>0</v>
      </c>
      <c r="L678" s="5" t="s">
        <v>1440</v>
      </c>
      <c r="M678" s="5" t="s">
        <v>1377</v>
      </c>
      <c r="N678" t="str">
        <f>_xlfn.XLOOKUP(A678,Monitoring!A:A,Monitoring!D:D)</f>
        <v>MALLS</v>
      </c>
    </row>
    <row r="679" spans="1:14" x14ac:dyDescent="0.35">
      <c r="A679" s="5">
        <v>10001448</v>
      </c>
      <c r="B679" s="5" t="s">
        <v>1295</v>
      </c>
      <c r="C679" s="5" t="s">
        <v>1318</v>
      </c>
      <c r="D679" s="61">
        <v>46157</v>
      </c>
      <c r="E679" s="61">
        <v>46168</v>
      </c>
      <c r="F679" s="5" t="s">
        <v>1297</v>
      </c>
      <c r="G679" s="5" t="s">
        <v>2429</v>
      </c>
      <c r="H679" s="5" t="s">
        <v>2424</v>
      </c>
      <c r="I679" s="60">
        <v>0</v>
      </c>
      <c r="J679" s="5" t="s">
        <v>1425</v>
      </c>
      <c r="K679" s="58">
        <v>0</v>
      </c>
      <c r="L679" s="5" t="s">
        <v>1440</v>
      </c>
      <c r="M679" s="5" t="s">
        <v>1555</v>
      </c>
      <c r="N679" t="str">
        <f>_xlfn.XLOOKUP(A679,Monitoring!A:A,Monitoring!D:D)</f>
        <v>MALLS</v>
      </c>
    </row>
    <row r="680" spans="1:14" x14ac:dyDescent="0.35">
      <c r="A680" s="5">
        <v>10001448</v>
      </c>
      <c r="B680" s="5" t="s">
        <v>1295</v>
      </c>
      <c r="C680" s="5" t="s">
        <v>1318</v>
      </c>
      <c r="D680" s="61">
        <v>46157</v>
      </c>
      <c r="E680" s="61">
        <v>46168</v>
      </c>
      <c r="F680" s="5" t="s">
        <v>1297</v>
      </c>
      <c r="G680" s="5" t="s">
        <v>2429</v>
      </c>
      <c r="H680" s="5" t="s">
        <v>2430</v>
      </c>
      <c r="I680" s="60">
        <v>0</v>
      </c>
      <c r="J680" s="5" t="s">
        <v>1425</v>
      </c>
      <c r="K680" s="58">
        <v>0</v>
      </c>
      <c r="L680" s="5" t="s">
        <v>1440</v>
      </c>
      <c r="M680" s="5" t="s">
        <v>1555</v>
      </c>
      <c r="N680" t="str">
        <f>_xlfn.XLOOKUP(A680,Monitoring!A:A,Monitoring!D:D)</f>
        <v>MALLS</v>
      </c>
    </row>
    <row r="681" spans="1:14" x14ac:dyDescent="0.35">
      <c r="A681" s="5">
        <v>10001448</v>
      </c>
      <c r="B681" s="5" t="s">
        <v>1295</v>
      </c>
      <c r="C681" s="5" t="s">
        <v>1318</v>
      </c>
      <c r="D681" s="61">
        <v>46157</v>
      </c>
      <c r="E681" s="61">
        <v>46168</v>
      </c>
      <c r="F681" s="5" t="s">
        <v>1297</v>
      </c>
      <c r="G681" s="5" t="s">
        <v>2242</v>
      </c>
      <c r="H681" s="5" t="s">
        <v>2244</v>
      </c>
      <c r="I681" s="60">
        <v>0</v>
      </c>
      <c r="J681" s="5" t="s">
        <v>2422</v>
      </c>
      <c r="K681" s="58">
        <v>0</v>
      </c>
      <c r="L681" s="5" t="s">
        <v>1554</v>
      </c>
      <c r="M681" s="5" t="s">
        <v>1555</v>
      </c>
      <c r="N681" t="str">
        <f>_xlfn.XLOOKUP(A681,Monitoring!A:A,Monitoring!D:D)</f>
        <v>MALLS</v>
      </c>
    </row>
    <row r="682" spans="1:14" x14ac:dyDescent="0.35">
      <c r="A682" s="5">
        <v>10001448</v>
      </c>
      <c r="B682" s="5" t="s">
        <v>1295</v>
      </c>
      <c r="C682" s="5" t="s">
        <v>1318</v>
      </c>
      <c r="D682" s="61">
        <v>46157</v>
      </c>
      <c r="E682" s="61">
        <v>46168</v>
      </c>
      <c r="F682" s="5" t="s">
        <v>1297</v>
      </c>
      <c r="G682" s="5" t="s">
        <v>2242</v>
      </c>
      <c r="H682" s="5" t="s">
        <v>2245</v>
      </c>
      <c r="I682" s="60">
        <v>0</v>
      </c>
      <c r="J682" s="5" t="s">
        <v>2422</v>
      </c>
      <c r="K682" s="58">
        <v>0</v>
      </c>
      <c r="L682" s="5" t="s">
        <v>1554</v>
      </c>
      <c r="M682" s="5" t="s">
        <v>1555</v>
      </c>
      <c r="N682" t="str">
        <f>_xlfn.XLOOKUP(A682,Monitoring!A:A,Monitoring!D:D)</f>
        <v>MALLS</v>
      </c>
    </row>
    <row r="683" spans="1:14" x14ac:dyDescent="0.35">
      <c r="A683" s="5">
        <v>10001448</v>
      </c>
      <c r="B683" s="5" t="s">
        <v>1295</v>
      </c>
      <c r="C683" s="5" t="s">
        <v>1318</v>
      </c>
      <c r="D683" s="61">
        <v>46157</v>
      </c>
      <c r="E683" s="61">
        <v>46168</v>
      </c>
      <c r="F683" s="5" t="s">
        <v>1297</v>
      </c>
      <c r="G683" s="5" t="s">
        <v>2242</v>
      </c>
      <c r="H683" s="5" t="s">
        <v>2246</v>
      </c>
      <c r="I683" s="60">
        <v>1</v>
      </c>
      <c r="J683" s="5" t="s">
        <v>2422</v>
      </c>
      <c r="K683" s="58">
        <v>312.5</v>
      </c>
      <c r="L683" s="5" t="s">
        <v>1554</v>
      </c>
      <c r="M683" s="5" t="s">
        <v>1555</v>
      </c>
      <c r="N683" t="str">
        <f>_xlfn.XLOOKUP(A683,Monitoring!A:A,Monitoring!D:D)</f>
        <v>MALLS</v>
      </c>
    </row>
    <row r="684" spans="1:14" x14ac:dyDescent="0.35">
      <c r="A684" s="5">
        <v>10001448</v>
      </c>
      <c r="B684" s="5" t="s">
        <v>1295</v>
      </c>
      <c r="C684" s="5" t="s">
        <v>1318</v>
      </c>
      <c r="D684" s="61">
        <v>46157</v>
      </c>
      <c r="E684" s="61">
        <v>46168</v>
      </c>
      <c r="F684" s="5" t="s">
        <v>1297</v>
      </c>
      <c r="G684" s="5" t="s">
        <v>2242</v>
      </c>
      <c r="H684" s="5" t="s">
        <v>2247</v>
      </c>
      <c r="I684" s="60">
        <v>0</v>
      </c>
      <c r="J684" s="5" t="s">
        <v>2422</v>
      </c>
      <c r="K684" s="58">
        <v>0</v>
      </c>
      <c r="L684" s="5" t="s">
        <v>1554</v>
      </c>
      <c r="M684" s="5" t="s">
        <v>1555</v>
      </c>
      <c r="N684" t="str">
        <f>_xlfn.XLOOKUP(A684,Monitoring!A:A,Monitoring!D:D)</f>
        <v>MALLS</v>
      </c>
    </row>
    <row r="685" spans="1:14" x14ac:dyDescent="0.35">
      <c r="A685" s="5">
        <v>10001448</v>
      </c>
      <c r="B685" s="5" t="s">
        <v>1295</v>
      </c>
      <c r="C685" s="5" t="s">
        <v>1318</v>
      </c>
      <c r="D685" s="61">
        <v>46181</v>
      </c>
      <c r="E685" s="61">
        <v>46188</v>
      </c>
      <c r="F685" s="5" t="s">
        <v>1297</v>
      </c>
      <c r="G685" s="5" t="s">
        <v>2508</v>
      </c>
      <c r="H685" s="5" t="s">
        <v>2427</v>
      </c>
      <c r="I685" s="60">
        <v>0</v>
      </c>
      <c r="J685" s="5" t="s">
        <v>2412</v>
      </c>
      <c r="K685" s="58">
        <v>0</v>
      </c>
      <c r="L685" s="5" t="s">
        <v>1440</v>
      </c>
      <c r="M685" s="5" t="s">
        <v>1555</v>
      </c>
      <c r="N685" t="str">
        <f>_xlfn.XLOOKUP(A685,Monitoring!A:A,Monitoring!D:D)</f>
        <v>MALLS</v>
      </c>
    </row>
    <row r="686" spans="1:14" x14ac:dyDescent="0.35">
      <c r="A686" s="5">
        <v>10001449</v>
      </c>
      <c r="B686" s="5" t="s">
        <v>1295</v>
      </c>
      <c r="C686" s="5" t="s">
        <v>1318</v>
      </c>
      <c r="D686" s="61">
        <v>46154</v>
      </c>
      <c r="E686" s="61">
        <v>46168</v>
      </c>
      <c r="F686" s="5" t="s">
        <v>1364</v>
      </c>
      <c r="G686" s="5" t="s">
        <v>2431</v>
      </c>
      <c r="H686" s="5" t="s">
        <v>2432</v>
      </c>
      <c r="I686" s="60">
        <v>1</v>
      </c>
      <c r="J686" s="5" t="s">
        <v>1300</v>
      </c>
      <c r="K686" s="58">
        <v>989954.46</v>
      </c>
      <c r="L686" s="5" t="s">
        <v>993</v>
      </c>
      <c r="M686" s="5" t="s">
        <v>1391</v>
      </c>
      <c r="N686" t="str">
        <f>_xlfn.XLOOKUP(A686,Monitoring!A:A,Monitoring!D:D)</f>
        <v>MALLS</v>
      </c>
    </row>
    <row r="687" spans="1:14" x14ac:dyDescent="0.35">
      <c r="A687" s="5">
        <v>10001450</v>
      </c>
      <c r="B687" s="5" t="s">
        <v>1295</v>
      </c>
      <c r="C687" s="5" t="s">
        <v>1318</v>
      </c>
      <c r="D687" s="61">
        <v>46127</v>
      </c>
      <c r="E687" s="61">
        <v>46142</v>
      </c>
      <c r="F687" s="5" t="s">
        <v>1364</v>
      </c>
      <c r="G687" s="5" t="s">
        <v>2032</v>
      </c>
      <c r="H687" s="5" t="s">
        <v>2033</v>
      </c>
      <c r="I687" s="60">
        <v>0</v>
      </c>
      <c r="J687" s="5" t="s">
        <v>1300</v>
      </c>
      <c r="K687" s="58">
        <v>0</v>
      </c>
      <c r="L687" s="5" t="s">
        <v>993</v>
      </c>
      <c r="M687" s="5" t="s">
        <v>1344</v>
      </c>
      <c r="N687" t="str">
        <f>_xlfn.XLOOKUP(A687,Monitoring!A:A,Monitoring!D:D)</f>
        <v>MALLS</v>
      </c>
    </row>
    <row r="688" spans="1:14" x14ac:dyDescent="0.35">
      <c r="A688" s="5">
        <v>10001450</v>
      </c>
      <c r="B688" s="5" t="s">
        <v>1295</v>
      </c>
      <c r="C688" s="5" t="s">
        <v>1318</v>
      </c>
      <c r="D688" s="61">
        <v>46211</v>
      </c>
      <c r="E688" s="61">
        <v>46234</v>
      </c>
      <c r="F688" s="5" t="s">
        <v>1364</v>
      </c>
      <c r="G688" s="5" t="s">
        <v>2795</v>
      </c>
      <c r="H688" s="5" t="s">
        <v>2796</v>
      </c>
      <c r="I688" s="60">
        <v>1</v>
      </c>
      <c r="J688" s="5" t="s">
        <v>1300</v>
      </c>
      <c r="K688" s="58">
        <v>3571428.57</v>
      </c>
      <c r="L688" s="5" t="s">
        <v>993</v>
      </c>
      <c r="M688" s="5" t="s">
        <v>1540</v>
      </c>
      <c r="N688" t="str">
        <f>_xlfn.XLOOKUP(A688,Monitoring!A:A,Monitoring!D:D)</f>
        <v>MALLS</v>
      </c>
    </row>
    <row r="689" spans="1:14" x14ac:dyDescent="0.35">
      <c r="A689" s="5">
        <v>10001450</v>
      </c>
      <c r="B689" s="5" t="s">
        <v>1295</v>
      </c>
      <c r="C689" s="5" t="s">
        <v>1318</v>
      </c>
      <c r="D689" s="61">
        <v>46134</v>
      </c>
      <c r="E689" s="61">
        <v>46142</v>
      </c>
      <c r="F689" s="5" t="s">
        <v>1297</v>
      </c>
      <c r="G689" s="5" t="s">
        <v>2034</v>
      </c>
      <c r="H689" s="5" t="s">
        <v>2035</v>
      </c>
      <c r="I689" s="59">
        <v>0.1</v>
      </c>
      <c r="J689" s="5" t="s">
        <v>1300</v>
      </c>
      <c r="K689" s="58">
        <v>16071.43</v>
      </c>
      <c r="L689" s="5" t="s">
        <v>2036</v>
      </c>
      <c r="M689" s="5" t="s">
        <v>1551</v>
      </c>
      <c r="N689" t="str">
        <f>_xlfn.XLOOKUP(A689,Monitoring!A:A,Monitoring!D:D)</f>
        <v>MALLS</v>
      </c>
    </row>
    <row r="690" spans="1:14" x14ac:dyDescent="0.35">
      <c r="A690" s="5">
        <v>10001451</v>
      </c>
      <c r="B690" s="5" t="s">
        <v>1295</v>
      </c>
      <c r="C690" s="5" t="s">
        <v>1318</v>
      </c>
      <c r="D690" s="61">
        <v>46135</v>
      </c>
      <c r="E690" s="61">
        <v>46170</v>
      </c>
      <c r="F690" s="5" t="s">
        <v>1364</v>
      </c>
      <c r="G690" s="5" t="s">
        <v>2037</v>
      </c>
      <c r="H690" s="5" t="s">
        <v>2038</v>
      </c>
      <c r="I690" s="60">
        <v>0</v>
      </c>
      <c r="J690" s="5" t="s">
        <v>1300</v>
      </c>
      <c r="K690" s="58">
        <v>0</v>
      </c>
      <c r="L690" s="5" t="s">
        <v>993</v>
      </c>
      <c r="M690" s="5" t="s">
        <v>1330</v>
      </c>
      <c r="N690" t="str">
        <f>_xlfn.XLOOKUP(A690,Monitoring!A:A,Monitoring!D:D)</f>
        <v>OFFICES</v>
      </c>
    </row>
    <row r="691" spans="1:14" x14ac:dyDescent="0.35">
      <c r="A691" s="5">
        <v>10001451</v>
      </c>
      <c r="B691" s="5" t="s">
        <v>1295</v>
      </c>
      <c r="C691" s="5" t="s">
        <v>1318</v>
      </c>
      <c r="D691" s="61">
        <v>46177</v>
      </c>
      <c r="E691" s="61">
        <v>46191</v>
      </c>
      <c r="F691" s="5" t="s">
        <v>1364</v>
      </c>
      <c r="G691" s="5" t="s">
        <v>2433</v>
      </c>
      <c r="H691" s="5" t="s">
        <v>2434</v>
      </c>
      <c r="I691" s="60">
        <v>0</v>
      </c>
      <c r="J691" s="5" t="s">
        <v>1300</v>
      </c>
      <c r="K691" s="58">
        <v>0</v>
      </c>
      <c r="L691" s="5" t="s">
        <v>993</v>
      </c>
      <c r="M691" s="5" t="s">
        <v>1408</v>
      </c>
      <c r="N691" t="str">
        <f>_xlfn.XLOOKUP(A691,Monitoring!A:A,Monitoring!D:D)</f>
        <v>OFFICES</v>
      </c>
    </row>
    <row r="692" spans="1:14" x14ac:dyDescent="0.35">
      <c r="A692" s="5">
        <v>10001451</v>
      </c>
      <c r="B692" s="5" t="s">
        <v>1295</v>
      </c>
      <c r="C692" s="5" t="s">
        <v>1318</v>
      </c>
      <c r="D692" s="61">
        <v>46177</v>
      </c>
      <c r="E692" s="61">
        <v>46191</v>
      </c>
      <c r="F692" s="5" t="s">
        <v>1364</v>
      </c>
      <c r="G692" s="5" t="s">
        <v>2435</v>
      </c>
      <c r="H692" s="5" t="s">
        <v>2436</v>
      </c>
      <c r="I692" s="60">
        <v>0</v>
      </c>
      <c r="J692" s="5" t="s">
        <v>1300</v>
      </c>
      <c r="K692" s="58">
        <v>0</v>
      </c>
      <c r="L692" s="5" t="s">
        <v>993</v>
      </c>
      <c r="M692" s="5" t="s">
        <v>1408</v>
      </c>
      <c r="N692" t="str">
        <f>_xlfn.XLOOKUP(A692,Monitoring!A:A,Monitoring!D:D)</f>
        <v>OFFICES</v>
      </c>
    </row>
    <row r="693" spans="1:14" x14ac:dyDescent="0.35">
      <c r="A693" s="5">
        <v>10001451</v>
      </c>
      <c r="B693" s="5" t="s">
        <v>1295</v>
      </c>
      <c r="C693" s="5" t="s">
        <v>1318</v>
      </c>
      <c r="D693" s="61">
        <v>46239</v>
      </c>
      <c r="E693" s="61">
        <v>46253</v>
      </c>
      <c r="F693" s="5" t="s">
        <v>1364</v>
      </c>
      <c r="G693" s="5" t="s">
        <v>3040</v>
      </c>
      <c r="H693" s="5" t="s">
        <v>3041</v>
      </c>
      <c r="I693" s="60">
        <v>0</v>
      </c>
      <c r="J693" s="5" t="s">
        <v>1300</v>
      </c>
      <c r="K693" s="58">
        <v>0</v>
      </c>
      <c r="L693" s="5" t="s">
        <v>993</v>
      </c>
      <c r="M693" s="5" t="s">
        <v>1408</v>
      </c>
      <c r="N693" t="str">
        <f>_xlfn.XLOOKUP(A693,Monitoring!A:A,Monitoring!D:D)</f>
        <v>OFFICES</v>
      </c>
    </row>
    <row r="694" spans="1:14" x14ac:dyDescent="0.35">
      <c r="A694" s="5">
        <v>10001451</v>
      </c>
      <c r="B694" s="5" t="s">
        <v>1295</v>
      </c>
      <c r="C694" s="5" t="s">
        <v>1318</v>
      </c>
      <c r="D694" s="61">
        <v>46148</v>
      </c>
      <c r="E694" s="61">
        <v>46155</v>
      </c>
      <c r="F694" s="5" t="s">
        <v>1297</v>
      </c>
      <c r="G694" s="5" t="s">
        <v>2437</v>
      </c>
      <c r="H694" s="5" t="s">
        <v>2038</v>
      </c>
      <c r="I694" s="59">
        <v>0.6</v>
      </c>
      <c r="J694" s="5" t="s">
        <v>1300</v>
      </c>
      <c r="K694" s="58">
        <v>1875000</v>
      </c>
      <c r="L694" s="5" t="s">
        <v>2438</v>
      </c>
      <c r="M694" s="5" t="s">
        <v>1306</v>
      </c>
      <c r="N694" t="str">
        <f>_xlfn.XLOOKUP(A694,Monitoring!A:A,Monitoring!D:D)</f>
        <v>OFFICES</v>
      </c>
    </row>
    <row r="695" spans="1:14" x14ac:dyDescent="0.35">
      <c r="A695" s="5">
        <v>10001451</v>
      </c>
      <c r="B695" s="5" t="s">
        <v>1295</v>
      </c>
      <c r="C695" s="5" t="s">
        <v>1318</v>
      </c>
      <c r="D695" s="61">
        <v>46204</v>
      </c>
      <c r="E695" s="61">
        <v>46204</v>
      </c>
      <c r="F695" s="5" t="s">
        <v>1297</v>
      </c>
      <c r="G695" s="5" t="s">
        <v>2797</v>
      </c>
      <c r="H695" s="5" t="s">
        <v>2436</v>
      </c>
      <c r="I695" s="59">
        <v>0.8</v>
      </c>
      <c r="J695" s="5" t="s">
        <v>1300</v>
      </c>
      <c r="K695" s="58">
        <v>691428.57</v>
      </c>
      <c r="L695" s="5" t="s">
        <v>2798</v>
      </c>
      <c r="M695" s="5" t="s">
        <v>1306</v>
      </c>
      <c r="N695" t="str">
        <f>_xlfn.XLOOKUP(A695,Monitoring!A:A,Monitoring!D:D)</f>
        <v>OFFICES</v>
      </c>
    </row>
    <row r="696" spans="1:14" x14ac:dyDescent="0.35">
      <c r="A696" s="5">
        <v>10001451</v>
      </c>
      <c r="B696" s="5" t="s">
        <v>1295</v>
      </c>
      <c r="C696" s="5" t="s">
        <v>1318</v>
      </c>
      <c r="D696" s="61">
        <v>46247</v>
      </c>
      <c r="E696" s="61">
        <v>46247</v>
      </c>
      <c r="F696" s="5" t="s">
        <v>1297</v>
      </c>
      <c r="G696" s="5" t="s">
        <v>3133</v>
      </c>
      <c r="H696" s="5" t="s">
        <v>3041</v>
      </c>
      <c r="I696" s="60">
        <v>1</v>
      </c>
      <c r="J696" s="5" t="s">
        <v>1300</v>
      </c>
      <c r="K696" s="58">
        <v>142857.14000000001</v>
      </c>
      <c r="L696" s="5" t="s">
        <v>3134</v>
      </c>
      <c r="M696" s="5" t="s">
        <v>1408</v>
      </c>
      <c r="N696" t="str">
        <f>_xlfn.XLOOKUP(A696,Monitoring!A:A,Monitoring!D:D)</f>
        <v>OFFICES</v>
      </c>
    </row>
    <row r="697" spans="1:14" x14ac:dyDescent="0.35">
      <c r="A697" s="5">
        <v>10001451</v>
      </c>
      <c r="B697" s="5" t="s">
        <v>1295</v>
      </c>
      <c r="C697" s="5" t="s">
        <v>1318</v>
      </c>
      <c r="D697" s="61">
        <v>46258</v>
      </c>
      <c r="E697" s="61">
        <v>46258</v>
      </c>
      <c r="F697" s="5" t="s">
        <v>1297</v>
      </c>
      <c r="G697" s="5" t="s">
        <v>3365</v>
      </c>
      <c r="H697" s="5" t="s">
        <v>2434</v>
      </c>
      <c r="I697" s="60">
        <v>1</v>
      </c>
      <c r="J697" s="5" t="s">
        <v>1300</v>
      </c>
      <c r="K697" s="58">
        <v>1071428.57</v>
      </c>
      <c r="L697" s="5" t="s">
        <v>3366</v>
      </c>
      <c r="M697" s="5" t="s">
        <v>1408</v>
      </c>
      <c r="N697" t="str">
        <f>_xlfn.XLOOKUP(A697,Monitoring!A:A,Monitoring!D:D)</f>
        <v>OFFICES</v>
      </c>
    </row>
    <row r="698" spans="1:14" x14ac:dyDescent="0.35">
      <c r="A698" s="5">
        <v>10001452</v>
      </c>
      <c r="B698" s="5" t="s">
        <v>1295</v>
      </c>
      <c r="C698" s="5" t="s">
        <v>1318</v>
      </c>
      <c r="D698" s="61">
        <v>46136</v>
      </c>
      <c r="E698" s="61">
        <v>46150</v>
      </c>
      <c r="F698" s="5" t="s">
        <v>1364</v>
      </c>
      <c r="G698" s="5" t="s">
        <v>2039</v>
      </c>
      <c r="H698" s="5" t="s">
        <v>2040</v>
      </c>
      <c r="I698" s="60">
        <v>1</v>
      </c>
      <c r="J698" s="5" t="s">
        <v>1300</v>
      </c>
      <c r="K698" s="58">
        <v>5257936.5</v>
      </c>
      <c r="L698" s="5" t="s">
        <v>993</v>
      </c>
      <c r="M698" s="5" t="s">
        <v>1377</v>
      </c>
      <c r="N698" t="str">
        <f>_xlfn.XLOOKUP(A698,Monitoring!A:A,Monitoring!D:D)</f>
        <v>MALLS</v>
      </c>
    </row>
    <row r="699" spans="1:14" x14ac:dyDescent="0.35">
      <c r="A699" s="5">
        <v>10001452</v>
      </c>
      <c r="B699" s="5" t="s">
        <v>1295</v>
      </c>
      <c r="C699" s="5" t="s">
        <v>1318</v>
      </c>
      <c r="D699" s="61">
        <v>46178</v>
      </c>
      <c r="E699" s="61">
        <v>46192</v>
      </c>
      <c r="F699" s="5" t="s">
        <v>1364</v>
      </c>
      <c r="G699" s="5" t="s">
        <v>2509</v>
      </c>
      <c r="H699" s="5" t="s">
        <v>2510</v>
      </c>
      <c r="I699" s="60">
        <v>0</v>
      </c>
      <c r="J699" s="5" t="s">
        <v>1300</v>
      </c>
      <c r="K699" s="58">
        <v>0</v>
      </c>
      <c r="L699" s="5" t="s">
        <v>993</v>
      </c>
      <c r="M699" s="5" t="s">
        <v>1344</v>
      </c>
      <c r="N699" t="str">
        <f>_xlfn.XLOOKUP(A699,Monitoring!A:A,Monitoring!D:D)</f>
        <v>MALLS</v>
      </c>
    </row>
    <row r="700" spans="1:14" x14ac:dyDescent="0.35">
      <c r="A700" s="5">
        <v>10001452</v>
      </c>
      <c r="B700" s="5" t="s">
        <v>1295</v>
      </c>
      <c r="C700" s="5" t="s">
        <v>1318</v>
      </c>
      <c r="D700" s="61">
        <v>46182</v>
      </c>
      <c r="E700" s="61">
        <v>46192</v>
      </c>
      <c r="F700" s="5" t="s">
        <v>1297</v>
      </c>
      <c r="G700" s="5" t="s">
        <v>2511</v>
      </c>
      <c r="H700" s="5" t="s">
        <v>2512</v>
      </c>
      <c r="I700" s="60">
        <v>0</v>
      </c>
      <c r="J700" s="5" t="s">
        <v>1300</v>
      </c>
      <c r="K700" s="58">
        <v>0</v>
      </c>
      <c r="L700" s="5" t="s">
        <v>1462</v>
      </c>
      <c r="M700" s="5" t="s">
        <v>1555</v>
      </c>
      <c r="N700" t="str">
        <f>_xlfn.XLOOKUP(A700,Monitoring!A:A,Monitoring!D:D)</f>
        <v>MALLS</v>
      </c>
    </row>
    <row r="701" spans="1:14" x14ac:dyDescent="0.35">
      <c r="A701" s="5">
        <v>10001453</v>
      </c>
      <c r="B701" s="5" t="s">
        <v>1295</v>
      </c>
      <c r="C701" s="5" t="s">
        <v>1318</v>
      </c>
      <c r="D701" s="61">
        <v>46126</v>
      </c>
      <c r="E701" s="61">
        <v>46231</v>
      </c>
      <c r="F701" s="5" t="s">
        <v>1364</v>
      </c>
      <c r="G701" s="5" t="s">
        <v>2041</v>
      </c>
      <c r="H701" s="5" t="s">
        <v>2799</v>
      </c>
      <c r="I701" s="60">
        <v>0</v>
      </c>
      <c r="J701" s="5" t="s">
        <v>1380</v>
      </c>
      <c r="K701" s="58">
        <v>0</v>
      </c>
      <c r="L701" s="5" t="s">
        <v>993</v>
      </c>
      <c r="M701" s="5" t="s">
        <v>1408</v>
      </c>
      <c r="N701" t="str">
        <f>_xlfn.XLOOKUP(A701,Monitoring!A:A,Monitoring!D:D)</f>
        <v>MALLS</v>
      </c>
    </row>
    <row r="702" spans="1:14" x14ac:dyDescent="0.35">
      <c r="A702" s="5">
        <v>10001453</v>
      </c>
      <c r="B702" s="5" t="s">
        <v>1295</v>
      </c>
      <c r="C702" s="5" t="s">
        <v>1318</v>
      </c>
      <c r="D702" s="61">
        <v>46210</v>
      </c>
      <c r="E702" s="61">
        <v>46231</v>
      </c>
      <c r="F702" s="5" t="s">
        <v>1364</v>
      </c>
      <c r="G702" s="5" t="s">
        <v>2041</v>
      </c>
      <c r="H702" s="5" t="s">
        <v>2800</v>
      </c>
      <c r="I702" s="60">
        <v>0</v>
      </c>
      <c r="J702" s="5" t="s">
        <v>1380</v>
      </c>
      <c r="K702" s="58">
        <v>0</v>
      </c>
      <c r="L702" s="5" t="s">
        <v>993</v>
      </c>
      <c r="M702" s="5" t="s">
        <v>1408</v>
      </c>
      <c r="N702" t="str">
        <f>_xlfn.XLOOKUP(A702,Monitoring!A:A,Monitoring!D:D)</f>
        <v>MALLS</v>
      </c>
    </row>
    <row r="703" spans="1:14" x14ac:dyDescent="0.35">
      <c r="A703" s="5">
        <v>10001453</v>
      </c>
      <c r="B703" s="5" t="s">
        <v>1295</v>
      </c>
      <c r="C703" s="5" t="s">
        <v>1318</v>
      </c>
      <c r="D703" s="61">
        <v>46210</v>
      </c>
      <c r="E703" s="61">
        <v>46231</v>
      </c>
      <c r="F703" s="5" t="s">
        <v>1364</v>
      </c>
      <c r="G703" s="5" t="s">
        <v>2041</v>
      </c>
      <c r="H703" s="5" t="s">
        <v>2801</v>
      </c>
      <c r="I703" s="60">
        <v>0</v>
      </c>
      <c r="J703" s="5" t="s">
        <v>1380</v>
      </c>
      <c r="K703" s="58">
        <v>0</v>
      </c>
      <c r="L703" s="5" t="s">
        <v>993</v>
      </c>
      <c r="M703" s="5" t="s">
        <v>1408</v>
      </c>
      <c r="N703" t="str">
        <f>_xlfn.XLOOKUP(A703,Monitoring!A:A,Monitoring!D:D)</f>
        <v>MALLS</v>
      </c>
    </row>
    <row r="704" spans="1:14" x14ac:dyDescent="0.35">
      <c r="A704" s="5">
        <v>10001453</v>
      </c>
      <c r="B704" s="5" t="s">
        <v>1295</v>
      </c>
      <c r="C704" s="5" t="s">
        <v>1318</v>
      </c>
      <c r="D704" s="61">
        <v>46210</v>
      </c>
      <c r="E704" s="61">
        <v>46231</v>
      </c>
      <c r="F704" s="5" t="s">
        <v>1364</v>
      </c>
      <c r="G704" s="5" t="s">
        <v>2041</v>
      </c>
      <c r="H704" s="5" t="s">
        <v>2802</v>
      </c>
      <c r="I704" s="60">
        <v>0</v>
      </c>
      <c r="J704" s="5" t="s">
        <v>1380</v>
      </c>
      <c r="K704" s="58">
        <v>0</v>
      </c>
      <c r="L704" s="5" t="s">
        <v>993</v>
      </c>
      <c r="M704" s="5" t="s">
        <v>1408</v>
      </c>
      <c r="N704" t="str">
        <f>_xlfn.XLOOKUP(A704,Monitoring!A:A,Monitoring!D:D)</f>
        <v>MALLS</v>
      </c>
    </row>
    <row r="705" spans="1:14" x14ac:dyDescent="0.35">
      <c r="A705" s="5">
        <v>10001453</v>
      </c>
      <c r="B705" s="5" t="s">
        <v>1295</v>
      </c>
      <c r="C705" s="5" t="s">
        <v>1318</v>
      </c>
      <c r="D705" s="61">
        <v>46210</v>
      </c>
      <c r="E705" s="61">
        <v>46231</v>
      </c>
      <c r="F705" s="5" t="s">
        <v>1364</v>
      </c>
      <c r="G705" s="5" t="s">
        <v>2041</v>
      </c>
      <c r="H705" s="5" t="s">
        <v>2803</v>
      </c>
      <c r="I705" s="60">
        <v>0</v>
      </c>
      <c r="J705" s="5" t="s">
        <v>1380</v>
      </c>
      <c r="K705" s="58">
        <v>0</v>
      </c>
      <c r="L705" s="5" t="s">
        <v>993</v>
      </c>
      <c r="M705" s="5" t="s">
        <v>1408</v>
      </c>
      <c r="N705" t="str">
        <f>_xlfn.XLOOKUP(A705,Monitoring!A:A,Monitoring!D:D)</f>
        <v>MALLS</v>
      </c>
    </row>
    <row r="706" spans="1:14" x14ac:dyDescent="0.35">
      <c r="A706" s="5">
        <v>10001453</v>
      </c>
      <c r="B706" s="5" t="s">
        <v>1295</v>
      </c>
      <c r="C706" s="5" t="s">
        <v>1318</v>
      </c>
      <c r="D706" s="61">
        <v>46237</v>
      </c>
      <c r="E706" s="61">
        <v>46251</v>
      </c>
      <c r="F706" s="5" t="s">
        <v>1364</v>
      </c>
      <c r="G706" s="5" t="s">
        <v>3042</v>
      </c>
      <c r="H706" s="5" t="s">
        <v>3043</v>
      </c>
      <c r="I706" s="60">
        <v>0</v>
      </c>
      <c r="J706" s="5" t="s">
        <v>1380</v>
      </c>
      <c r="K706" s="58">
        <v>0</v>
      </c>
      <c r="L706" s="5" t="s">
        <v>993</v>
      </c>
      <c r="M706" s="5" t="s">
        <v>1344</v>
      </c>
      <c r="N706" t="str">
        <f>_xlfn.XLOOKUP(A706,Monitoring!A:A,Monitoring!D:D)</f>
        <v>MALLS</v>
      </c>
    </row>
    <row r="707" spans="1:14" x14ac:dyDescent="0.35">
      <c r="A707" s="5">
        <v>10001453</v>
      </c>
      <c r="B707" s="5" t="s">
        <v>1295</v>
      </c>
      <c r="C707" s="5" t="s">
        <v>1318</v>
      </c>
      <c r="D707" s="61">
        <v>46237</v>
      </c>
      <c r="E707" s="61">
        <v>46251</v>
      </c>
      <c r="F707" s="5" t="s">
        <v>1364</v>
      </c>
      <c r="G707" s="5" t="s">
        <v>3042</v>
      </c>
      <c r="H707" s="5" t="s">
        <v>3044</v>
      </c>
      <c r="I707" s="60">
        <v>0</v>
      </c>
      <c r="J707" s="5" t="s">
        <v>1380</v>
      </c>
      <c r="K707" s="58">
        <v>0</v>
      </c>
      <c r="L707" s="5" t="s">
        <v>993</v>
      </c>
      <c r="M707" s="5" t="s">
        <v>1344</v>
      </c>
      <c r="N707" t="str">
        <f>_xlfn.XLOOKUP(A707,Monitoring!A:A,Monitoring!D:D)</f>
        <v>MALLS</v>
      </c>
    </row>
    <row r="708" spans="1:14" x14ac:dyDescent="0.35">
      <c r="A708" s="5">
        <v>10001453</v>
      </c>
      <c r="B708" s="5" t="s">
        <v>1295</v>
      </c>
      <c r="C708" s="5" t="s">
        <v>1318</v>
      </c>
      <c r="D708" s="61">
        <v>46212</v>
      </c>
      <c r="E708" s="61">
        <v>46231</v>
      </c>
      <c r="F708" s="5" t="s">
        <v>1297</v>
      </c>
      <c r="G708" s="5" t="s">
        <v>2851</v>
      </c>
      <c r="H708" s="5" t="s">
        <v>2799</v>
      </c>
      <c r="I708" s="60">
        <v>0</v>
      </c>
      <c r="J708" s="5" t="s">
        <v>1380</v>
      </c>
      <c r="K708" s="58">
        <v>0</v>
      </c>
      <c r="L708" s="5" t="s">
        <v>2852</v>
      </c>
      <c r="M708" s="5" t="s">
        <v>1555</v>
      </c>
      <c r="N708" t="str">
        <f>_xlfn.XLOOKUP(A708,Monitoring!A:A,Monitoring!D:D)</f>
        <v>MALLS</v>
      </c>
    </row>
    <row r="709" spans="1:14" x14ac:dyDescent="0.35">
      <c r="A709" s="5">
        <v>10001453</v>
      </c>
      <c r="B709" s="5" t="s">
        <v>1295</v>
      </c>
      <c r="C709" s="5" t="s">
        <v>1318</v>
      </c>
      <c r="D709" s="61">
        <v>46212</v>
      </c>
      <c r="E709" s="61">
        <v>46231</v>
      </c>
      <c r="F709" s="5" t="s">
        <v>1297</v>
      </c>
      <c r="G709" s="5" t="s">
        <v>2851</v>
      </c>
      <c r="H709" s="5" t="s">
        <v>2800</v>
      </c>
      <c r="I709" s="60">
        <v>0</v>
      </c>
      <c r="J709" s="5" t="s">
        <v>1380</v>
      </c>
      <c r="K709" s="58">
        <v>0</v>
      </c>
      <c r="L709" s="5" t="s">
        <v>2852</v>
      </c>
      <c r="M709" s="5" t="s">
        <v>1555</v>
      </c>
      <c r="N709" t="str">
        <f>_xlfn.XLOOKUP(A709,Monitoring!A:A,Monitoring!D:D)</f>
        <v>MALLS</v>
      </c>
    </row>
    <row r="710" spans="1:14" x14ac:dyDescent="0.35">
      <c r="A710" s="5">
        <v>10001453</v>
      </c>
      <c r="B710" s="5" t="s">
        <v>1295</v>
      </c>
      <c r="C710" s="5" t="s">
        <v>1318</v>
      </c>
      <c r="D710" s="61">
        <v>46212</v>
      </c>
      <c r="E710" s="61">
        <v>46231</v>
      </c>
      <c r="F710" s="5" t="s">
        <v>1297</v>
      </c>
      <c r="G710" s="5" t="s">
        <v>2851</v>
      </c>
      <c r="H710" s="5" t="s">
        <v>2801</v>
      </c>
      <c r="I710" s="60">
        <v>0</v>
      </c>
      <c r="J710" s="5" t="s">
        <v>1380</v>
      </c>
      <c r="K710" s="58">
        <v>0</v>
      </c>
      <c r="L710" s="5" t="s">
        <v>2852</v>
      </c>
      <c r="M710" s="5" t="s">
        <v>1555</v>
      </c>
      <c r="N710" t="str">
        <f>_xlfn.XLOOKUP(A710,Monitoring!A:A,Monitoring!D:D)</f>
        <v>MALLS</v>
      </c>
    </row>
    <row r="711" spans="1:14" x14ac:dyDescent="0.35">
      <c r="A711" s="5">
        <v>10001453</v>
      </c>
      <c r="B711" s="5" t="s">
        <v>1295</v>
      </c>
      <c r="C711" s="5" t="s">
        <v>1318</v>
      </c>
      <c r="D711" s="61">
        <v>46212</v>
      </c>
      <c r="E711" s="61">
        <v>46231</v>
      </c>
      <c r="F711" s="5" t="s">
        <v>1297</v>
      </c>
      <c r="G711" s="5" t="s">
        <v>2851</v>
      </c>
      <c r="H711" s="5" t="s">
        <v>2802</v>
      </c>
      <c r="I711" s="60">
        <v>0</v>
      </c>
      <c r="J711" s="5" t="s">
        <v>1380</v>
      </c>
      <c r="K711" s="58">
        <v>0</v>
      </c>
      <c r="L711" s="5" t="s">
        <v>2852</v>
      </c>
      <c r="M711" s="5" t="s">
        <v>1555</v>
      </c>
      <c r="N711" t="str">
        <f>_xlfn.XLOOKUP(A711,Monitoring!A:A,Monitoring!D:D)</f>
        <v>MALLS</v>
      </c>
    </row>
    <row r="712" spans="1:14" x14ac:dyDescent="0.35">
      <c r="A712" s="5">
        <v>10001453</v>
      </c>
      <c r="B712" s="5" t="s">
        <v>1295</v>
      </c>
      <c r="C712" s="5" t="s">
        <v>1318</v>
      </c>
      <c r="D712" s="61">
        <v>46212</v>
      </c>
      <c r="E712" s="61">
        <v>46231</v>
      </c>
      <c r="F712" s="5" t="s">
        <v>1297</v>
      </c>
      <c r="G712" s="5" t="s">
        <v>2851</v>
      </c>
      <c r="H712" s="5" t="s">
        <v>2803</v>
      </c>
      <c r="I712" s="60">
        <v>0</v>
      </c>
      <c r="J712" s="5" t="s">
        <v>1380</v>
      </c>
      <c r="K712" s="58">
        <v>0</v>
      </c>
      <c r="L712" s="5" t="s">
        <v>2852</v>
      </c>
      <c r="M712" s="5" t="s">
        <v>1555</v>
      </c>
      <c r="N712" t="str">
        <f>_xlfn.XLOOKUP(A712,Monitoring!A:A,Monitoring!D:D)</f>
        <v>MALLS</v>
      </c>
    </row>
    <row r="713" spans="1:14" x14ac:dyDescent="0.35">
      <c r="A713" s="5">
        <v>10001453</v>
      </c>
      <c r="B713" s="5" t="s">
        <v>1295</v>
      </c>
      <c r="C713" s="5" t="s">
        <v>1318</v>
      </c>
      <c r="D713" s="61">
        <v>46240</v>
      </c>
      <c r="E713" s="61">
        <v>46276</v>
      </c>
      <c r="F713" s="5" t="s">
        <v>1297</v>
      </c>
      <c r="G713" s="5" t="s">
        <v>3045</v>
      </c>
      <c r="H713" s="5" t="s">
        <v>3046</v>
      </c>
      <c r="I713" s="60">
        <v>1</v>
      </c>
      <c r="J713" s="5" t="s">
        <v>1380</v>
      </c>
      <c r="K713" s="58">
        <v>612697.30000000005</v>
      </c>
      <c r="L713" s="5" t="s">
        <v>2852</v>
      </c>
      <c r="M713" s="5" t="s">
        <v>1330</v>
      </c>
      <c r="N713" t="str">
        <f>_xlfn.XLOOKUP(A713,Monitoring!A:A,Monitoring!D:D)</f>
        <v>MALLS</v>
      </c>
    </row>
    <row r="714" spans="1:14" x14ac:dyDescent="0.35">
      <c r="A714" s="5">
        <v>10001453</v>
      </c>
      <c r="B714" s="5" t="s">
        <v>1295</v>
      </c>
      <c r="C714" s="5" t="s">
        <v>1318</v>
      </c>
      <c r="D714" s="61">
        <v>46240</v>
      </c>
      <c r="E714" s="61">
        <v>46276</v>
      </c>
      <c r="F714" s="5" t="s">
        <v>1297</v>
      </c>
      <c r="G714" s="5" t="s">
        <v>3045</v>
      </c>
      <c r="H714" s="5" t="s">
        <v>3047</v>
      </c>
      <c r="I714" s="60">
        <v>1</v>
      </c>
      <c r="J714" s="5" t="s">
        <v>1380</v>
      </c>
      <c r="K714" s="58">
        <v>360516.98</v>
      </c>
      <c r="L714" s="5" t="s">
        <v>2852</v>
      </c>
      <c r="M714" s="5" t="s">
        <v>1330</v>
      </c>
      <c r="N714" t="str">
        <f>_xlfn.XLOOKUP(A714,Monitoring!A:A,Monitoring!D:D)</f>
        <v>MALLS</v>
      </c>
    </row>
    <row r="715" spans="1:14" x14ac:dyDescent="0.35">
      <c r="A715" s="5">
        <v>10001454</v>
      </c>
      <c r="B715" s="5" t="s">
        <v>1295</v>
      </c>
      <c r="C715" s="5" t="s">
        <v>1296</v>
      </c>
      <c r="D715" s="61">
        <v>46129</v>
      </c>
      <c r="E715" s="61">
        <v>46133</v>
      </c>
      <c r="F715" s="5" t="s">
        <v>1364</v>
      </c>
      <c r="G715" s="5" t="s">
        <v>2042</v>
      </c>
      <c r="H715" s="5" t="s">
        <v>2043</v>
      </c>
      <c r="I715" s="60">
        <v>1</v>
      </c>
      <c r="J715" s="5" t="s">
        <v>1300</v>
      </c>
      <c r="K715" s="58">
        <v>28546.65</v>
      </c>
      <c r="L715" s="5" t="s">
        <v>993</v>
      </c>
      <c r="M715" s="5" t="s">
        <v>2044</v>
      </c>
      <c r="N715" t="str">
        <f>_xlfn.XLOOKUP(A715,Monitoring!A:A,Monitoring!D:D)</f>
        <v>ESTATES</v>
      </c>
    </row>
    <row r="716" spans="1:14" x14ac:dyDescent="0.35">
      <c r="A716" s="5">
        <v>10001454</v>
      </c>
      <c r="B716" s="5" t="s">
        <v>1295</v>
      </c>
      <c r="C716" s="5" t="s">
        <v>1296</v>
      </c>
      <c r="D716" s="61">
        <v>46129</v>
      </c>
      <c r="E716" s="61">
        <v>46154</v>
      </c>
      <c r="F716" s="5" t="s">
        <v>1364</v>
      </c>
      <c r="G716" s="5" t="s">
        <v>2045</v>
      </c>
      <c r="H716" s="5" t="s">
        <v>2046</v>
      </c>
      <c r="I716" s="60">
        <v>0</v>
      </c>
      <c r="J716" s="5" t="s">
        <v>1300</v>
      </c>
      <c r="K716" s="58">
        <v>0</v>
      </c>
      <c r="L716" s="5" t="s">
        <v>993</v>
      </c>
      <c r="M716" s="5" t="s">
        <v>1408</v>
      </c>
      <c r="N716" t="str">
        <f>_xlfn.XLOOKUP(A716,Monitoring!A:A,Monitoring!D:D)</f>
        <v>ESTATES</v>
      </c>
    </row>
    <row r="717" spans="1:14" x14ac:dyDescent="0.35">
      <c r="A717" s="5">
        <v>10001454</v>
      </c>
      <c r="B717" s="5" t="s">
        <v>1295</v>
      </c>
      <c r="C717" s="5" t="s">
        <v>1296</v>
      </c>
      <c r="D717" s="61">
        <v>46132</v>
      </c>
      <c r="E717" s="61">
        <v>46153</v>
      </c>
      <c r="F717" s="5" t="s">
        <v>1364</v>
      </c>
      <c r="G717" s="5" t="s">
        <v>2047</v>
      </c>
      <c r="H717" s="5" t="s">
        <v>2048</v>
      </c>
      <c r="I717" s="60">
        <v>0</v>
      </c>
      <c r="J717" s="5" t="s">
        <v>1300</v>
      </c>
      <c r="K717" s="58">
        <v>0</v>
      </c>
      <c r="L717" s="5" t="s">
        <v>993</v>
      </c>
      <c r="M717" s="5" t="s">
        <v>1408</v>
      </c>
      <c r="N717" t="str">
        <f>_xlfn.XLOOKUP(A717,Monitoring!A:A,Monitoring!D:D)</f>
        <v>ESTATES</v>
      </c>
    </row>
    <row r="718" spans="1:14" x14ac:dyDescent="0.35">
      <c r="A718" s="5">
        <v>10001454</v>
      </c>
      <c r="B718" s="5" t="s">
        <v>1295</v>
      </c>
      <c r="C718" s="5" t="s">
        <v>1296</v>
      </c>
      <c r="D718" s="61">
        <v>46133</v>
      </c>
      <c r="E718" s="61">
        <v>46161</v>
      </c>
      <c r="F718" s="5" t="s">
        <v>1364</v>
      </c>
      <c r="G718" s="5" t="s">
        <v>2049</v>
      </c>
      <c r="H718" s="5" t="s">
        <v>1958</v>
      </c>
      <c r="I718" s="60">
        <v>0</v>
      </c>
      <c r="J718" s="5" t="s">
        <v>1300</v>
      </c>
      <c r="K718" s="58">
        <v>0</v>
      </c>
      <c r="L718" s="5" t="s">
        <v>993</v>
      </c>
      <c r="M718" s="5" t="s">
        <v>1408</v>
      </c>
      <c r="N718" t="str">
        <f>_xlfn.XLOOKUP(A718,Monitoring!A:A,Monitoring!D:D)</f>
        <v>ESTATES</v>
      </c>
    </row>
    <row r="719" spans="1:14" x14ac:dyDescent="0.35">
      <c r="A719" s="5">
        <v>10001454</v>
      </c>
      <c r="B719" s="5" t="s">
        <v>1295</v>
      </c>
      <c r="C719" s="5" t="s">
        <v>1296</v>
      </c>
      <c r="D719" s="61">
        <v>46133</v>
      </c>
      <c r="E719" s="61">
        <v>46161</v>
      </c>
      <c r="F719" s="5" t="s">
        <v>1364</v>
      </c>
      <c r="G719" s="5" t="s">
        <v>2050</v>
      </c>
      <c r="H719" s="5" t="s">
        <v>2051</v>
      </c>
      <c r="I719" s="60">
        <v>0</v>
      </c>
      <c r="J719" s="5" t="s">
        <v>1300</v>
      </c>
      <c r="K719" s="58">
        <v>0</v>
      </c>
      <c r="L719" s="5" t="s">
        <v>993</v>
      </c>
      <c r="M719" s="5" t="s">
        <v>1408</v>
      </c>
      <c r="N719" t="str">
        <f>_xlfn.XLOOKUP(A719,Monitoring!A:A,Monitoring!D:D)</f>
        <v>ESTATES</v>
      </c>
    </row>
    <row r="720" spans="1:14" x14ac:dyDescent="0.35">
      <c r="A720" s="5">
        <v>10001454</v>
      </c>
      <c r="B720" s="5" t="s">
        <v>1295</v>
      </c>
      <c r="C720" s="5" t="s">
        <v>1296</v>
      </c>
      <c r="D720" s="61">
        <v>46134</v>
      </c>
      <c r="E720" s="61">
        <v>46134</v>
      </c>
      <c r="F720" s="5" t="s">
        <v>1297</v>
      </c>
      <c r="G720" s="5" t="s">
        <v>2052</v>
      </c>
      <c r="H720" s="5" t="s">
        <v>2046</v>
      </c>
      <c r="I720" s="60">
        <v>0</v>
      </c>
      <c r="J720" s="5" t="s">
        <v>1300</v>
      </c>
      <c r="K720" s="58">
        <v>0</v>
      </c>
      <c r="L720" s="5" t="s">
        <v>2053</v>
      </c>
      <c r="M720" s="5" t="s">
        <v>1306</v>
      </c>
      <c r="N720" t="str">
        <f>_xlfn.XLOOKUP(A720,Monitoring!A:A,Monitoring!D:D)</f>
        <v>ESTATES</v>
      </c>
    </row>
    <row r="721" spans="1:14" x14ac:dyDescent="0.35">
      <c r="A721" s="5">
        <v>10001454</v>
      </c>
      <c r="B721" s="5" t="s">
        <v>1295</v>
      </c>
      <c r="C721" s="5" t="s">
        <v>1296</v>
      </c>
      <c r="D721" s="61">
        <v>46136</v>
      </c>
      <c r="E721" s="61">
        <v>46136</v>
      </c>
      <c r="F721" s="5" t="s">
        <v>1297</v>
      </c>
      <c r="G721" s="5" t="s">
        <v>1956</v>
      </c>
      <c r="H721" s="5" t="s">
        <v>1958</v>
      </c>
      <c r="I721" s="60">
        <v>0</v>
      </c>
      <c r="J721" s="5" t="s">
        <v>1300</v>
      </c>
      <c r="K721" s="58">
        <v>0</v>
      </c>
      <c r="L721" s="5" t="s">
        <v>1388</v>
      </c>
      <c r="M721" s="5" t="s">
        <v>1339</v>
      </c>
      <c r="N721" t="str">
        <f>_xlfn.XLOOKUP(A721,Monitoring!A:A,Monitoring!D:D)</f>
        <v>ESTATES</v>
      </c>
    </row>
    <row r="722" spans="1:14" x14ac:dyDescent="0.35">
      <c r="A722" s="5">
        <v>10001454</v>
      </c>
      <c r="B722" s="5" t="s">
        <v>1295</v>
      </c>
      <c r="C722" s="5" t="s">
        <v>1296</v>
      </c>
      <c r="D722" s="61">
        <v>46136</v>
      </c>
      <c r="E722" s="61">
        <v>46136</v>
      </c>
      <c r="F722" s="5" t="s">
        <v>1297</v>
      </c>
      <c r="G722" s="5" t="s">
        <v>2054</v>
      </c>
      <c r="H722" s="5" t="s">
        <v>2051</v>
      </c>
      <c r="I722" s="60">
        <v>0</v>
      </c>
      <c r="J722" s="5" t="s">
        <v>1300</v>
      </c>
      <c r="K722" s="58">
        <v>0</v>
      </c>
      <c r="L722" s="5" t="s">
        <v>2055</v>
      </c>
      <c r="M722" s="5" t="s">
        <v>1306</v>
      </c>
      <c r="N722" t="str">
        <f>_xlfn.XLOOKUP(A722,Monitoring!A:A,Monitoring!D:D)</f>
        <v>ESTATES</v>
      </c>
    </row>
    <row r="723" spans="1:14" x14ac:dyDescent="0.35">
      <c r="A723" s="5">
        <v>10001454</v>
      </c>
      <c r="B723" s="5" t="s">
        <v>1295</v>
      </c>
      <c r="C723" s="5" t="s">
        <v>1296</v>
      </c>
      <c r="D723" s="61">
        <v>46140</v>
      </c>
      <c r="E723" s="61">
        <v>46140</v>
      </c>
      <c r="F723" s="5" t="s">
        <v>1297</v>
      </c>
      <c r="G723" s="5" t="s">
        <v>2114</v>
      </c>
      <c r="H723" s="5" t="s">
        <v>2048</v>
      </c>
      <c r="I723" s="60">
        <v>1</v>
      </c>
      <c r="J723" s="5" t="s">
        <v>1300</v>
      </c>
      <c r="K723" s="58">
        <v>3392857.14</v>
      </c>
      <c r="L723" s="5" t="s">
        <v>2115</v>
      </c>
      <c r="M723" s="5" t="s">
        <v>1408</v>
      </c>
      <c r="N723" t="str">
        <f>_xlfn.XLOOKUP(A723,Monitoring!A:A,Monitoring!D:D)</f>
        <v>ESTATES</v>
      </c>
    </row>
    <row r="724" spans="1:14" x14ac:dyDescent="0.35">
      <c r="A724" s="5">
        <v>10001455</v>
      </c>
      <c r="B724" s="5" t="s">
        <v>1295</v>
      </c>
      <c r="C724" s="5" t="s">
        <v>1318</v>
      </c>
      <c r="D724" s="61">
        <v>46135</v>
      </c>
      <c r="E724" s="61">
        <v>46142</v>
      </c>
      <c r="F724" s="5" t="s">
        <v>1364</v>
      </c>
      <c r="G724" s="5" t="s">
        <v>2056</v>
      </c>
      <c r="H724" s="5" t="s">
        <v>2057</v>
      </c>
      <c r="I724" s="60">
        <v>0</v>
      </c>
      <c r="J724" s="5" t="s">
        <v>1300</v>
      </c>
      <c r="K724" s="58">
        <v>0</v>
      </c>
      <c r="L724" s="5" t="s">
        <v>993</v>
      </c>
      <c r="M724" s="5" t="s">
        <v>1344</v>
      </c>
      <c r="N724" t="str">
        <f>_xlfn.XLOOKUP(A724,Monitoring!A:A,Monitoring!D:D)</f>
        <v>MALLS</v>
      </c>
    </row>
    <row r="725" spans="1:14" x14ac:dyDescent="0.35">
      <c r="A725" s="5">
        <v>10001455</v>
      </c>
      <c r="B725" s="5" t="s">
        <v>1295</v>
      </c>
      <c r="C725" s="5" t="s">
        <v>1318</v>
      </c>
      <c r="D725" s="61">
        <v>46230</v>
      </c>
      <c r="E725" s="61">
        <v>46142</v>
      </c>
      <c r="F725" s="5" t="s">
        <v>1364</v>
      </c>
      <c r="G725" s="5" t="s">
        <v>2056</v>
      </c>
      <c r="H725" s="5" t="s">
        <v>3048</v>
      </c>
      <c r="I725" s="60">
        <v>0</v>
      </c>
      <c r="J725" s="5" t="s">
        <v>1300</v>
      </c>
      <c r="K725" s="58">
        <v>0</v>
      </c>
      <c r="L725" s="5" t="s">
        <v>993</v>
      </c>
      <c r="M725" s="5" t="s">
        <v>1344</v>
      </c>
      <c r="N725" t="str">
        <f>_xlfn.XLOOKUP(A725,Monitoring!A:A,Monitoring!D:D)</f>
        <v>MALLS</v>
      </c>
    </row>
    <row r="726" spans="1:14" x14ac:dyDescent="0.35">
      <c r="A726" s="5">
        <v>10001455</v>
      </c>
      <c r="B726" s="5" t="s">
        <v>1295</v>
      </c>
      <c r="C726" s="5" t="s">
        <v>1318</v>
      </c>
      <c r="D726" s="61">
        <v>46230</v>
      </c>
      <c r="E726" s="61">
        <v>46142</v>
      </c>
      <c r="F726" s="5" t="s">
        <v>1364</v>
      </c>
      <c r="G726" s="5" t="s">
        <v>2056</v>
      </c>
      <c r="H726" s="5" t="s">
        <v>3049</v>
      </c>
      <c r="I726" s="60">
        <v>0</v>
      </c>
      <c r="J726" s="5" t="s">
        <v>1300</v>
      </c>
      <c r="K726" s="58">
        <v>0</v>
      </c>
      <c r="L726" s="5" t="s">
        <v>993</v>
      </c>
      <c r="M726" s="5" t="s">
        <v>1344</v>
      </c>
      <c r="N726" t="str">
        <f>_xlfn.XLOOKUP(A726,Monitoring!A:A,Monitoring!D:D)</f>
        <v>MALLS</v>
      </c>
    </row>
    <row r="727" spans="1:14" x14ac:dyDescent="0.35">
      <c r="A727" s="5">
        <v>10001455</v>
      </c>
      <c r="B727" s="5" t="s">
        <v>1295</v>
      </c>
      <c r="C727" s="5" t="s">
        <v>1318</v>
      </c>
      <c r="D727" s="61">
        <v>46230</v>
      </c>
      <c r="E727" s="61">
        <v>46142</v>
      </c>
      <c r="F727" s="5" t="s">
        <v>1364</v>
      </c>
      <c r="G727" s="5" t="s">
        <v>2056</v>
      </c>
      <c r="H727" s="5" t="s">
        <v>3050</v>
      </c>
      <c r="I727" s="60">
        <v>0</v>
      </c>
      <c r="J727" s="5" t="s">
        <v>1300</v>
      </c>
      <c r="K727" s="58">
        <v>0</v>
      </c>
      <c r="L727" s="5" t="s">
        <v>993</v>
      </c>
      <c r="M727" s="5" t="s">
        <v>1344</v>
      </c>
      <c r="N727" t="str">
        <f>_xlfn.XLOOKUP(A727,Monitoring!A:A,Monitoring!D:D)</f>
        <v>MALLS</v>
      </c>
    </row>
    <row r="728" spans="1:14" x14ac:dyDescent="0.35">
      <c r="A728" s="5">
        <v>10001455</v>
      </c>
      <c r="B728" s="5" t="s">
        <v>1295</v>
      </c>
      <c r="C728" s="5" t="s">
        <v>1318</v>
      </c>
      <c r="D728" s="61">
        <v>46225</v>
      </c>
      <c r="E728" s="61">
        <v>46234</v>
      </c>
      <c r="F728" s="5" t="s">
        <v>1364</v>
      </c>
      <c r="G728" s="5" t="s">
        <v>3051</v>
      </c>
      <c r="H728" s="5" t="s">
        <v>3052</v>
      </c>
      <c r="I728" s="60">
        <v>1</v>
      </c>
      <c r="J728" s="5" t="s">
        <v>1300</v>
      </c>
      <c r="K728" s="58">
        <v>133928.57</v>
      </c>
      <c r="L728" s="5" t="s">
        <v>993</v>
      </c>
      <c r="M728" s="5" t="s">
        <v>1540</v>
      </c>
      <c r="N728" t="str">
        <f>_xlfn.XLOOKUP(A728,Monitoring!A:A,Monitoring!D:D)</f>
        <v>MALLS</v>
      </c>
    </row>
    <row r="729" spans="1:14" x14ac:dyDescent="0.35">
      <c r="A729" s="5">
        <v>10001455</v>
      </c>
      <c r="B729" s="5" t="s">
        <v>1295</v>
      </c>
      <c r="C729" s="5" t="s">
        <v>1318</v>
      </c>
      <c r="D729" s="61">
        <v>46231</v>
      </c>
      <c r="E729" s="61">
        <v>46323</v>
      </c>
      <c r="F729" s="5" t="s">
        <v>1297</v>
      </c>
      <c r="G729" s="5" t="s">
        <v>3053</v>
      </c>
      <c r="H729" s="5" t="s">
        <v>3054</v>
      </c>
      <c r="I729" s="60">
        <v>1</v>
      </c>
      <c r="J729" s="5" t="s">
        <v>1300</v>
      </c>
      <c r="K729" s="58">
        <v>295300</v>
      </c>
      <c r="L729" s="5" t="s">
        <v>3055</v>
      </c>
      <c r="M729" s="5" t="s">
        <v>1344</v>
      </c>
      <c r="N729" t="str">
        <f>_xlfn.XLOOKUP(A729,Monitoring!A:A,Monitoring!D:D)</f>
        <v>MALLS</v>
      </c>
    </row>
    <row r="730" spans="1:14" x14ac:dyDescent="0.35">
      <c r="A730" s="5">
        <v>10001455</v>
      </c>
      <c r="B730" s="5" t="s">
        <v>1295</v>
      </c>
      <c r="C730" s="5" t="s">
        <v>1318</v>
      </c>
      <c r="D730" s="61">
        <v>46231</v>
      </c>
      <c r="E730" s="61">
        <v>46142</v>
      </c>
      <c r="F730" s="5" t="s">
        <v>1297</v>
      </c>
      <c r="G730" s="5" t="s">
        <v>3056</v>
      </c>
      <c r="H730" s="5" t="s">
        <v>3057</v>
      </c>
      <c r="I730" s="60">
        <v>1</v>
      </c>
      <c r="J730" s="5" t="s">
        <v>1300</v>
      </c>
      <c r="K730" s="58">
        <v>4072757.94</v>
      </c>
      <c r="L730" s="5" t="s">
        <v>3055</v>
      </c>
      <c r="M730" s="5" t="s">
        <v>1344</v>
      </c>
      <c r="N730" t="str">
        <f>_xlfn.XLOOKUP(A730,Monitoring!A:A,Monitoring!D:D)</f>
        <v>MALLS</v>
      </c>
    </row>
    <row r="731" spans="1:14" x14ac:dyDescent="0.35">
      <c r="A731" s="5">
        <v>10001455</v>
      </c>
      <c r="B731" s="5" t="s">
        <v>1295</v>
      </c>
      <c r="C731" s="5" t="s">
        <v>1318</v>
      </c>
      <c r="D731" s="61">
        <v>46231</v>
      </c>
      <c r="E731" s="61">
        <v>46142</v>
      </c>
      <c r="F731" s="5" t="s">
        <v>1297</v>
      </c>
      <c r="G731" s="5" t="s">
        <v>3056</v>
      </c>
      <c r="H731" s="5" t="s">
        <v>3057</v>
      </c>
      <c r="I731" s="60">
        <v>1</v>
      </c>
      <c r="J731" s="5" t="s">
        <v>1300</v>
      </c>
      <c r="K731" s="58">
        <v>1078370.6299999999</v>
      </c>
      <c r="L731" s="5" t="s">
        <v>3055</v>
      </c>
      <c r="M731" s="5" t="s">
        <v>1344</v>
      </c>
      <c r="N731" t="str">
        <f>_xlfn.XLOOKUP(A731,Monitoring!A:A,Monitoring!D:D)</f>
        <v>MALLS</v>
      </c>
    </row>
    <row r="732" spans="1:14" x14ac:dyDescent="0.35">
      <c r="A732" s="5">
        <v>10001456</v>
      </c>
      <c r="B732" s="5" t="s">
        <v>1295</v>
      </c>
      <c r="C732" s="5" t="s">
        <v>1318</v>
      </c>
      <c r="D732" s="61">
        <v>46148</v>
      </c>
      <c r="E732" s="61">
        <v>46173</v>
      </c>
      <c r="F732" s="5" t="s">
        <v>1364</v>
      </c>
      <c r="G732" s="5" t="s">
        <v>2439</v>
      </c>
      <c r="H732" s="5" t="s">
        <v>2440</v>
      </c>
      <c r="I732" s="60">
        <v>168</v>
      </c>
      <c r="J732" s="5" t="s">
        <v>1425</v>
      </c>
      <c r="K732" s="58">
        <v>180000.24</v>
      </c>
      <c r="L732" s="5" t="s">
        <v>993</v>
      </c>
      <c r="M732" s="5" t="s">
        <v>1344</v>
      </c>
      <c r="N732" t="str">
        <f>_xlfn.XLOOKUP(A732,Monitoring!A:A,Monitoring!D:D)</f>
        <v>MALLS</v>
      </c>
    </row>
    <row r="733" spans="1:14" x14ac:dyDescent="0.35">
      <c r="A733" s="5">
        <v>10001456</v>
      </c>
      <c r="B733" s="5" t="s">
        <v>1295</v>
      </c>
      <c r="C733" s="5" t="s">
        <v>1318</v>
      </c>
      <c r="D733" s="61">
        <v>46272</v>
      </c>
      <c r="E733" s="61">
        <v>46173</v>
      </c>
      <c r="F733" s="5" t="s">
        <v>1297</v>
      </c>
      <c r="G733" s="5" t="s">
        <v>3367</v>
      </c>
      <c r="H733" s="5" t="s">
        <v>3368</v>
      </c>
      <c r="I733" s="60">
        <v>473</v>
      </c>
      <c r="J733" s="5" t="s">
        <v>1425</v>
      </c>
      <c r="K733" s="58">
        <v>685850</v>
      </c>
      <c r="L733" s="5" t="s">
        <v>3369</v>
      </c>
      <c r="M733" s="5" t="s">
        <v>1344</v>
      </c>
      <c r="N733" t="str">
        <f>_xlfn.XLOOKUP(A733,Monitoring!A:A,Monitoring!D:D)</f>
        <v>MALLS</v>
      </c>
    </row>
    <row r="734" spans="1:14" x14ac:dyDescent="0.35">
      <c r="A734" s="5">
        <v>10001457</v>
      </c>
      <c r="B734" s="5" t="s">
        <v>1295</v>
      </c>
      <c r="C734" s="5" t="s">
        <v>1318</v>
      </c>
      <c r="D734" s="61">
        <v>46146</v>
      </c>
      <c r="E734" s="61">
        <v>46160</v>
      </c>
      <c r="F734" s="5" t="s">
        <v>1364</v>
      </c>
      <c r="G734" s="5" t="s">
        <v>2441</v>
      </c>
      <c r="H734" s="5" t="s">
        <v>2442</v>
      </c>
      <c r="I734" s="60">
        <v>0</v>
      </c>
      <c r="J734" s="5" t="s">
        <v>1300</v>
      </c>
      <c r="K734" s="58">
        <v>0</v>
      </c>
      <c r="L734" s="5" t="s">
        <v>993</v>
      </c>
      <c r="M734" s="5" t="s">
        <v>1344</v>
      </c>
      <c r="N734" t="str">
        <f>_xlfn.XLOOKUP(A734,Monitoring!A:A,Monitoring!D:D)</f>
        <v>MALLS</v>
      </c>
    </row>
    <row r="735" spans="1:14" x14ac:dyDescent="0.35">
      <c r="A735" s="5">
        <v>10001457</v>
      </c>
      <c r="B735" s="5" t="s">
        <v>1295</v>
      </c>
      <c r="C735" s="5" t="s">
        <v>1318</v>
      </c>
      <c r="D735" s="61">
        <v>46150</v>
      </c>
      <c r="E735" s="61">
        <v>46164</v>
      </c>
      <c r="F735" s="5" t="s">
        <v>1364</v>
      </c>
      <c r="G735" s="5" t="s">
        <v>2443</v>
      </c>
      <c r="H735" s="5" t="s">
        <v>2444</v>
      </c>
      <c r="I735" s="60">
        <v>0</v>
      </c>
      <c r="J735" s="5" t="s">
        <v>1300</v>
      </c>
      <c r="K735" s="58">
        <v>0</v>
      </c>
      <c r="L735" s="5" t="s">
        <v>993</v>
      </c>
      <c r="M735" s="5" t="s">
        <v>1344</v>
      </c>
      <c r="N735" t="str">
        <f>_xlfn.XLOOKUP(A735,Monitoring!A:A,Monitoring!D:D)</f>
        <v>MALLS</v>
      </c>
    </row>
    <row r="736" spans="1:14" x14ac:dyDescent="0.35">
      <c r="A736" s="5">
        <v>10001457</v>
      </c>
      <c r="B736" s="5" t="s">
        <v>1295</v>
      </c>
      <c r="C736" s="5" t="s">
        <v>1318</v>
      </c>
      <c r="D736" s="61">
        <v>46170</v>
      </c>
      <c r="E736" s="61">
        <v>46184</v>
      </c>
      <c r="F736" s="5" t="s">
        <v>1364</v>
      </c>
      <c r="G736" s="5" t="s">
        <v>2445</v>
      </c>
      <c r="H736" s="5" t="s">
        <v>2446</v>
      </c>
      <c r="I736" s="60">
        <v>0</v>
      </c>
      <c r="J736" s="5" t="s">
        <v>1300</v>
      </c>
      <c r="K736" s="58">
        <v>0</v>
      </c>
      <c r="L736" s="5" t="s">
        <v>993</v>
      </c>
      <c r="M736" s="5" t="s">
        <v>1344</v>
      </c>
      <c r="N736" t="str">
        <f>_xlfn.XLOOKUP(A736,Monitoring!A:A,Monitoring!D:D)</f>
        <v>MALLS</v>
      </c>
    </row>
    <row r="737" spans="1:14" x14ac:dyDescent="0.35">
      <c r="A737" s="5">
        <v>10001457</v>
      </c>
      <c r="B737" s="5" t="s">
        <v>1295</v>
      </c>
      <c r="C737" s="5" t="s">
        <v>1318</v>
      </c>
      <c r="D737" s="61">
        <v>46206</v>
      </c>
      <c r="E737" s="61">
        <v>46227</v>
      </c>
      <c r="F737" s="5" t="s">
        <v>1364</v>
      </c>
      <c r="G737" s="5" t="s">
        <v>2804</v>
      </c>
      <c r="H737" s="5" t="s">
        <v>2805</v>
      </c>
      <c r="I737" s="60">
        <v>0</v>
      </c>
      <c r="J737" s="5" t="s">
        <v>1300</v>
      </c>
      <c r="K737" s="58">
        <v>0</v>
      </c>
      <c r="L737" s="5" t="s">
        <v>993</v>
      </c>
      <c r="M737" s="5" t="s">
        <v>1344</v>
      </c>
      <c r="N737" t="str">
        <f>_xlfn.XLOOKUP(A737,Monitoring!A:A,Monitoring!D:D)</f>
        <v>MALLS</v>
      </c>
    </row>
    <row r="738" spans="1:14" x14ac:dyDescent="0.35">
      <c r="A738" s="5">
        <v>10001457</v>
      </c>
      <c r="B738" s="5" t="s">
        <v>1295</v>
      </c>
      <c r="C738" s="5" t="s">
        <v>1318</v>
      </c>
      <c r="D738" s="61">
        <v>46212</v>
      </c>
      <c r="E738" s="61">
        <v>46233</v>
      </c>
      <c r="F738" s="5" t="s">
        <v>1364</v>
      </c>
      <c r="G738" s="5" t="s">
        <v>2853</v>
      </c>
      <c r="H738" s="5" t="s">
        <v>2854</v>
      </c>
      <c r="I738" s="60">
        <v>0</v>
      </c>
      <c r="J738" s="5" t="s">
        <v>1300</v>
      </c>
      <c r="K738" s="58">
        <v>0</v>
      </c>
      <c r="L738" s="5" t="s">
        <v>993</v>
      </c>
      <c r="M738" s="5" t="s">
        <v>1344</v>
      </c>
      <c r="N738" t="str">
        <f>_xlfn.XLOOKUP(A738,Monitoring!A:A,Monitoring!D:D)</f>
        <v>MALLS</v>
      </c>
    </row>
    <row r="739" spans="1:14" x14ac:dyDescent="0.35">
      <c r="A739" s="5">
        <v>10001457</v>
      </c>
      <c r="B739" s="5" t="s">
        <v>1295</v>
      </c>
      <c r="C739" s="5" t="s">
        <v>1318</v>
      </c>
      <c r="D739" s="61">
        <v>46224</v>
      </c>
      <c r="E739" s="61">
        <v>46238</v>
      </c>
      <c r="F739" s="5" t="s">
        <v>1364</v>
      </c>
      <c r="G739" s="5" t="s">
        <v>3058</v>
      </c>
      <c r="H739" s="5" t="s">
        <v>3059</v>
      </c>
      <c r="I739" s="60">
        <v>0</v>
      </c>
      <c r="J739" s="5" t="s">
        <v>1300</v>
      </c>
      <c r="K739" s="58">
        <v>0</v>
      </c>
      <c r="L739" s="5" t="s">
        <v>993</v>
      </c>
      <c r="M739" s="5" t="s">
        <v>1344</v>
      </c>
      <c r="N739" t="str">
        <f>_xlfn.XLOOKUP(A739,Monitoring!A:A,Monitoring!D:D)</f>
        <v>MALLS</v>
      </c>
    </row>
    <row r="740" spans="1:14" x14ac:dyDescent="0.35">
      <c r="A740" s="5">
        <v>10001457</v>
      </c>
      <c r="B740" s="5" t="s">
        <v>1295</v>
      </c>
      <c r="C740" s="5" t="s">
        <v>1318</v>
      </c>
      <c r="D740" s="61">
        <v>46251</v>
      </c>
      <c r="E740" s="61">
        <v>46265</v>
      </c>
      <c r="F740" s="5" t="s">
        <v>1364</v>
      </c>
      <c r="G740" s="5" t="s">
        <v>3135</v>
      </c>
      <c r="H740" s="5" t="s">
        <v>3136</v>
      </c>
      <c r="I740" s="60">
        <v>0</v>
      </c>
      <c r="J740" s="5" t="s">
        <v>1300</v>
      </c>
      <c r="K740" s="58">
        <v>0</v>
      </c>
      <c r="L740" s="5" t="s">
        <v>993</v>
      </c>
      <c r="M740" s="5" t="s">
        <v>1344</v>
      </c>
      <c r="N740" t="str">
        <f>_xlfn.XLOOKUP(A740,Monitoring!A:A,Monitoring!D:D)</f>
        <v>MALLS</v>
      </c>
    </row>
    <row r="741" spans="1:14" x14ac:dyDescent="0.35">
      <c r="A741" s="5">
        <v>10001457</v>
      </c>
      <c r="B741" s="5" t="s">
        <v>1295</v>
      </c>
      <c r="C741" s="5" t="s">
        <v>1318</v>
      </c>
      <c r="D741" s="61">
        <v>46251</v>
      </c>
      <c r="E741" s="61">
        <v>46265</v>
      </c>
      <c r="F741" s="5" t="s">
        <v>1364</v>
      </c>
      <c r="G741" s="5" t="s">
        <v>3370</v>
      </c>
      <c r="H741" s="5" t="s">
        <v>3371</v>
      </c>
      <c r="I741" s="60">
        <v>0</v>
      </c>
      <c r="J741" s="5" t="s">
        <v>1300</v>
      </c>
      <c r="K741" s="58">
        <v>0</v>
      </c>
      <c r="L741" s="5" t="s">
        <v>993</v>
      </c>
      <c r="M741" s="5" t="s">
        <v>1344</v>
      </c>
      <c r="N741" t="str">
        <f>_xlfn.XLOOKUP(A741,Monitoring!A:A,Monitoring!D:D)</f>
        <v>MALLS</v>
      </c>
    </row>
    <row r="742" spans="1:14" x14ac:dyDescent="0.35">
      <c r="A742" s="5">
        <v>10001457</v>
      </c>
      <c r="B742" s="5" t="s">
        <v>1295</v>
      </c>
      <c r="C742" s="5" t="s">
        <v>1318</v>
      </c>
      <c r="D742" s="61">
        <v>46251</v>
      </c>
      <c r="E742" s="61">
        <v>46265</v>
      </c>
      <c r="F742" s="5" t="s">
        <v>1364</v>
      </c>
      <c r="G742" s="5" t="s">
        <v>3370</v>
      </c>
      <c r="H742" s="5" t="s">
        <v>3372</v>
      </c>
      <c r="I742" s="60">
        <v>0</v>
      </c>
      <c r="J742" s="5" t="s">
        <v>1300</v>
      </c>
      <c r="K742" s="58">
        <v>0</v>
      </c>
      <c r="L742" s="5" t="s">
        <v>993</v>
      </c>
      <c r="M742" s="5" t="s">
        <v>1344</v>
      </c>
      <c r="N742" t="str">
        <f>_xlfn.XLOOKUP(A742,Monitoring!A:A,Monitoring!D:D)</f>
        <v>MALLS</v>
      </c>
    </row>
    <row r="743" spans="1:14" x14ac:dyDescent="0.35">
      <c r="A743" s="5">
        <v>10001457</v>
      </c>
      <c r="B743" s="5" t="s">
        <v>1295</v>
      </c>
      <c r="C743" s="5" t="s">
        <v>1318</v>
      </c>
      <c r="D743" s="61">
        <v>46267</v>
      </c>
      <c r="E743" s="61">
        <v>46281</v>
      </c>
      <c r="F743" s="5" t="s">
        <v>1364</v>
      </c>
      <c r="G743" s="5" t="s">
        <v>3373</v>
      </c>
      <c r="H743" s="5" t="s">
        <v>3374</v>
      </c>
      <c r="I743" s="60">
        <v>1</v>
      </c>
      <c r="J743" s="5" t="s">
        <v>1300</v>
      </c>
      <c r="K743" s="58">
        <v>568342.38</v>
      </c>
      <c r="L743" s="5" t="s">
        <v>993</v>
      </c>
      <c r="M743" s="5" t="s">
        <v>1391</v>
      </c>
      <c r="N743" t="str">
        <f>_xlfn.XLOOKUP(A743,Monitoring!A:A,Monitoring!D:D)</f>
        <v>MALLS</v>
      </c>
    </row>
    <row r="744" spans="1:14" x14ac:dyDescent="0.35">
      <c r="A744" s="5">
        <v>10001457</v>
      </c>
      <c r="B744" s="5" t="s">
        <v>1295</v>
      </c>
      <c r="C744" s="5" t="s">
        <v>1318</v>
      </c>
      <c r="D744" s="61">
        <v>46269</v>
      </c>
      <c r="E744" s="61">
        <v>46283</v>
      </c>
      <c r="F744" s="5" t="s">
        <v>1364</v>
      </c>
      <c r="G744" s="5" t="s">
        <v>3375</v>
      </c>
      <c r="H744" s="5" t="s">
        <v>3136</v>
      </c>
      <c r="I744" s="60">
        <v>1</v>
      </c>
      <c r="J744" s="5" t="s">
        <v>1300</v>
      </c>
      <c r="K744" s="58">
        <v>266984.34999999998</v>
      </c>
      <c r="L744" s="5" t="s">
        <v>993</v>
      </c>
      <c r="M744" s="5" t="s">
        <v>1391</v>
      </c>
      <c r="N744" t="str">
        <f>_xlfn.XLOOKUP(A744,Monitoring!A:A,Monitoring!D:D)</f>
        <v>MALLS</v>
      </c>
    </row>
    <row r="745" spans="1:14" x14ac:dyDescent="0.35">
      <c r="A745" s="5">
        <v>10001457</v>
      </c>
      <c r="B745" s="5" t="s">
        <v>1295</v>
      </c>
      <c r="C745" s="5" t="s">
        <v>1318</v>
      </c>
      <c r="D745" s="61">
        <v>46269</v>
      </c>
      <c r="E745" s="61">
        <v>46283</v>
      </c>
      <c r="F745" s="5" t="s">
        <v>1364</v>
      </c>
      <c r="G745" s="5" t="s">
        <v>3376</v>
      </c>
      <c r="H745" s="5" t="s">
        <v>3377</v>
      </c>
      <c r="I745" s="60">
        <v>1</v>
      </c>
      <c r="J745" s="5" t="s">
        <v>1300</v>
      </c>
      <c r="K745" s="58">
        <v>417409.33</v>
      </c>
      <c r="L745" s="5" t="s">
        <v>993</v>
      </c>
      <c r="M745" s="5" t="s">
        <v>1391</v>
      </c>
      <c r="N745" t="str">
        <f>_xlfn.XLOOKUP(A745,Monitoring!A:A,Monitoring!D:D)</f>
        <v>MALLS</v>
      </c>
    </row>
    <row r="746" spans="1:14" x14ac:dyDescent="0.35">
      <c r="A746" s="5">
        <v>10001457</v>
      </c>
      <c r="B746" s="5" t="s">
        <v>1295</v>
      </c>
      <c r="C746" s="5" t="s">
        <v>1318</v>
      </c>
      <c r="D746" s="61">
        <v>46161</v>
      </c>
      <c r="E746" s="61">
        <v>46160</v>
      </c>
      <c r="F746" s="5" t="s">
        <v>1297</v>
      </c>
      <c r="G746" s="5" t="s">
        <v>2447</v>
      </c>
      <c r="H746" s="5" t="s">
        <v>2448</v>
      </c>
      <c r="I746" s="60">
        <v>0</v>
      </c>
      <c r="J746" s="5" t="s">
        <v>1300</v>
      </c>
      <c r="K746" s="58">
        <v>0</v>
      </c>
      <c r="L746" s="5" t="s">
        <v>1321</v>
      </c>
      <c r="M746" s="5" t="s">
        <v>1555</v>
      </c>
      <c r="N746" t="str">
        <f>_xlfn.XLOOKUP(A746,Monitoring!A:A,Monitoring!D:D)</f>
        <v>MALLS</v>
      </c>
    </row>
    <row r="747" spans="1:14" x14ac:dyDescent="0.35">
      <c r="A747" s="5">
        <v>10001457</v>
      </c>
      <c r="B747" s="5" t="s">
        <v>1295</v>
      </c>
      <c r="C747" s="5" t="s">
        <v>1318</v>
      </c>
      <c r="D747" s="61">
        <v>46168</v>
      </c>
      <c r="E747" s="61">
        <v>46164</v>
      </c>
      <c r="F747" s="5" t="s">
        <v>1297</v>
      </c>
      <c r="G747" s="5" t="s">
        <v>2449</v>
      </c>
      <c r="H747" s="5" t="s">
        <v>2450</v>
      </c>
      <c r="I747" s="60">
        <v>0</v>
      </c>
      <c r="J747" s="5" t="s">
        <v>1300</v>
      </c>
      <c r="K747" s="58">
        <v>0</v>
      </c>
      <c r="L747" s="5" t="s">
        <v>1321</v>
      </c>
      <c r="M747" s="5" t="s">
        <v>1555</v>
      </c>
      <c r="N747" t="str">
        <f>_xlfn.XLOOKUP(A747,Monitoring!A:A,Monitoring!D:D)</f>
        <v>MALLS</v>
      </c>
    </row>
    <row r="748" spans="1:14" x14ac:dyDescent="0.35">
      <c r="A748" s="5">
        <v>10001457</v>
      </c>
      <c r="B748" s="5" t="s">
        <v>1295</v>
      </c>
      <c r="C748" s="5" t="s">
        <v>1318</v>
      </c>
      <c r="D748" s="61">
        <v>46177</v>
      </c>
      <c r="E748" s="61">
        <v>46184</v>
      </c>
      <c r="F748" s="5" t="s">
        <v>1297</v>
      </c>
      <c r="G748" s="5" t="s">
        <v>2451</v>
      </c>
      <c r="H748" s="5" t="s">
        <v>2452</v>
      </c>
      <c r="I748" s="60">
        <v>0</v>
      </c>
      <c r="J748" s="5" t="s">
        <v>1300</v>
      </c>
      <c r="K748" s="58">
        <v>0</v>
      </c>
      <c r="L748" s="5" t="s">
        <v>1527</v>
      </c>
      <c r="M748" s="5" t="s">
        <v>1555</v>
      </c>
      <c r="N748" t="str">
        <f>_xlfn.XLOOKUP(A748,Monitoring!A:A,Monitoring!D:D)</f>
        <v>MALLS</v>
      </c>
    </row>
    <row r="749" spans="1:14" x14ac:dyDescent="0.35">
      <c r="A749" s="5">
        <v>10001457</v>
      </c>
      <c r="B749" s="5" t="s">
        <v>1295</v>
      </c>
      <c r="C749" s="5" t="s">
        <v>1318</v>
      </c>
      <c r="D749" s="61">
        <v>46219</v>
      </c>
      <c r="E749" s="61">
        <v>46233</v>
      </c>
      <c r="F749" s="5" t="s">
        <v>1297</v>
      </c>
      <c r="G749" s="5" t="s">
        <v>3060</v>
      </c>
      <c r="H749" s="5" t="s">
        <v>2452</v>
      </c>
      <c r="I749" s="60">
        <v>0</v>
      </c>
      <c r="J749" s="5" t="s">
        <v>1300</v>
      </c>
      <c r="K749" s="58">
        <v>0</v>
      </c>
      <c r="L749" s="5" t="s">
        <v>1527</v>
      </c>
      <c r="M749" s="5" t="s">
        <v>1555</v>
      </c>
      <c r="N749" t="str">
        <f>_xlfn.XLOOKUP(A749,Monitoring!A:A,Monitoring!D:D)</f>
        <v>MALLS</v>
      </c>
    </row>
    <row r="750" spans="1:14" x14ac:dyDescent="0.35">
      <c r="A750" s="5">
        <v>10001457</v>
      </c>
      <c r="B750" s="5" t="s">
        <v>1295</v>
      </c>
      <c r="C750" s="5" t="s">
        <v>1318</v>
      </c>
      <c r="D750" s="61">
        <v>46220</v>
      </c>
      <c r="E750" s="61">
        <v>46227</v>
      </c>
      <c r="F750" s="5" t="s">
        <v>1297</v>
      </c>
      <c r="G750" s="5" t="s">
        <v>3061</v>
      </c>
      <c r="H750" s="5" t="s">
        <v>3062</v>
      </c>
      <c r="I750" s="60">
        <v>0</v>
      </c>
      <c r="J750" s="5" t="s">
        <v>1300</v>
      </c>
      <c r="K750" s="58">
        <v>0</v>
      </c>
      <c r="L750" s="5" t="s">
        <v>1527</v>
      </c>
      <c r="M750" s="5" t="s">
        <v>1377</v>
      </c>
      <c r="N750" t="str">
        <f>_xlfn.XLOOKUP(A750,Monitoring!A:A,Monitoring!D:D)</f>
        <v>MALLS</v>
      </c>
    </row>
    <row r="751" spans="1:14" x14ac:dyDescent="0.35">
      <c r="A751" s="5">
        <v>10001457</v>
      </c>
      <c r="B751" s="5" t="s">
        <v>1295</v>
      </c>
      <c r="C751" s="5" t="s">
        <v>1318</v>
      </c>
      <c r="D751" s="61">
        <v>46259</v>
      </c>
      <c r="E751" s="61">
        <v>46265</v>
      </c>
      <c r="F751" s="5" t="s">
        <v>1297</v>
      </c>
      <c r="G751" s="5" t="s">
        <v>3378</v>
      </c>
      <c r="H751" s="5" t="s">
        <v>3379</v>
      </c>
      <c r="I751" s="60">
        <v>1</v>
      </c>
      <c r="J751" s="5" t="s">
        <v>1300</v>
      </c>
      <c r="K751" s="58">
        <v>102678.57</v>
      </c>
      <c r="L751" s="5" t="s">
        <v>1527</v>
      </c>
      <c r="M751" s="5" t="s">
        <v>1344</v>
      </c>
      <c r="N751" t="str">
        <f>_xlfn.XLOOKUP(A751,Monitoring!A:A,Monitoring!D:D)</f>
        <v>MALLS</v>
      </c>
    </row>
    <row r="752" spans="1:14" x14ac:dyDescent="0.35">
      <c r="A752" s="5">
        <v>10001457</v>
      </c>
      <c r="B752" s="5" t="s">
        <v>1295</v>
      </c>
      <c r="C752" s="5" t="s">
        <v>1318</v>
      </c>
      <c r="D752" s="61">
        <v>46259</v>
      </c>
      <c r="E752" s="61">
        <v>46265</v>
      </c>
      <c r="F752" s="5" t="s">
        <v>1297</v>
      </c>
      <c r="G752" s="5" t="s">
        <v>3378</v>
      </c>
      <c r="H752" s="5" t="s">
        <v>3380</v>
      </c>
      <c r="I752" s="60">
        <v>1</v>
      </c>
      <c r="J752" s="5" t="s">
        <v>1300</v>
      </c>
      <c r="K752" s="58">
        <v>379464.29</v>
      </c>
      <c r="L752" s="5" t="s">
        <v>1527</v>
      </c>
      <c r="M752" s="5" t="s">
        <v>1334</v>
      </c>
      <c r="N752" t="str">
        <f>_xlfn.XLOOKUP(A752,Monitoring!A:A,Monitoring!D:D)</f>
        <v>MALLS</v>
      </c>
    </row>
    <row r="753" spans="1:14" x14ac:dyDescent="0.35">
      <c r="A753" s="5">
        <v>10001457</v>
      </c>
      <c r="B753" s="5" t="s">
        <v>1295</v>
      </c>
      <c r="C753" s="5" t="s">
        <v>1318</v>
      </c>
      <c r="D753" s="61">
        <v>46269</v>
      </c>
      <c r="E753" s="61">
        <v>46265</v>
      </c>
      <c r="F753" s="5" t="s">
        <v>1297</v>
      </c>
      <c r="G753" s="5" t="s">
        <v>3381</v>
      </c>
      <c r="H753" s="5" t="s">
        <v>3382</v>
      </c>
      <c r="I753" s="60">
        <v>1</v>
      </c>
      <c r="J753" s="5" t="s">
        <v>1300</v>
      </c>
      <c r="K753" s="58">
        <v>214285.71</v>
      </c>
      <c r="L753" s="5" t="s">
        <v>1527</v>
      </c>
      <c r="M753" s="5" t="s">
        <v>1334</v>
      </c>
      <c r="N753" t="str">
        <f>_xlfn.XLOOKUP(A753,Monitoring!A:A,Monitoring!D:D)</f>
        <v>MALLS</v>
      </c>
    </row>
    <row r="754" spans="1:14" x14ac:dyDescent="0.35">
      <c r="A754" s="5">
        <v>10001457</v>
      </c>
      <c r="B754" s="5" t="s">
        <v>1295</v>
      </c>
      <c r="C754" s="5" t="s">
        <v>1318</v>
      </c>
      <c r="D754" s="61">
        <v>46279</v>
      </c>
      <c r="E754" s="61">
        <v>46238</v>
      </c>
      <c r="F754" s="5" t="s">
        <v>1297</v>
      </c>
      <c r="G754" s="5" t="s">
        <v>3383</v>
      </c>
      <c r="H754" s="5" t="s">
        <v>3384</v>
      </c>
      <c r="I754" s="60">
        <v>1</v>
      </c>
      <c r="J754" s="5" t="s">
        <v>1300</v>
      </c>
      <c r="K754" s="58">
        <v>638392.86</v>
      </c>
      <c r="L754" s="5" t="s">
        <v>1527</v>
      </c>
      <c r="M754" s="5" t="s">
        <v>1334</v>
      </c>
      <c r="N754" t="str">
        <f>_xlfn.XLOOKUP(A754,Monitoring!A:A,Monitoring!D:D)</f>
        <v>MALLS</v>
      </c>
    </row>
    <row r="755" spans="1:14" x14ac:dyDescent="0.35">
      <c r="A755" s="5">
        <v>10001458</v>
      </c>
      <c r="B755" s="5" t="s">
        <v>1295</v>
      </c>
      <c r="C755" s="5" t="s">
        <v>1296</v>
      </c>
      <c r="D755" s="61">
        <v>46155</v>
      </c>
      <c r="E755" s="61">
        <v>46188</v>
      </c>
      <c r="F755" s="5" t="s">
        <v>1364</v>
      </c>
      <c r="G755" s="5" t="s">
        <v>2453</v>
      </c>
      <c r="H755" s="5" t="s">
        <v>2454</v>
      </c>
      <c r="I755" s="60">
        <v>0</v>
      </c>
      <c r="J755" s="5" t="s">
        <v>1300</v>
      </c>
      <c r="K755" s="58">
        <v>0</v>
      </c>
      <c r="L755" s="5" t="s">
        <v>993</v>
      </c>
      <c r="M755" s="5" t="s">
        <v>1408</v>
      </c>
      <c r="N755" t="str">
        <f>_xlfn.XLOOKUP(A755,Monitoring!A:A,Monitoring!D:D)</f>
        <v>ESTATES</v>
      </c>
    </row>
    <row r="756" spans="1:14" x14ac:dyDescent="0.35">
      <c r="A756" s="5">
        <v>10001458</v>
      </c>
      <c r="B756" s="5" t="s">
        <v>1295</v>
      </c>
      <c r="C756" s="5" t="s">
        <v>1296</v>
      </c>
      <c r="D756" s="61">
        <v>46171</v>
      </c>
      <c r="E756" s="61">
        <v>46202</v>
      </c>
      <c r="F756" s="5" t="s">
        <v>1364</v>
      </c>
      <c r="G756" s="5" t="s">
        <v>2455</v>
      </c>
      <c r="H756" s="5" t="s">
        <v>2456</v>
      </c>
      <c r="I756" s="60">
        <v>0</v>
      </c>
      <c r="J756" s="5" t="s">
        <v>1300</v>
      </c>
      <c r="K756" s="58">
        <v>0</v>
      </c>
      <c r="L756" s="5" t="s">
        <v>993</v>
      </c>
      <c r="M756" s="5" t="s">
        <v>1486</v>
      </c>
      <c r="N756" t="str">
        <f>_xlfn.XLOOKUP(A756,Monitoring!A:A,Monitoring!D:D)</f>
        <v>ESTATES</v>
      </c>
    </row>
    <row r="757" spans="1:14" x14ac:dyDescent="0.35">
      <c r="A757" s="5">
        <v>10001458</v>
      </c>
      <c r="B757" s="5" t="s">
        <v>1295</v>
      </c>
      <c r="C757" s="5" t="s">
        <v>1296</v>
      </c>
      <c r="D757" s="61">
        <v>46195</v>
      </c>
      <c r="E757" s="61">
        <v>46225</v>
      </c>
      <c r="F757" s="5" t="s">
        <v>1364</v>
      </c>
      <c r="G757" s="5" t="s">
        <v>2806</v>
      </c>
      <c r="H757" s="5" t="s">
        <v>2807</v>
      </c>
      <c r="I757" s="60">
        <v>0</v>
      </c>
      <c r="J757" s="5" t="s">
        <v>1300</v>
      </c>
      <c r="K757" s="58">
        <v>0</v>
      </c>
      <c r="L757" s="5" t="s">
        <v>993</v>
      </c>
      <c r="M757" s="5" t="s">
        <v>1408</v>
      </c>
      <c r="N757" t="str">
        <f>_xlfn.XLOOKUP(A757,Monitoring!A:A,Monitoring!D:D)</f>
        <v>ESTATES</v>
      </c>
    </row>
    <row r="758" spans="1:14" x14ac:dyDescent="0.35">
      <c r="A758" s="5">
        <v>10001458</v>
      </c>
      <c r="B758" s="5" t="s">
        <v>1295</v>
      </c>
      <c r="C758" s="5" t="s">
        <v>1296</v>
      </c>
      <c r="D758" s="61">
        <v>46195</v>
      </c>
      <c r="E758" s="61">
        <v>46225</v>
      </c>
      <c r="F758" s="5" t="s">
        <v>1364</v>
      </c>
      <c r="G758" s="5" t="s">
        <v>2808</v>
      </c>
      <c r="H758" s="5" t="s">
        <v>2809</v>
      </c>
      <c r="I758" s="60">
        <v>0</v>
      </c>
      <c r="J758" s="5" t="s">
        <v>1300</v>
      </c>
      <c r="K758" s="58">
        <v>0</v>
      </c>
      <c r="L758" s="5" t="s">
        <v>993</v>
      </c>
      <c r="M758" s="5" t="s">
        <v>1408</v>
      </c>
      <c r="N758" t="str">
        <f>_xlfn.XLOOKUP(A758,Monitoring!A:A,Monitoring!D:D)</f>
        <v>ESTATES</v>
      </c>
    </row>
    <row r="759" spans="1:14" x14ac:dyDescent="0.35">
      <c r="A759" s="5">
        <v>10001458</v>
      </c>
      <c r="B759" s="5" t="s">
        <v>1295</v>
      </c>
      <c r="C759" s="5" t="s">
        <v>1296</v>
      </c>
      <c r="D759" s="61">
        <v>46212</v>
      </c>
      <c r="E759" s="61">
        <v>46244</v>
      </c>
      <c r="F759" s="5" t="s">
        <v>1364</v>
      </c>
      <c r="G759" s="5" t="s">
        <v>2855</v>
      </c>
      <c r="H759" s="5" t="s">
        <v>2856</v>
      </c>
      <c r="I759" s="60">
        <v>0</v>
      </c>
      <c r="J759" s="5" t="s">
        <v>1300</v>
      </c>
      <c r="K759" s="58">
        <v>0</v>
      </c>
      <c r="L759" s="5" t="s">
        <v>993</v>
      </c>
      <c r="M759" s="5" t="s">
        <v>1408</v>
      </c>
      <c r="N759" t="str">
        <f>_xlfn.XLOOKUP(A759,Monitoring!A:A,Monitoring!D:D)</f>
        <v>ESTATES</v>
      </c>
    </row>
    <row r="760" spans="1:14" x14ac:dyDescent="0.35">
      <c r="A760" s="5">
        <v>10001458</v>
      </c>
      <c r="B760" s="5" t="s">
        <v>1295</v>
      </c>
      <c r="C760" s="5" t="s">
        <v>1296</v>
      </c>
      <c r="D760" s="61">
        <v>46156</v>
      </c>
      <c r="E760" s="61">
        <v>46156</v>
      </c>
      <c r="F760" s="5" t="s">
        <v>1297</v>
      </c>
      <c r="G760" s="5" t="s">
        <v>2457</v>
      </c>
      <c r="H760" s="5" t="s">
        <v>2454</v>
      </c>
      <c r="I760" s="60">
        <v>0</v>
      </c>
      <c r="J760" s="5" t="s">
        <v>1300</v>
      </c>
      <c r="K760" s="58">
        <v>0</v>
      </c>
      <c r="L760" s="5" t="s">
        <v>2458</v>
      </c>
      <c r="M760" s="5" t="s">
        <v>1326</v>
      </c>
      <c r="N760" t="str">
        <f>_xlfn.XLOOKUP(A760,Monitoring!A:A,Monitoring!D:D)</f>
        <v>ESTATES</v>
      </c>
    </row>
    <row r="761" spans="1:14" x14ac:dyDescent="0.35">
      <c r="A761" s="5">
        <v>10001458</v>
      </c>
      <c r="B761" s="5" t="s">
        <v>1295</v>
      </c>
      <c r="C761" s="5" t="s">
        <v>1296</v>
      </c>
      <c r="D761" s="61">
        <v>46181</v>
      </c>
      <c r="E761" s="61">
        <v>46181</v>
      </c>
      <c r="F761" s="5" t="s">
        <v>1297</v>
      </c>
      <c r="G761" s="5" t="s">
        <v>2514</v>
      </c>
      <c r="H761" s="5" t="s">
        <v>2456</v>
      </c>
      <c r="I761" s="60">
        <v>0</v>
      </c>
      <c r="J761" s="5" t="s">
        <v>1300</v>
      </c>
      <c r="K761" s="58">
        <v>0</v>
      </c>
      <c r="L761" s="5" t="s">
        <v>1388</v>
      </c>
      <c r="M761" s="5" t="s">
        <v>1306</v>
      </c>
      <c r="N761" t="str">
        <f>_xlfn.XLOOKUP(A761,Monitoring!A:A,Monitoring!D:D)</f>
        <v>ESTATES</v>
      </c>
    </row>
    <row r="762" spans="1:14" x14ac:dyDescent="0.35">
      <c r="A762" s="5">
        <v>10001458</v>
      </c>
      <c r="B762" s="5" t="s">
        <v>1295</v>
      </c>
      <c r="C762" s="5" t="s">
        <v>1296</v>
      </c>
      <c r="D762" s="61">
        <v>46202</v>
      </c>
      <c r="E762" s="61">
        <v>46202</v>
      </c>
      <c r="F762" s="5" t="s">
        <v>1297</v>
      </c>
      <c r="G762" s="5" t="s">
        <v>2810</v>
      </c>
      <c r="H762" s="5" t="s">
        <v>2807</v>
      </c>
      <c r="I762" s="60">
        <v>1</v>
      </c>
      <c r="J762" s="5" t="s">
        <v>1300</v>
      </c>
      <c r="K762" s="58">
        <v>72321428.569999993</v>
      </c>
      <c r="L762" s="5" t="s">
        <v>2811</v>
      </c>
      <c r="M762" s="5" t="s">
        <v>1408</v>
      </c>
      <c r="N762" t="str">
        <f>_xlfn.XLOOKUP(A762,Monitoring!A:A,Monitoring!D:D)</f>
        <v>ESTATES</v>
      </c>
    </row>
    <row r="763" spans="1:14" x14ac:dyDescent="0.35">
      <c r="A763" s="5">
        <v>10001458</v>
      </c>
      <c r="B763" s="5" t="s">
        <v>1295</v>
      </c>
      <c r="C763" s="5" t="s">
        <v>1296</v>
      </c>
      <c r="D763" s="61">
        <v>46202</v>
      </c>
      <c r="E763" s="61">
        <v>46225</v>
      </c>
      <c r="F763" s="5" t="s">
        <v>1297</v>
      </c>
      <c r="G763" s="5" t="s">
        <v>2812</v>
      </c>
      <c r="H763" s="5" t="s">
        <v>2809</v>
      </c>
      <c r="I763" s="60">
        <v>1</v>
      </c>
      <c r="J763" s="5" t="s">
        <v>1300</v>
      </c>
      <c r="K763" s="58">
        <v>4464285.71</v>
      </c>
      <c r="L763" s="5" t="s">
        <v>2811</v>
      </c>
      <c r="M763" s="5" t="s">
        <v>1408</v>
      </c>
      <c r="N763" t="str">
        <f>_xlfn.XLOOKUP(A763,Monitoring!A:A,Monitoring!D:D)</f>
        <v>ESTATES</v>
      </c>
    </row>
    <row r="764" spans="1:14" x14ac:dyDescent="0.35">
      <c r="A764" s="5">
        <v>10001458</v>
      </c>
      <c r="B764" s="5" t="s">
        <v>1295</v>
      </c>
      <c r="C764" s="5" t="s">
        <v>1296</v>
      </c>
      <c r="D764" s="61">
        <v>46218</v>
      </c>
      <c r="E764" s="61">
        <v>46218</v>
      </c>
      <c r="F764" s="5" t="s">
        <v>1297</v>
      </c>
      <c r="G764" s="5" t="s">
        <v>2925</v>
      </c>
      <c r="H764" s="5" t="s">
        <v>2856</v>
      </c>
      <c r="I764" s="59">
        <v>0.36199999999999999</v>
      </c>
      <c r="J764" s="5" t="s">
        <v>1300</v>
      </c>
      <c r="K764" s="58">
        <v>13400.47</v>
      </c>
      <c r="L764" s="5" t="s">
        <v>3063</v>
      </c>
      <c r="M764" s="5" t="s">
        <v>1306</v>
      </c>
      <c r="N764" t="str">
        <f>_xlfn.XLOOKUP(A764,Monitoring!A:A,Monitoring!D:D)</f>
        <v>ESTATES</v>
      </c>
    </row>
    <row r="765" spans="1:14" x14ac:dyDescent="0.35">
      <c r="A765" s="5">
        <v>10001459</v>
      </c>
      <c r="B765" s="5" t="s">
        <v>1295</v>
      </c>
      <c r="C765" s="5" t="s">
        <v>1318</v>
      </c>
      <c r="D765" s="61">
        <v>46150</v>
      </c>
      <c r="E765" s="61">
        <v>46173</v>
      </c>
      <c r="F765" s="5" t="s">
        <v>1364</v>
      </c>
      <c r="G765" s="5" t="s">
        <v>2459</v>
      </c>
      <c r="H765" s="5" t="s">
        <v>2813</v>
      </c>
      <c r="I765" s="60">
        <v>0</v>
      </c>
      <c r="J765" s="5" t="s">
        <v>1300</v>
      </c>
      <c r="K765" s="58">
        <v>0</v>
      </c>
      <c r="L765" s="5" t="s">
        <v>993</v>
      </c>
      <c r="M765" s="5" t="s">
        <v>1330</v>
      </c>
      <c r="N765" t="str">
        <f>_xlfn.XLOOKUP(A765,Monitoring!A:A,Monitoring!D:D)</f>
        <v>MALLS</v>
      </c>
    </row>
    <row r="766" spans="1:14" x14ac:dyDescent="0.35">
      <c r="A766" s="5">
        <v>10001459</v>
      </c>
      <c r="B766" s="5" t="s">
        <v>1295</v>
      </c>
      <c r="C766" s="5" t="s">
        <v>1318</v>
      </c>
      <c r="D766" s="61">
        <v>46184</v>
      </c>
      <c r="E766" s="61">
        <v>46173</v>
      </c>
      <c r="F766" s="5" t="s">
        <v>1364</v>
      </c>
      <c r="G766" s="5" t="s">
        <v>2459</v>
      </c>
      <c r="H766" s="5" t="s">
        <v>2814</v>
      </c>
      <c r="I766" s="60">
        <v>0</v>
      </c>
      <c r="J766" s="5" t="s">
        <v>1300</v>
      </c>
      <c r="K766" s="58">
        <v>0</v>
      </c>
      <c r="L766" s="5" t="s">
        <v>993</v>
      </c>
      <c r="M766" s="5" t="s">
        <v>1330</v>
      </c>
      <c r="N766" t="str">
        <f>_xlfn.XLOOKUP(A766,Monitoring!A:A,Monitoring!D:D)</f>
        <v>MALLS</v>
      </c>
    </row>
    <row r="767" spans="1:14" x14ac:dyDescent="0.35">
      <c r="A767" s="5">
        <v>10001459</v>
      </c>
      <c r="B767" s="5" t="s">
        <v>1295</v>
      </c>
      <c r="C767" s="5" t="s">
        <v>1318</v>
      </c>
      <c r="D767" s="61">
        <v>46184</v>
      </c>
      <c r="E767" s="61">
        <v>46173</v>
      </c>
      <c r="F767" s="5" t="s">
        <v>1364</v>
      </c>
      <c r="G767" s="5" t="s">
        <v>2459</v>
      </c>
      <c r="H767" s="5" t="s">
        <v>2815</v>
      </c>
      <c r="I767" s="60">
        <v>0</v>
      </c>
      <c r="J767" s="5" t="s">
        <v>1300</v>
      </c>
      <c r="K767" s="58">
        <v>0</v>
      </c>
      <c r="L767" s="5" t="s">
        <v>993</v>
      </c>
      <c r="M767" s="5" t="s">
        <v>1330</v>
      </c>
      <c r="N767" t="str">
        <f>_xlfn.XLOOKUP(A767,Monitoring!A:A,Monitoring!D:D)</f>
        <v>MALLS</v>
      </c>
    </row>
    <row r="768" spans="1:14" x14ac:dyDescent="0.35">
      <c r="A768" s="5">
        <v>10001459</v>
      </c>
      <c r="B768" s="5" t="s">
        <v>1295</v>
      </c>
      <c r="C768" s="5" t="s">
        <v>1318</v>
      </c>
      <c r="D768" s="61">
        <v>46184</v>
      </c>
      <c r="E768" s="61">
        <v>46173</v>
      </c>
      <c r="F768" s="5" t="s">
        <v>1364</v>
      </c>
      <c r="G768" s="5" t="s">
        <v>2459</v>
      </c>
      <c r="H768" s="5" t="s">
        <v>2816</v>
      </c>
      <c r="I768" s="60">
        <v>0</v>
      </c>
      <c r="J768" s="5" t="s">
        <v>1300</v>
      </c>
      <c r="K768" s="58">
        <v>0</v>
      </c>
      <c r="L768" s="5" t="s">
        <v>993</v>
      </c>
      <c r="M768" s="5" t="s">
        <v>1330</v>
      </c>
      <c r="N768" t="str">
        <f>_xlfn.XLOOKUP(A768,Monitoring!A:A,Monitoring!D:D)</f>
        <v>MALLS</v>
      </c>
    </row>
    <row r="769" spans="1:14" x14ac:dyDescent="0.35">
      <c r="A769" s="5">
        <v>10001459</v>
      </c>
      <c r="B769" s="5" t="s">
        <v>1295</v>
      </c>
      <c r="C769" s="5" t="s">
        <v>1318</v>
      </c>
      <c r="D769" s="61">
        <v>46184</v>
      </c>
      <c r="E769" s="61">
        <v>46173</v>
      </c>
      <c r="F769" s="5" t="s">
        <v>1364</v>
      </c>
      <c r="G769" s="5" t="s">
        <v>2459</v>
      </c>
      <c r="H769" s="5" t="s">
        <v>2817</v>
      </c>
      <c r="I769" s="60">
        <v>0</v>
      </c>
      <c r="J769" s="5" t="s">
        <v>1300</v>
      </c>
      <c r="K769" s="58">
        <v>0</v>
      </c>
      <c r="L769" s="5" t="s">
        <v>993</v>
      </c>
      <c r="M769" s="5" t="s">
        <v>1330</v>
      </c>
      <c r="N769" t="str">
        <f>_xlfn.XLOOKUP(A769,Monitoring!A:A,Monitoring!D:D)</f>
        <v>MALLS</v>
      </c>
    </row>
    <row r="770" spans="1:14" x14ac:dyDescent="0.35">
      <c r="A770" s="5">
        <v>10001459</v>
      </c>
      <c r="B770" s="5" t="s">
        <v>1295</v>
      </c>
      <c r="C770" s="5" t="s">
        <v>1318</v>
      </c>
      <c r="D770" s="61">
        <v>46184</v>
      </c>
      <c r="E770" s="61">
        <v>46173</v>
      </c>
      <c r="F770" s="5" t="s">
        <v>1364</v>
      </c>
      <c r="G770" s="5" t="s">
        <v>2459</v>
      </c>
      <c r="H770" s="5" t="s">
        <v>2818</v>
      </c>
      <c r="I770" s="60">
        <v>0</v>
      </c>
      <c r="J770" s="5" t="s">
        <v>1300</v>
      </c>
      <c r="K770" s="58">
        <v>0</v>
      </c>
      <c r="L770" s="5" t="s">
        <v>993</v>
      </c>
      <c r="M770" s="5" t="s">
        <v>1330</v>
      </c>
      <c r="N770" t="str">
        <f>_xlfn.XLOOKUP(A770,Monitoring!A:A,Monitoring!D:D)</f>
        <v>MALLS</v>
      </c>
    </row>
    <row r="771" spans="1:14" x14ac:dyDescent="0.35">
      <c r="A771" s="5">
        <v>10001459</v>
      </c>
      <c r="B771" s="5" t="s">
        <v>1295</v>
      </c>
      <c r="C771" s="5" t="s">
        <v>1318</v>
      </c>
      <c r="D771" s="61">
        <v>46184</v>
      </c>
      <c r="E771" s="61">
        <v>46173</v>
      </c>
      <c r="F771" s="5" t="s">
        <v>1364</v>
      </c>
      <c r="G771" s="5" t="s">
        <v>2459</v>
      </c>
      <c r="H771" s="5" t="s">
        <v>2819</v>
      </c>
      <c r="I771" s="60">
        <v>0</v>
      </c>
      <c r="J771" s="5" t="s">
        <v>1300</v>
      </c>
      <c r="K771" s="58">
        <v>0</v>
      </c>
      <c r="L771" s="5" t="s">
        <v>993</v>
      </c>
      <c r="M771" s="5" t="s">
        <v>1330</v>
      </c>
      <c r="N771" t="str">
        <f>_xlfn.XLOOKUP(A771,Monitoring!A:A,Monitoring!D:D)</f>
        <v>MALLS</v>
      </c>
    </row>
    <row r="772" spans="1:14" x14ac:dyDescent="0.35">
      <c r="A772" s="5">
        <v>10001459</v>
      </c>
      <c r="B772" s="5" t="s">
        <v>1295</v>
      </c>
      <c r="C772" s="5" t="s">
        <v>1318</v>
      </c>
      <c r="D772" s="61">
        <v>46190</v>
      </c>
      <c r="E772" s="61">
        <v>46173</v>
      </c>
      <c r="F772" s="5" t="s">
        <v>1364</v>
      </c>
      <c r="G772" s="5" t="s">
        <v>2459</v>
      </c>
      <c r="H772" s="5" t="s">
        <v>2820</v>
      </c>
      <c r="I772" s="60">
        <v>0</v>
      </c>
      <c r="J772" s="5" t="s">
        <v>1300</v>
      </c>
      <c r="K772" s="58">
        <v>0</v>
      </c>
      <c r="L772" s="5" t="s">
        <v>993</v>
      </c>
      <c r="M772" s="5" t="s">
        <v>1330</v>
      </c>
      <c r="N772" t="str">
        <f>_xlfn.XLOOKUP(A772,Monitoring!A:A,Monitoring!D:D)</f>
        <v>MALLS</v>
      </c>
    </row>
    <row r="773" spans="1:14" x14ac:dyDescent="0.35">
      <c r="A773" s="5">
        <v>10001459</v>
      </c>
      <c r="B773" s="5" t="s">
        <v>1295</v>
      </c>
      <c r="C773" s="5" t="s">
        <v>1318</v>
      </c>
      <c r="D773" s="61">
        <v>46190</v>
      </c>
      <c r="E773" s="61">
        <v>46173</v>
      </c>
      <c r="F773" s="5" t="s">
        <v>1364</v>
      </c>
      <c r="G773" s="5" t="s">
        <v>2459</v>
      </c>
      <c r="H773" s="5" t="s">
        <v>2821</v>
      </c>
      <c r="I773" s="60">
        <v>0</v>
      </c>
      <c r="J773" s="5" t="s">
        <v>1300</v>
      </c>
      <c r="K773" s="58">
        <v>0</v>
      </c>
      <c r="L773" s="5" t="s">
        <v>993</v>
      </c>
      <c r="M773" s="5" t="s">
        <v>1330</v>
      </c>
      <c r="N773" t="str">
        <f>_xlfn.XLOOKUP(A773,Monitoring!A:A,Monitoring!D:D)</f>
        <v>MALLS</v>
      </c>
    </row>
    <row r="774" spans="1:14" x14ac:dyDescent="0.35">
      <c r="A774" s="5">
        <v>10001459</v>
      </c>
      <c r="B774" s="5" t="s">
        <v>1295</v>
      </c>
      <c r="C774" s="5" t="s">
        <v>1318</v>
      </c>
      <c r="D774" s="61">
        <v>46192</v>
      </c>
      <c r="E774" s="61">
        <v>46203</v>
      </c>
      <c r="F774" s="5" t="s">
        <v>1297</v>
      </c>
      <c r="G774" s="5" t="s">
        <v>2822</v>
      </c>
      <c r="H774" s="5" t="s">
        <v>2823</v>
      </c>
      <c r="I774" s="60">
        <v>0</v>
      </c>
      <c r="J774" s="5" t="s">
        <v>1300</v>
      </c>
      <c r="K774" s="58">
        <v>0</v>
      </c>
      <c r="L774" s="5" t="s">
        <v>1357</v>
      </c>
      <c r="M774" s="5" t="s">
        <v>1540</v>
      </c>
      <c r="N774" t="str">
        <f>_xlfn.XLOOKUP(A774,Monitoring!A:A,Monitoring!D:D)</f>
        <v>MALLS</v>
      </c>
    </row>
    <row r="775" spans="1:14" x14ac:dyDescent="0.35">
      <c r="A775" s="5">
        <v>10001459</v>
      </c>
      <c r="B775" s="5" t="s">
        <v>1295</v>
      </c>
      <c r="C775" s="5" t="s">
        <v>1318</v>
      </c>
      <c r="D775" s="61">
        <v>46192</v>
      </c>
      <c r="E775" s="61">
        <v>46203</v>
      </c>
      <c r="F775" s="5" t="s">
        <v>1297</v>
      </c>
      <c r="G775" s="5" t="s">
        <v>2822</v>
      </c>
      <c r="H775" s="5" t="s">
        <v>2824</v>
      </c>
      <c r="I775" s="60">
        <v>0</v>
      </c>
      <c r="J775" s="5" t="s">
        <v>1300</v>
      </c>
      <c r="K775" s="58">
        <v>0</v>
      </c>
      <c r="L775" s="5" t="s">
        <v>1357</v>
      </c>
      <c r="M775" s="5" t="s">
        <v>1540</v>
      </c>
      <c r="N775" t="str">
        <f>_xlfn.XLOOKUP(A775,Monitoring!A:A,Monitoring!D:D)</f>
        <v>MALLS</v>
      </c>
    </row>
    <row r="776" spans="1:14" x14ac:dyDescent="0.35">
      <c r="A776" s="5">
        <v>10001459</v>
      </c>
      <c r="B776" s="5" t="s">
        <v>1295</v>
      </c>
      <c r="C776" s="5" t="s">
        <v>1318</v>
      </c>
      <c r="D776" s="61">
        <v>46238</v>
      </c>
      <c r="E776" s="61">
        <v>46295</v>
      </c>
      <c r="F776" s="5" t="s">
        <v>1297</v>
      </c>
      <c r="G776" s="5" t="s">
        <v>3064</v>
      </c>
      <c r="H776" s="5" t="s">
        <v>3065</v>
      </c>
      <c r="I776" s="60">
        <v>1</v>
      </c>
      <c r="J776" s="5" t="s">
        <v>1300</v>
      </c>
      <c r="K776" s="58">
        <v>464033.29</v>
      </c>
      <c r="L776" s="5" t="s">
        <v>1357</v>
      </c>
      <c r="M776" s="5" t="s">
        <v>1330</v>
      </c>
      <c r="N776" t="str">
        <f>_xlfn.XLOOKUP(A776,Monitoring!A:A,Monitoring!D:D)</f>
        <v>MALLS</v>
      </c>
    </row>
    <row r="777" spans="1:14" x14ac:dyDescent="0.35">
      <c r="A777" s="5">
        <v>10001459</v>
      </c>
      <c r="B777" s="5" t="s">
        <v>1295</v>
      </c>
      <c r="C777" s="5" t="s">
        <v>1318</v>
      </c>
      <c r="D777" s="61">
        <v>46238</v>
      </c>
      <c r="E777" s="61">
        <v>46295</v>
      </c>
      <c r="F777" s="5" t="s">
        <v>1297</v>
      </c>
      <c r="G777" s="5" t="s">
        <v>3064</v>
      </c>
      <c r="H777" s="5" t="s">
        <v>3066</v>
      </c>
      <c r="I777" s="60">
        <v>1</v>
      </c>
      <c r="J777" s="5" t="s">
        <v>1300</v>
      </c>
      <c r="K777" s="58">
        <v>822767.86</v>
      </c>
      <c r="L777" s="5" t="s">
        <v>1357</v>
      </c>
      <c r="M777" s="5" t="s">
        <v>1330</v>
      </c>
      <c r="N777" t="str">
        <f>_xlfn.XLOOKUP(A777,Monitoring!A:A,Monitoring!D:D)</f>
        <v>MALLS</v>
      </c>
    </row>
    <row r="778" spans="1:14" x14ac:dyDescent="0.35">
      <c r="A778" s="5">
        <v>10001459</v>
      </c>
      <c r="B778" s="5" t="s">
        <v>1295</v>
      </c>
      <c r="C778" s="5" t="s">
        <v>1318</v>
      </c>
      <c r="D778" s="61">
        <v>46238</v>
      </c>
      <c r="E778" s="61">
        <v>46295</v>
      </c>
      <c r="F778" s="5" t="s">
        <v>1297</v>
      </c>
      <c r="G778" s="5" t="s">
        <v>3064</v>
      </c>
      <c r="H778" s="5" t="s">
        <v>3067</v>
      </c>
      <c r="I778" s="60">
        <v>1</v>
      </c>
      <c r="J778" s="5" t="s">
        <v>1300</v>
      </c>
      <c r="K778" s="58">
        <v>461548.45</v>
      </c>
      <c r="L778" s="5" t="s">
        <v>1357</v>
      </c>
      <c r="M778" s="5" t="s">
        <v>1330</v>
      </c>
      <c r="N778" t="str">
        <f>_xlfn.XLOOKUP(A778,Monitoring!A:A,Monitoring!D:D)</f>
        <v>MALLS</v>
      </c>
    </row>
    <row r="779" spans="1:14" x14ac:dyDescent="0.35">
      <c r="A779" s="5">
        <v>10001459</v>
      </c>
      <c r="B779" s="5" t="s">
        <v>1295</v>
      </c>
      <c r="C779" s="5" t="s">
        <v>1318</v>
      </c>
      <c r="D779" s="61">
        <v>46238</v>
      </c>
      <c r="E779" s="61">
        <v>46295</v>
      </c>
      <c r="F779" s="5" t="s">
        <v>1297</v>
      </c>
      <c r="G779" s="5" t="s">
        <v>3064</v>
      </c>
      <c r="H779" s="5" t="s">
        <v>3068</v>
      </c>
      <c r="I779" s="60">
        <v>1</v>
      </c>
      <c r="J779" s="5" t="s">
        <v>1300</v>
      </c>
      <c r="K779" s="58">
        <v>1008973.21</v>
      </c>
      <c r="L779" s="5" t="s">
        <v>1357</v>
      </c>
      <c r="M779" s="5" t="s">
        <v>1330</v>
      </c>
      <c r="N779" t="str">
        <f>_xlfn.XLOOKUP(A779,Monitoring!A:A,Monitoring!D:D)</f>
        <v>MALLS</v>
      </c>
    </row>
    <row r="780" spans="1:14" x14ac:dyDescent="0.35">
      <c r="A780" s="5">
        <v>10001459</v>
      </c>
      <c r="B780" s="5" t="s">
        <v>1295</v>
      </c>
      <c r="C780" s="5" t="s">
        <v>1318</v>
      </c>
      <c r="D780" s="61">
        <v>46238</v>
      </c>
      <c r="E780" s="61">
        <v>46295</v>
      </c>
      <c r="F780" s="5" t="s">
        <v>1297</v>
      </c>
      <c r="G780" s="5" t="s">
        <v>3064</v>
      </c>
      <c r="H780" s="5" t="s">
        <v>2823</v>
      </c>
      <c r="I780" s="60">
        <v>1</v>
      </c>
      <c r="J780" s="5" t="s">
        <v>1300</v>
      </c>
      <c r="K780" s="58">
        <v>114321.44</v>
      </c>
      <c r="L780" s="5" t="s">
        <v>1357</v>
      </c>
      <c r="M780" s="5" t="s">
        <v>1330</v>
      </c>
      <c r="N780" t="str">
        <f>_xlfn.XLOOKUP(A780,Monitoring!A:A,Monitoring!D:D)</f>
        <v>MALLS</v>
      </c>
    </row>
    <row r="781" spans="1:14" x14ac:dyDescent="0.35">
      <c r="A781" s="5">
        <v>10001459</v>
      </c>
      <c r="B781" s="5" t="s">
        <v>1295</v>
      </c>
      <c r="C781" s="5" t="s">
        <v>1318</v>
      </c>
      <c r="D781" s="61">
        <v>46238</v>
      </c>
      <c r="E781" s="61">
        <v>46295</v>
      </c>
      <c r="F781" s="5" t="s">
        <v>1297</v>
      </c>
      <c r="G781" s="5" t="s">
        <v>3064</v>
      </c>
      <c r="H781" s="5" t="s">
        <v>3069</v>
      </c>
      <c r="I781" s="60">
        <v>1</v>
      </c>
      <c r="J781" s="5" t="s">
        <v>1300</v>
      </c>
      <c r="K781" s="58">
        <v>290899.28999999998</v>
      </c>
      <c r="L781" s="5" t="s">
        <v>1357</v>
      </c>
      <c r="M781" s="5" t="s">
        <v>1330</v>
      </c>
      <c r="N781" t="str">
        <f>_xlfn.XLOOKUP(A781,Monitoring!A:A,Monitoring!D:D)</f>
        <v>MALLS</v>
      </c>
    </row>
    <row r="782" spans="1:14" x14ac:dyDescent="0.35">
      <c r="A782" s="5">
        <v>10001459</v>
      </c>
      <c r="B782" s="5" t="s">
        <v>1295</v>
      </c>
      <c r="C782" s="5" t="s">
        <v>1318</v>
      </c>
      <c r="D782" s="61">
        <v>46238</v>
      </c>
      <c r="E782" s="61">
        <v>46295</v>
      </c>
      <c r="F782" s="5" t="s">
        <v>1297</v>
      </c>
      <c r="G782" s="5" t="s">
        <v>3064</v>
      </c>
      <c r="H782" s="5" t="s">
        <v>2824</v>
      </c>
      <c r="I782" s="60">
        <v>1</v>
      </c>
      <c r="J782" s="5" t="s">
        <v>1300</v>
      </c>
      <c r="K782" s="58">
        <v>173214.29</v>
      </c>
      <c r="L782" s="5" t="s">
        <v>1357</v>
      </c>
      <c r="M782" s="5" t="s">
        <v>1330</v>
      </c>
      <c r="N782" t="str">
        <f>_xlfn.XLOOKUP(A782,Monitoring!A:A,Monitoring!D:D)</f>
        <v>MALLS</v>
      </c>
    </row>
    <row r="783" spans="1:14" x14ac:dyDescent="0.35">
      <c r="A783" s="5">
        <v>10001460</v>
      </c>
      <c r="B783" s="5" t="s">
        <v>1295</v>
      </c>
      <c r="C783" s="5" t="s">
        <v>1296</v>
      </c>
      <c r="D783" s="61">
        <v>46156</v>
      </c>
      <c r="E783" s="61">
        <v>46172</v>
      </c>
      <c r="F783" s="5" t="s">
        <v>1364</v>
      </c>
      <c r="G783" s="5" t="s">
        <v>2460</v>
      </c>
      <c r="H783" s="5" t="s">
        <v>2461</v>
      </c>
      <c r="I783" s="60">
        <v>0</v>
      </c>
      <c r="J783" s="5" t="s">
        <v>1300</v>
      </c>
      <c r="K783" s="58">
        <v>0</v>
      </c>
      <c r="L783" s="5" t="s">
        <v>993</v>
      </c>
      <c r="M783" s="5" t="s">
        <v>1330</v>
      </c>
      <c r="N783" t="str">
        <f>_xlfn.XLOOKUP(A783,Monitoring!A:A,Monitoring!D:D)</f>
        <v>ESTATES</v>
      </c>
    </row>
    <row r="784" spans="1:14" x14ac:dyDescent="0.35">
      <c r="A784" s="5">
        <v>10001460</v>
      </c>
      <c r="B784" s="5" t="s">
        <v>1295</v>
      </c>
      <c r="C784" s="5" t="s">
        <v>1296</v>
      </c>
      <c r="D784" s="61">
        <v>46156</v>
      </c>
      <c r="E784" s="61">
        <v>46234</v>
      </c>
      <c r="F784" s="5" t="s">
        <v>1297</v>
      </c>
      <c r="G784" s="5" t="s">
        <v>2462</v>
      </c>
      <c r="H784" s="5" t="s">
        <v>2463</v>
      </c>
      <c r="I784" s="60">
        <v>1</v>
      </c>
      <c r="J784" s="5" t="s">
        <v>1300</v>
      </c>
      <c r="K784" s="58">
        <v>20535714.289999999</v>
      </c>
      <c r="L784" s="5" t="s">
        <v>1506</v>
      </c>
      <c r="M784" s="5" t="s">
        <v>1306</v>
      </c>
      <c r="N784" t="str">
        <f>_xlfn.XLOOKUP(A784,Monitoring!A:A,Monitoring!D:D)</f>
        <v>ESTATES</v>
      </c>
    </row>
    <row r="785" spans="1:14" x14ac:dyDescent="0.35">
      <c r="A785" s="5">
        <v>10001462</v>
      </c>
      <c r="B785" s="5" t="s">
        <v>1295</v>
      </c>
      <c r="C785" s="5" t="s">
        <v>1318</v>
      </c>
      <c r="D785" s="61">
        <v>46184</v>
      </c>
      <c r="E785" s="61">
        <v>46203</v>
      </c>
      <c r="F785" s="5" t="s">
        <v>1364</v>
      </c>
      <c r="G785" s="5" t="s">
        <v>2825</v>
      </c>
      <c r="H785" s="5" t="s">
        <v>2826</v>
      </c>
      <c r="I785" s="60">
        <v>0</v>
      </c>
      <c r="J785" s="5" t="s">
        <v>1300</v>
      </c>
      <c r="K785" s="58">
        <v>0</v>
      </c>
      <c r="L785" s="5" t="s">
        <v>993</v>
      </c>
      <c r="M785" s="5" t="s">
        <v>1330</v>
      </c>
      <c r="N785" t="str">
        <f>_xlfn.XLOOKUP(A785,Monitoring!A:A,Monitoring!D:D)</f>
        <v>MALLS</v>
      </c>
    </row>
    <row r="786" spans="1:14" x14ac:dyDescent="0.35">
      <c r="A786" s="5">
        <v>10001462</v>
      </c>
      <c r="B786" s="5" t="s">
        <v>1295</v>
      </c>
      <c r="C786" s="5" t="s">
        <v>1318</v>
      </c>
      <c r="D786" s="61">
        <v>46240</v>
      </c>
      <c r="E786" s="61">
        <v>46264</v>
      </c>
      <c r="F786" s="5" t="s">
        <v>1297</v>
      </c>
      <c r="G786" s="5" t="s">
        <v>3070</v>
      </c>
      <c r="H786" s="5" t="s">
        <v>3071</v>
      </c>
      <c r="I786" s="60">
        <v>1</v>
      </c>
      <c r="J786" s="5" t="s">
        <v>1300</v>
      </c>
      <c r="K786" s="58">
        <v>580357.14</v>
      </c>
      <c r="L786" s="5" t="s">
        <v>3072</v>
      </c>
      <c r="M786" s="5" t="s">
        <v>1330</v>
      </c>
      <c r="N786" t="str">
        <f>_xlfn.XLOOKUP(A786,Monitoring!A:A,Monitoring!D:D)</f>
        <v>MALLS</v>
      </c>
    </row>
    <row r="787" spans="1:14" x14ac:dyDescent="0.35">
      <c r="A787" s="5">
        <v>10001463</v>
      </c>
      <c r="B787" s="5" t="s">
        <v>1295</v>
      </c>
      <c r="C787" s="5" t="s">
        <v>1318</v>
      </c>
      <c r="D787" s="61">
        <v>46188</v>
      </c>
      <c r="E787" s="61">
        <v>46218</v>
      </c>
      <c r="F787" s="5" t="s">
        <v>1364</v>
      </c>
      <c r="G787" s="5" t="s">
        <v>2827</v>
      </c>
      <c r="H787" s="5" t="s">
        <v>2828</v>
      </c>
      <c r="I787" s="60">
        <v>0</v>
      </c>
      <c r="J787" s="5" t="s">
        <v>1300</v>
      </c>
      <c r="K787" s="58">
        <v>0</v>
      </c>
      <c r="L787" s="5" t="s">
        <v>993</v>
      </c>
      <c r="M787" s="5" t="s">
        <v>1330</v>
      </c>
      <c r="N787" t="str">
        <f>_xlfn.XLOOKUP(A787,Monitoring!A:A,Monitoring!D:D)</f>
        <v>OFFICES</v>
      </c>
    </row>
    <row r="788" spans="1:14" x14ac:dyDescent="0.35">
      <c r="A788" s="5">
        <v>10001463</v>
      </c>
      <c r="B788" s="5" t="s">
        <v>1295</v>
      </c>
      <c r="C788" s="5" t="s">
        <v>1318</v>
      </c>
      <c r="D788" s="61">
        <v>46240</v>
      </c>
      <c r="E788" s="61">
        <v>46218</v>
      </c>
      <c r="F788" s="5" t="s">
        <v>1297</v>
      </c>
      <c r="G788" s="5" t="s">
        <v>3070</v>
      </c>
      <c r="H788" s="5" t="s">
        <v>3071</v>
      </c>
      <c r="I788" s="60">
        <v>1</v>
      </c>
      <c r="J788" s="5" t="s">
        <v>1300</v>
      </c>
      <c r="K788" s="58">
        <v>580357.14</v>
      </c>
      <c r="L788" s="5" t="s">
        <v>3072</v>
      </c>
      <c r="M788" s="5" t="s">
        <v>1330</v>
      </c>
      <c r="N788" t="str">
        <f>_xlfn.XLOOKUP(A788,Monitoring!A:A,Monitoring!D:D)</f>
        <v>OFFICES</v>
      </c>
    </row>
    <row r="789" spans="1:14" x14ac:dyDescent="0.35">
      <c r="A789" s="5">
        <v>10001466</v>
      </c>
      <c r="B789" s="5" t="s">
        <v>1295</v>
      </c>
      <c r="C789" s="5" t="s">
        <v>1296</v>
      </c>
      <c r="D789" s="61">
        <v>46230</v>
      </c>
      <c r="E789" s="61">
        <v>46244</v>
      </c>
      <c r="F789" s="5" t="s">
        <v>1364</v>
      </c>
      <c r="G789" s="5" t="s">
        <v>3073</v>
      </c>
      <c r="H789" s="5" t="s">
        <v>3074</v>
      </c>
      <c r="I789" s="60">
        <v>0</v>
      </c>
      <c r="J789" s="5" t="s">
        <v>1425</v>
      </c>
      <c r="K789" s="58">
        <v>0</v>
      </c>
      <c r="L789" s="5" t="s">
        <v>993</v>
      </c>
      <c r="M789" s="5" t="s">
        <v>1344</v>
      </c>
      <c r="N789" t="str">
        <f>_xlfn.XLOOKUP(A789,Monitoring!A:A,Monitoring!D:D)</f>
        <v>ESTATES</v>
      </c>
    </row>
    <row r="790" spans="1:14" x14ac:dyDescent="0.35">
      <c r="A790" s="5">
        <v>10001466</v>
      </c>
      <c r="B790" s="5" t="s">
        <v>1295</v>
      </c>
      <c r="C790" s="5" t="s">
        <v>1296</v>
      </c>
      <c r="D790" s="61">
        <v>46230</v>
      </c>
      <c r="E790" s="61">
        <v>46244</v>
      </c>
      <c r="F790" s="5" t="s">
        <v>1364</v>
      </c>
      <c r="G790" s="5" t="s">
        <v>3073</v>
      </c>
      <c r="H790" s="5" t="s">
        <v>3075</v>
      </c>
      <c r="I790" s="60">
        <v>0</v>
      </c>
      <c r="J790" s="5" t="s">
        <v>1425</v>
      </c>
      <c r="K790" s="58">
        <v>0</v>
      </c>
      <c r="L790" s="5" t="s">
        <v>993</v>
      </c>
      <c r="M790" s="5" t="s">
        <v>1344</v>
      </c>
      <c r="N790" t="str">
        <f>_xlfn.XLOOKUP(A790,Monitoring!A:A,Monitoring!D:D)</f>
        <v>ESTATES</v>
      </c>
    </row>
    <row r="791" spans="1:14" x14ac:dyDescent="0.35">
      <c r="A791" s="5">
        <v>10001466</v>
      </c>
      <c r="B791" s="5" t="s">
        <v>1295</v>
      </c>
      <c r="C791" s="5" t="s">
        <v>1296</v>
      </c>
      <c r="D791" s="61">
        <v>46230</v>
      </c>
      <c r="E791" s="61">
        <v>46244</v>
      </c>
      <c r="F791" s="5" t="s">
        <v>1364</v>
      </c>
      <c r="G791" s="5" t="s">
        <v>3073</v>
      </c>
      <c r="H791" s="5" t="s">
        <v>3076</v>
      </c>
      <c r="I791" s="60">
        <v>0</v>
      </c>
      <c r="J791" s="5" t="s">
        <v>2412</v>
      </c>
      <c r="K791" s="58">
        <v>0</v>
      </c>
      <c r="L791" s="5" t="s">
        <v>993</v>
      </c>
      <c r="M791" s="5" t="s">
        <v>1344</v>
      </c>
      <c r="N791" t="str">
        <f>_xlfn.XLOOKUP(A791,Monitoring!A:A,Monitoring!D:D)</f>
        <v>ESTATES</v>
      </c>
    </row>
    <row r="792" spans="1:14" x14ac:dyDescent="0.35">
      <c r="A792" s="5">
        <v>10001466</v>
      </c>
      <c r="B792" s="5" t="s">
        <v>1295</v>
      </c>
      <c r="C792" s="5" t="s">
        <v>1296</v>
      </c>
      <c r="D792" s="61">
        <v>46244</v>
      </c>
      <c r="E792" s="61">
        <v>46244</v>
      </c>
      <c r="F792" s="5" t="s">
        <v>1297</v>
      </c>
      <c r="G792" s="5" t="s">
        <v>3137</v>
      </c>
      <c r="H792" s="5" t="s">
        <v>3138</v>
      </c>
      <c r="I792" s="60">
        <v>159</v>
      </c>
      <c r="J792" s="5" t="s">
        <v>1425</v>
      </c>
      <c r="K792" s="58">
        <v>166526.79</v>
      </c>
      <c r="L792" s="5" t="s">
        <v>2347</v>
      </c>
      <c r="M792" s="5" t="s">
        <v>1344</v>
      </c>
      <c r="N792" t="str">
        <f>_xlfn.XLOOKUP(A792,Monitoring!A:A,Monitoring!D:D)</f>
        <v>ESTATES</v>
      </c>
    </row>
    <row r="793" spans="1:14" x14ac:dyDescent="0.35">
      <c r="A793" s="5">
        <v>10001466</v>
      </c>
      <c r="B793" s="5" t="s">
        <v>1295</v>
      </c>
      <c r="C793" s="5" t="s">
        <v>1296</v>
      </c>
      <c r="D793" s="61">
        <v>46244</v>
      </c>
      <c r="E793" s="61">
        <v>46244</v>
      </c>
      <c r="F793" s="5" t="s">
        <v>1297</v>
      </c>
      <c r="G793" s="5" t="s">
        <v>3137</v>
      </c>
      <c r="H793" s="5" t="s">
        <v>3139</v>
      </c>
      <c r="I793" s="60">
        <v>20</v>
      </c>
      <c r="J793" s="5" t="s">
        <v>1425</v>
      </c>
      <c r="K793" s="58">
        <v>34366.07</v>
      </c>
      <c r="L793" s="5" t="s">
        <v>2347</v>
      </c>
      <c r="M793" s="5" t="s">
        <v>1344</v>
      </c>
      <c r="N793" t="str">
        <f>_xlfn.XLOOKUP(A793,Monitoring!A:A,Monitoring!D:D)</f>
        <v>ESTATES</v>
      </c>
    </row>
    <row r="794" spans="1:14" x14ac:dyDescent="0.35">
      <c r="A794" s="5">
        <v>10001466</v>
      </c>
      <c r="B794" s="5" t="s">
        <v>1295</v>
      </c>
      <c r="C794" s="5" t="s">
        <v>1296</v>
      </c>
      <c r="D794" s="61">
        <v>46244</v>
      </c>
      <c r="E794" s="61">
        <v>46244</v>
      </c>
      <c r="F794" s="5" t="s">
        <v>1297</v>
      </c>
      <c r="G794" s="5" t="s">
        <v>3137</v>
      </c>
      <c r="H794" s="5" t="s">
        <v>3140</v>
      </c>
      <c r="I794" s="60">
        <v>20</v>
      </c>
      <c r="J794" s="5" t="s">
        <v>2412</v>
      </c>
      <c r="K794" s="58">
        <v>17857.14</v>
      </c>
      <c r="L794" s="5" t="s">
        <v>2347</v>
      </c>
      <c r="M794" s="5" t="s">
        <v>1344</v>
      </c>
      <c r="N794" t="str">
        <f>_xlfn.XLOOKUP(A794,Monitoring!A:A,Monitoring!D:D)</f>
        <v>ESTATES</v>
      </c>
    </row>
    <row r="795" spans="1:14" x14ac:dyDescent="0.35">
      <c r="A795" s="5">
        <v>10001467</v>
      </c>
      <c r="B795" s="5" t="s">
        <v>1295</v>
      </c>
      <c r="C795" s="5" t="s">
        <v>1318</v>
      </c>
      <c r="D795" s="61">
        <v>46218</v>
      </c>
      <c r="E795" s="61">
        <v>46230</v>
      </c>
      <c r="F795" s="5" t="s">
        <v>1364</v>
      </c>
      <c r="G795" s="5" t="s">
        <v>3077</v>
      </c>
      <c r="H795" s="5" t="s">
        <v>3078</v>
      </c>
      <c r="I795" s="60">
        <v>0</v>
      </c>
      <c r="J795" s="5" t="s">
        <v>1425</v>
      </c>
      <c r="K795" s="58">
        <v>0</v>
      </c>
      <c r="L795" s="5" t="s">
        <v>993</v>
      </c>
      <c r="M795" s="5" t="s">
        <v>1344</v>
      </c>
      <c r="N795" t="str">
        <f>_xlfn.XLOOKUP(A795,Monitoring!A:A,Monitoring!D:D)</f>
        <v>ESTATES</v>
      </c>
    </row>
    <row r="796" spans="1:14" x14ac:dyDescent="0.35">
      <c r="A796" s="5">
        <v>10001467</v>
      </c>
      <c r="B796" s="5" t="s">
        <v>1295</v>
      </c>
      <c r="C796" s="5" t="s">
        <v>1318</v>
      </c>
      <c r="D796" s="61">
        <v>46226</v>
      </c>
      <c r="E796" s="61">
        <v>46230</v>
      </c>
      <c r="F796" s="5" t="s">
        <v>1297</v>
      </c>
      <c r="G796" s="5" t="s">
        <v>3079</v>
      </c>
      <c r="H796" s="5" t="s">
        <v>3080</v>
      </c>
      <c r="I796" s="60">
        <v>58</v>
      </c>
      <c r="J796" s="5" t="s">
        <v>1425</v>
      </c>
      <c r="K796" s="58">
        <v>55255.360000000001</v>
      </c>
      <c r="L796" s="5" t="s">
        <v>2347</v>
      </c>
      <c r="M796" s="5" t="s">
        <v>1344</v>
      </c>
      <c r="N796" t="str">
        <f>_xlfn.XLOOKUP(A796,Monitoring!A:A,Monitoring!D:D)</f>
        <v>ESTATES</v>
      </c>
    </row>
    <row r="797" spans="1:14" x14ac:dyDescent="0.35">
      <c r="A797" s="5">
        <v>10001468</v>
      </c>
      <c r="B797" s="5" t="s">
        <v>1295</v>
      </c>
      <c r="C797" s="5" t="s">
        <v>1296</v>
      </c>
      <c r="D797" s="61">
        <v>46218</v>
      </c>
      <c r="E797" s="61">
        <v>46230</v>
      </c>
      <c r="F797" s="5" t="s">
        <v>1364</v>
      </c>
      <c r="G797" s="5" t="s">
        <v>3081</v>
      </c>
      <c r="H797" s="5" t="s">
        <v>3082</v>
      </c>
      <c r="I797" s="60">
        <v>1</v>
      </c>
      <c r="J797" s="5" t="s">
        <v>1300</v>
      </c>
      <c r="K797" s="58">
        <v>3972754.46</v>
      </c>
      <c r="L797" s="5" t="s">
        <v>993</v>
      </c>
      <c r="M797" s="5" t="s">
        <v>1339</v>
      </c>
      <c r="N797" t="str">
        <f>_xlfn.XLOOKUP(A797,Monitoring!A:A,Monitoring!D:D)</f>
        <v>ESTATES</v>
      </c>
    </row>
    <row r="798" spans="1:14" x14ac:dyDescent="0.35">
      <c r="A798" s="5">
        <v>10001470</v>
      </c>
      <c r="B798" s="5" t="s">
        <v>1295</v>
      </c>
      <c r="C798" s="5" t="s">
        <v>1318</v>
      </c>
      <c r="D798" s="61">
        <v>46274</v>
      </c>
      <c r="E798" s="61">
        <v>46295</v>
      </c>
      <c r="F798" s="5" t="s">
        <v>1364</v>
      </c>
      <c r="G798" s="5" t="s">
        <v>3385</v>
      </c>
      <c r="H798" s="5" t="s">
        <v>3386</v>
      </c>
      <c r="I798" s="60">
        <v>1</v>
      </c>
      <c r="J798" s="5" t="s">
        <v>1300</v>
      </c>
      <c r="K798" s="58">
        <v>821428.57</v>
      </c>
      <c r="L798" s="5" t="s">
        <v>993</v>
      </c>
      <c r="M798" s="5" t="s">
        <v>1374</v>
      </c>
      <c r="N798" t="str">
        <f>_xlfn.XLOOKUP(A798,Monitoring!A:A,Monitoring!D:D)</f>
        <v>OFFICES</v>
      </c>
    </row>
    <row r="799" spans="1:14" x14ac:dyDescent="0.35">
      <c r="A799" s="5">
        <v>40000863</v>
      </c>
      <c r="B799" s="5" t="s">
        <v>1295</v>
      </c>
      <c r="C799" s="5" t="s">
        <v>1296</v>
      </c>
      <c r="D799" s="61">
        <v>44141</v>
      </c>
      <c r="E799" s="61">
        <v>44150</v>
      </c>
      <c r="F799" s="5" t="s">
        <v>1297</v>
      </c>
      <c r="G799" s="5" t="s">
        <v>1699</v>
      </c>
      <c r="H799" s="5" t="s">
        <v>1700</v>
      </c>
      <c r="I799" s="59">
        <v>0.52800000000000002</v>
      </c>
      <c r="J799" s="5" t="s">
        <v>1300</v>
      </c>
      <c r="K799" s="58">
        <v>2112000</v>
      </c>
      <c r="L799" s="5" t="s">
        <v>1701</v>
      </c>
      <c r="M799" s="5" t="s">
        <v>1702</v>
      </c>
      <c r="N799" t="str">
        <f>_xlfn.XLOOKUP(A799,Monitoring!A:A,Monitoring!D:D)</f>
        <v>RESIDENTIAL</v>
      </c>
    </row>
    <row r="800" spans="1:14" x14ac:dyDescent="0.35">
      <c r="A800" s="5">
        <v>40001147</v>
      </c>
      <c r="B800" s="5" t="s">
        <v>1295</v>
      </c>
      <c r="C800" s="5" t="s">
        <v>1296</v>
      </c>
      <c r="D800" s="61">
        <v>45916</v>
      </c>
      <c r="E800" s="61">
        <v>45926</v>
      </c>
      <c r="F800" s="5" t="s">
        <v>1297</v>
      </c>
      <c r="G800" s="5" t="s">
        <v>1703</v>
      </c>
      <c r="H800" s="5" t="s">
        <v>1704</v>
      </c>
      <c r="I800" s="59">
        <v>1.7000000000000001E-2</v>
      </c>
      <c r="J800" s="5" t="s">
        <v>1300</v>
      </c>
      <c r="K800" s="58">
        <v>22446.66</v>
      </c>
      <c r="L800" s="5" t="s">
        <v>1705</v>
      </c>
      <c r="M800" s="5" t="s">
        <v>1706</v>
      </c>
      <c r="N800" t="str">
        <f>_xlfn.XLOOKUP(A800,Monitoring!A:A,Monitoring!D:D)</f>
        <v>RESIDENTIAL</v>
      </c>
    </row>
    <row r="801" spans="1:14" x14ac:dyDescent="0.35">
      <c r="A801" s="5">
        <v>40001171</v>
      </c>
      <c r="B801" s="5" t="s">
        <v>1295</v>
      </c>
      <c r="C801" s="5" t="s">
        <v>1296</v>
      </c>
      <c r="D801" s="61">
        <v>45629</v>
      </c>
      <c r="E801" s="61">
        <v>45611</v>
      </c>
      <c r="F801" s="5" t="s">
        <v>1297</v>
      </c>
      <c r="G801" s="5" t="s">
        <v>1707</v>
      </c>
      <c r="H801" s="5" t="s">
        <v>1708</v>
      </c>
      <c r="I801" s="60">
        <v>3</v>
      </c>
      <c r="J801" s="5" t="s">
        <v>1425</v>
      </c>
      <c r="K801" s="58">
        <v>16339.29</v>
      </c>
      <c r="L801" s="5" t="s">
        <v>1440</v>
      </c>
      <c r="M801" s="5" t="s">
        <v>1344</v>
      </c>
      <c r="N801" t="str">
        <f>_xlfn.XLOOKUP(A801,Monitoring!A:A,Monitoring!D:D)</f>
        <v>RESIDENTIAL</v>
      </c>
    </row>
    <row r="802" spans="1:14" x14ac:dyDescent="0.35">
      <c r="A802" s="5">
        <v>40001171</v>
      </c>
      <c r="B802" s="5" t="s">
        <v>1295</v>
      </c>
      <c r="C802" s="5" t="s">
        <v>1296</v>
      </c>
      <c r="D802" s="61">
        <v>45629</v>
      </c>
      <c r="E802" s="61">
        <v>45611</v>
      </c>
      <c r="F802" s="5" t="s">
        <v>1297</v>
      </c>
      <c r="G802" s="5" t="s">
        <v>1707</v>
      </c>
      <c r="H802" s="5" t="s">
        <v>1709</v>
      </c>
      <c r="I802" s="60">
        <v>1</v>
      </c>
      <c r="J802" s="5" t="s">
        <v>1425</v>
      </c>
      <c r="K802" s="58">
        <v>5051.79</v>
      </c>
      <c r="L802" s="5" t="s">
        <v>1440</v>
      </c>
      <c r="M802" s="5" t="s">
        <v>1344</v>
      </c>
      <c r="N802" t="str">
        <f>_xlfn.XLOOKUP(A802,Monitoring!A:A,Monitoring!D:D)</f>
        <v>RESIDENTIAL</v>
      </c>
    </row>
    <row r="803" spans="1:14" x14ac:dyDescent="0.35">
      <c r="A803" s="5">
        <v>40001171</v>
      </c>
      <c r="B803" s="5" t="s">
        <v>1295</v>
      </c>
      <c r="C803" s="5" t="s">
        <v>1296</v>
      </c>
      <c r="D803" s="61">
        <v>45629</v>
      </c>
      <c r="E803" s="61">
        <v>45611</v>
      </c>
      <c r="F803" s="5" t="s">
        <v>1297</v>
      </c>
      <c r="G803" s="5" t="s">
        <v>1707</v>
      </c>
      <c r="H803" s="5" t="s">
        <v>1710</v>
      </c>
      <c r="I803" s="60">
        <v>3</v>
      </c>
      <c r="J803" s="5" t="s">
        <v>1425</v>
      </c>
      <c r="K803" s="58">
        <v>15267.86</v>
      </c>
      <c r="L803" s="5" t="s">
        <v>1440</v>
      </c>
      <c r="M803" s="5" t="s">
        <v>1344</v>
      </c>
      <c r="N803" t="str">
        <f>_xlfn.XLOOKUP(A803,Monitoring!A:A,Monitoring!D:D)</f>
        <v>RESIDENTIAL</v>
      </c>
    </row>
    <row r="804" spans="1:14" x14ac:dyDescent="0.35">
      <c r="A804" s="5">
        <v>40001171</v>
      </c>
      <c r="B804" s="5" t="s">
        <v>1295</v>
      </c>
      <c r="C804" s="5" t="s">
        <v>1296</v>
      </c>
      <c r="D804" s="61">
        <v>45631</v>
      </c>
      <c r="E804" s="61">
        <v>45614</v>
      </c>
      <c r="F804" s="5" t="s">
        <v>1297</v>
      </c>
      <c r="G804" s="5" t="s">
        <v>1711</v>
      </c>
      <c r="H804" s="5" t="s">
        <v>1712</v>
      </c>
      <c r="I804" s="60">
        <v>1</v>
      </c>
      <c r="J804" s="5" t="s">
        <v>1425</v>
      </c>
      <c r="K804" s="58">
        <v>6500</v>
      </c>
      <c r="L804" s="5" t="s">
        <v>1713</v>
      </c>
      <c r="M804" s="5" t="s">
        <v>1344</v>
      </c>
      <c r="N804" t="str">
        <f>_xlfn.XLOOKUP(A804,Monitoring!A:A,Monitoring!D:D)</f>
        <v>RESIDENTIAL</v>
      </c>
    </row>
    <row r="805" spans="1:14" x14ac:dyDescent="0.35">
      <c r="A805" s="5">
        <v>40001172</v>
      </c>
      <c r="B805" s="5" t="s">
        <v>1295</v>
      </c>
      <c r="C805" s="5" t="s">
        <v>1296</v>
      </c>
      <c r="D805" s="61">
        <v>45467</v>
      </c>
      <c r="E805" s="61">
        <v>45474</v>
      </c>
      <c r="F805" s="5" t="s">
        <v>1364</v>
      </c>
      <c r="G805" s="5" t="s">
        <v>1714</v>
      </c>
      <c r="H805" s="5" t="s">
        <v>1715</v>
      </c>
      <c r="I805" s="60">
        <v>1</v>
      </c>
      <c r="J805" s="5" t="s">
        <v>1300</v>
      </c>
      <c r="K805" s="58">
        <v>105596.43</v>
      </c>
      <c r="L805" s="5" t="s">
        <v>993</v>
      </c>
      <c r="M805" s="5" t="s">
        <v>1716</v>
      </c>
      <c r="N805" t="str">
        <f>_xlfn.XLOOKUP(A805,Monitoring!A:A,Monitoring!D:D)</f>
        <v>RESIDENTIAL</v>
      </c>
    </row>
    <row r="806" spans="1:14" x14ac:dyDescent="0.35">
      <c r="A806" s="5">
        <v>40001172</v>
      </c>
      <c r="B806" s="5" t="s">
        <v>1295</v>
      </c>
      <c r="C806" s="5" t="s">
        <v>1296</v>
      </c>
      <c r="D806" s="61">
        <v>45503</v>
      </c>
      <c r="E806" s="61">
        <v>45488</v>
      </c>
      <c r="F806" s="5" t="s">
        <v>1297</v>
      </c>
      <c r="G806" s="5" t="s">
        <v>1721</v>
      </c>
      <c r="H806" s="5" t="s">
        <v>1722</v>
      </c>
      <c r="I806" s="60">
        <v>7</v>
      </c>
      <c r="J806" s="5" t="s">
        <v>1425</v>
      </c>
      <c r="K806" s="58">
        <v>38500</v>
      </c>
      <c r="L806" s="5" t="s">
        <v>1723</v>
      </c>
      <c r="M806" s="5" t="s">
        <v>1334</v>
      </c>
      <c r="N806" t="str">
        <f>_xlfn.XLOOKUP(A806,Monitoring!A:A,Monitoring!D:D)</f>
        <v>RESIDENTIAL</v>
      </c>
    </row>
    <row r="807" spans="1:14" x14ac:dyDescent="0.35">
      <c r="A807" s="5">
        <v>40001172</v>
      </c>
      <c r="B807" s="5" t="s">
        <v>1295</v>
      </c>
      <c r="C807" s="5" t="s">
        <v>1296</v>
      </c>
      <c r="D807" s="61">
        <v>45604</v>
      </c>
      <c r="E807" s="61">
        <v>45611</v>
      </c>
      <c r="F807" s="5" t="s">
        <v>1364</v>
      </c>
      <c r="G807" s="5" t="s">
        <v>1717</v>
      </c>
      <c r="H807" s="5" t="s">
        <v>1720</v>
      </c>
      <c r="I807" s="60">
        <v>2</v>
      </c>
      <c r="J807" s="5" t="s">
        <v>1425</v>
      </c>
      <c r="K807" s="58">
        <v>878.58</v>
      </c>
      <c r="L807" s="5" t="s">
        <v>993</v>
      </c>
      <c r="M807" s="5" t="s">
        <v>1716</v>
      </c>
      <c r="N807" t="str">
        <f>_xlfn.XLOOKUP(A807,Monitoring!A:A,Monitoring!D:D)</f>
        <v>RESIDENTIAL</v>
      </c>
    </row>
    <row r="808" spans="1:14" x14ac:dyDescent="0.35">
      <c r="A808" s="5">
        <v>40001172</v>
      </c>
      <c r="B808" s="5" t="s">
        <v>1295</v>
      </c>
      <c r="C808" s="5" t="s">
        <v>1296</v>
      </c>
      <c r="D808" s="61">
        <v>45604</v>
      </c>
      <c r="E808" s="61">
        <v>45611</v>
      </c>
      <c r="F808" s="5" t="s">
        <v>1364</v>
      </c>
      <c r="G808" s="5" t="s">
        <v>1717</v>
      </c>
      <c r="H808" s="5" t="s">
        <v>1719</v>
      </c>
      <c r="I808" s="60">
        <v>2</v>
      </c>
      <c r="J808" s="5" t="s">
        <v>1425</v>
      </c>
      <c r="K808" s="58">
        <v>2269.64</v>
      </c>
      <c r="L808" s="5" t="s">
        <v>993</v>
      </c>
      <c r="M808" s="5" t="s">
        <v>1716</v>
      </c>
      <c r="N808" t="str">
        <f>_xlfn.XLOOKUP(A808,Monitoring!A:A,Monitoring!D:D)</f>
        <v>RESIDENTIAL</v>
      </c>
    </row>
    <row r="809" spans="1:14" x14ac:dyDescent="0.35">
      <c r="A809" s="5">
        <v>40001172</v>
      </c>
      <c r="B809" s="5" t="s">
        <v>1295</v>
      </c>
      <c r="C809" s="5" t="s">
        <v>1296</v>
      </c>
      <c r="D809" s="61">
        <v>45604</v>
      </c>
      <c r="E809" s="61">
        <v>45611</v>
      </c>
      <c r="F809" s="5" t="s">
        <v>1364</v>
      </c>
      <c r="G809" s="5" t="s">
        <v>1717</v>
      </c>
      <c r="H809" s="5" t="s">
        <v>1718</v>
      </c>
      <c r="I809" s="60">
        <v>2</v>
      </c>
      <c r="J809" s="5" t="s">
        <v>1425</v>
      </c>
      <c r="K809" s="58">
        <v>1317.86</v>
      </c>
      <c r="L809" s="5" t="s">
        <v>993</v>
      </c>
      <c r="M809" s="5" t="s">
        <v>1716</v>
      </c>
      <c r="N809" t="str">
        <f>_xlfn.XLOOKUP(A809,Monitoring!A:A,Monitoring!D:D)</f>
        <v>RESIDENTIAL</v>
      </c>
    </row>
    <row r="810" spans="1:14" x14ac:dyDescent="0.35">
      <c r="A810" s="5">
        <v>40001184</v>
      </c>
      <c r="B810" s="5" t="s">
        <v>1295</v>
      </c>
      <c r="C810" s="5" t="s">
        <v>1296</v>
      </c>
      <c r="D810" s="61">
        <v>45433</v>
      </c>
      <c r="E810" s="61">
        <v>45617</v>
      </c>
      <c r="F810" s="5" t="s">
        <v>1297</v>
      </c>
      <c r="G810" s="5" t="s">
        <v>1724</v>
      </c>
      <c r="H810" s="5" t="s">
        <v>1725</v>
      </c>
      <c r="I810" s="59">
        <v>0.1</v>
      </c>
      <c r="J810" s="5" t="s">
        <v>1300</v>
      </c>
      <c r="K810" s="58">
        <v>878168.82</v>
      </c>
      <c r="L810" s="5" t="s">
        <v>1726</v>
      </c>
      <c r="M810" s="5" t="s">
        <v>1706</v>
      </c>
      <c r="N810" t="str">
        <f>_xlfn.XLOOKUP(A810,Monitoring!A:A,Monitoring!D:D)</f>
        <v>RESIDENTIAL</v>
      </c>
    </row>
    <row r="811" spans="1:14" x14ac:dyDescent="0.35">
      <c r="A811" s="5">
        <v>40001207</v>
      </c>
      <c r="B811" s="5" t="s">
        <v>1295</v>
      </c>
      <c r="C811" s="5" t="s">
        <v>1296</v>
      </c>
      <c r="D811" s="61">
        <v>45625</v>
      </c>
      <c r="E811" s="61">
        <v>45632</v>
      </c>
      <c r="F811" s="5" t="s">
        <v>1297</v>
      </c>
      <c r="G811" s="5" t="s">
        <v>1727</v>
      </c>
      <c r="H811" s="5" t="s">
        <v>1728</v>
      </c>
      <c r="I811" s="59">
        <v>0.1</v>
      </c>
      <c r="J811" s="5" t="s">
        <v>1300</v>
      </c>
      <c r="K811" s="58">
        <v>321638.53999999998</v>
      </c>
      <c r="L811" s="5" t="s">
        <v>1726</v>
      </c>
      <c r="M811" s="5" t="s">
        <v>1706</v>
      </c>
      <c r="N811" t="str">
        <f>_xlfn.XLOOKUP(A811,Monitoring!A:A,Monitoring!D:D)</f>
        <v>RESIDENTIAL</v>
      </c>
    </row>
    <row r="812" spans="1:14" x14ac:dyDescent="0.35">
      <c r="A812" s="5">
        <v>40001214</v>
      </c>
      <c r="B812" s="5" t="s">
        <v>1295</v>
      </c>
      <c r="C812" s="5" t="s">
        <v>1318</v>
      </c>
      <c r="D812" s="61">
        <v>45831</v>
      </c>
      <c r="E812" s="61">
        <v>45838</v>
      </c>
      <c r="F812" s="5" t="s">
        <v>1297</v>
      </c>
      <c r="G812" s="5" t="s">
        <v>1729</v>
      </c>
      <c r="H812" s="5" t="s">
        <v>1730</v>
      </c>
      <c r="I812" s="60">
        <v>1</v>
      </c>
      <c r="J812" s="5" t="s">
        <v>1342</v>
      </c>
      <c r="K812" s="58">
        <v>41071.43</v>
      </c>
      <c r="L812" s="5" t="s">
        <v>1731</v>
      </c>
      <c r="M812" s="5" t="s">
        <v>1344</v>
      </c>
      <c r="N812" t="str">
        <f>_xlfn.XLOOKUP(A812,Monitoring!A:A,Monitoring!D:D)</f>
        <v>MALLS</v>
      </c>
    </row>
    <row r="813" spans="1:14" x14ac:dyDescent="0.35">
      <c r="A813" s="5">
        <v>40001214</v>
      </c>
      <c r="B813" s="5" t="s">
        <v>1295</v>
      </c>
      <c r="C813" s="5" t="s">
        <v>1318</v>
      </c>
      <c r="D813" s="61">
        <v>45831</v>
      </c>
      <c r="E813" s="61">
        <v>45838</v>
      </c>
      <c r="F813" s="5" t="s">
        <v>1297</v>
      </c>
      <c r="G813" s="5" t="s">
        <v>1729</v>
      </c>
      <c r="H813" s="5" t="s">
        <v>1732</v>
      </c>
      <c r="I813" s="60">
        <v>1</v>
      </c>
      <c r="J813" s="5" t="s">
        <v>1342</v>
      </c>
      <c r="K813" s="58">
        <v>5714.29</v>
      </c>
      <c r="L813" s="5" t="s">
        <v>1731</v>
      </c>
      <c r="M813" s="5" t="s">
        <v>1344</v>
      </c>
      <c r="N813" t="str">
        <f>_xlfn.XLOOKUP(A813,Monitoring!A:A,Monitoring!D:D)</f>
        <v>MALLS</v>
      </c>
    </row>
    <row r="814" spans="1:14" x14ac:dyDescent="0.35">
      <c r="A814" s="5">
        <v>40001232</v>
      </c>
      <c r="B814" s="5" t="s">
        <v>1295</v>
      </c>
      <c r="C814" s="5" t="s">
        <v>1318</v>
      </c>
      <c r="D814" s="61">
        <v>45861</v>
      </c>
      <c r="E814" s="61">
        <v>45899</v>
      </c>
      <c r="F814" s="5" t="s">
        <v>1297</v>
      </c>
      <c r="G814" s="5" t="s">
        <v>1807</v>
      </c>
      <c r="H814" s="5" t="s">
        <v>1808</v>
      </c>
      <c r="I814" s="59">
        <v>0.5</v>
      </c>
      <c r="J814" s="5" t="s">
        <v>1300</v>
      </c>
      <c r="K814" s="58">
        <v>937500</v>
      </c>
      <c r="L814" s="5" t="s">
        <v>1809</v>
      </c>
      <c r="M814" s="5" t="s">
        <v>1810</v>
      </c>
      <c r="N814" t="str">
        <f>_xlfn.XLOOKUP(A814,Monitoring!A:A,Monitoring!D:D)</f>
        <v>Corporate - IT</v>
      </c>
    </row>
    <row r="815" spans="1:14" x14ac:dyDescent="0.35">
      <c r="A815" s="5">
        <v>40001234</v>
      </c>
      <c r="B815" s="5" t="s">
        <v>1295</v>
      </c>
      <c r="C815" s="5" t="s">
        <v>1296</v>
      </c>
      <c r="D815" s="61">
        <v>45952</v>
      </c>
      <c r="E815" s="61">
        <v>45896</v>
      </c>
      <c r="F815" s="5" t="s">
        <v>1297</v>
      </c>
      <c r="G815" s="5" t="s">
        <v>1733</v>
      </c>
      <c r="H815" s="5" t="s">
        <v>1734</v>
      </c>
      <c r="I815" s="60">
        <v>0</v>
      </c>
      <c r="J815" s="5" t="s">
        <v>1300</v>
      </c>
      <c r="K815" s="58">
        <v>0</v>
      </c>
      <c r="L815" s="5" t="s">
        <v>1735</v>
      </c>
      <c r="M815" s="5" t="s">
        <v>1716</v>
      </c>
      <c r="N815" t="str">
        <f>_xlfn.XLOOKUP(A815,Monitoring!A:A,Monitoring!D:D)</f>
        <v>RESIDENTIAL</v>
      </c>
    </row>
    <row r="816" spans="1:14" x14ac:dyDescent="0.35">
      <c r="A816" s="5">
        <v>40001235</v>
      </c>
      <c r="B816" s="5" t="s">
        <v>1295</v>
      </c>
      <c r="C816" s="5" t="s">
        <v>1296</v>
      </c>
      <c r="D816" s="61">
        <v>46050</v>
      </c>
      <c r="E816" s="61">
        <v>46064</v>
      </c>
      <c r="F816" s="5" t="s">
        <v>1364</v>
      </c>
      <c r="G816" s="5" t="s">
        <v>1736</v>
      </c>
      <c r="H816" s="5" t="s">
        <v>1737</v>
      </c>
      <c r="I816" s="60">
        <v>0</v>
      </c>
      <c r="J816" s="5" t="s">
        <v>1300</v>
      </c>
      <c r="K816" s="58">
        <v>0</v>
      </c>
      <c r="L816" s="5" t="s">
        <v>993</v>
      </c>
      <c r="M816" s="5" t="s">
        <v>1330</v>
      </c>
      <c r="N816" t="str">
        <f>_xlfn.XLOOKUP(A816,Monitoring!A:A,Monitoring!D:D)</f>
        <v>RESIDENTIAL</v>
      </c>
    </row>
    <row r="817" spans="1:14" x14ac:dyDescent="0.35">
      <c r="A817" s="5">
        <v>40001235</v>
      </c>
      <c r="B817" s="5" t="s">
        <v>1295</v>
      </c>
      <c r="C817" s="5" t="s">
        <v>1296</v>
      </c>
      <c r="D817" s="61">
        <v>46072</v>
      </c>
      <c r="E817" s="61">
        <v>46086</v>
      </c>
      <c r="F817" s="5" t="s">
        <v>1364</v>
      </c>
      <c r="G817" s="5" t="s">
        <v>1738</v>
      </c>
      <c r="H817" s="5" t="s">
        <v>1739</v>
      </c>
      <c r="I817" s="60">
        <v>0</v>
      </c>
      <c r="J817" s="5" t="s">
        <v>1300</v>
      </c>
      <c r="K817" s="58">
        <v>0</v>
      </c>
      <c r="L817" s="5" t="s">
        <v>993</v>
      </c>
      <c r="M817" s="5" t="s">
        <v>1330</v>
      </c>
      <c r="N817" t="str">
        <f>_xlfn.XLOOKUP(A817,Monitoring!A:A,Monitoring!D:D)</f>
        <v>RESIDENTIAL</v>
      </c>
    </row>
    <row r="818" spans="1:14" x14ac:dyDescent="0.35">
      <c r="A818" s="5">
        <v>40001235</v>
      </c>
      <c r="B818" s="5" t="s">
        <v>1295</v>
      </c>
      <c r="C818" s="5" t="s">
        <v>1296</v>
      </c>
      <c r="D818" s="61">
        <v>46076</v>
      </c>
      <c r="E818" s="61">
        <v>46083</v>
      </c>
      <c r="F818" s="5" t="s">
        <v>1364</v>
      </c>
      <c r="G818" s="5" t="s">
        <v>1740</v>
      </c>
      <c r="H818" s="5" t="s">
        <v>1273</v>
      </c>
      <c r="I818" s="60">
        <v>0</v>
      </c>
      <c r="J818" s="5" t="s">
        <v>1425</v>
      </c>
      <c r="K818" s="58">
        <v>0</v>
      </c>
      <c r="L818" s="5" t="s">
        <v>993</v>
      </c>
      <c r="M818" s="5" t="s">
        <v>1330</v>
      </c>
      <c r="N818" t="str">
        <f>_xlfn.XLOOKUP(A818,Monitoring!A:A,Monitoring!D:D)</f>
        <v>RESIDENTIAL</v>
      </c>
    </row>
    <row r="819" spans="1:14" x14ac:dyDescent="0.35">
      <c r="A819" s="5">
        <v>40001235</v>
      </c>
      <c r="B819" s="5" t="s">
        <v>1295</v>
      </c>
      <c r="C819" s="5" t="s">
        <v>1296</v>
      </c>
      <c r="D819" s="61">
        <v>46076</v>
      </c>
      <c r="E819" s="61">
        <v>46083</v>
      </c>
      <c r="F819" s="5" t="s">
        <v>1364</v>
      </c>
      <c r="G819" s="5" t="s">
        <v>1740</v>
      </c>
      <c r="H819" s="5" t="s">
        <v>1272</v>
      </c>
      <c r="I819" s="60">
        <v>0</v>
      </c>
      <c r="J819" s="5" t="s">
        <v>1425</v>
      </c>
      <c r="K819" s="58">
        <v>0</v>
      </c>
      <c r="L819" s="5" t="s">
        <v>993</v>
      </c>
      <c r="M819" s="5" t="s">
        <v>1330</v>
      </c>
      <c r="N819" t="str">
        <f>_xlfn.XLOOKUP(A819,Monitoring!A:A,Monitoring!D:D)</f>
        <v>RESIDENTIAL</v>
      </c>
    </row>
    <row r="820" spans="1:14" x14ac:dyDescent="0.35">
      <c r="A820" s="5">
        <v>40001235</v>
      </c>
      <c r="B820" s="5" t="s">
        <v>1295</v>
      </c>
      <c r="C820" s="5" t="s">
        <v>1296</v>
      </c>
      <c r="D820" s="61">
        <v>46076</v>
      </c>
      <c r="E820" s="61">
        <v>46087</v>
      </c>
      <c r="F820" s="5" t="s">
        <v>1364</v>
      </c>
      <c r="G820" s="5" t="s">
        <v>1741</v>
      </c>
      <c r="H820" s="5" t="s">
        <v>1742</v>
      </c>
      <c r="I820" s="60">
        <v>0</v>
      </c>
      <c r="J820" s="5" t="s">
        <v>1425</v>
      </c>
      <c r="K820" s="58">
        <v>0</v>
      </c>
      <c r="L820" s="5" t="s">
        <v>993</v>
      </c>
      <c r="M820" s="5" t="s">
        <v>1716</v>
      </c>
      <c r="N820" t="str">
        <f>_xlfn.XLOOKUP(A820,Monitoring!A:A,Monitoring!D:D)</f>
        <v>RESIDENTIAL</v>
      </c>
    </row>
    <row r="821" spans="1:14" x14ac:dyDescent="0.35">
      <c r="A821" s="5">
        <v>40001235</v>
      </c>
      <c r="B821" s="5" t="s">
        <v>1295</v>
      </c>
      <c r="C821" s="5" t="s">
        <v>1296</v>
      </c>
      <c r="D821" s="61">
        <v>46076</v>
      </c>
      <c r="E821" s="61">
        <v>46087</v>
      </c>
      <c r="F821" s="5" t="s">
        <v>1364</v>
      </c>
      <c r="G821" s="5" t="s">
        <v>1743</v>
      </c>
      <c r="H821" s="5" t="s">
        <v>1271</v>
      </c>
      <c r="I821" s="60">
        <v>0</v>
      </c>
      <c r="J821" s="5" t="s">
        <v>1425</v>
      </c>
      <c r="K821" s="58">
        <v>0</v>
      </c>
      <c r="L821" s="5" t="s">
        <v>993</v>
      </c>
      <c r="M821" s="5" t="s">
        <v>1330</v>
      </c>
      <c r="N821" t="str">
        <f>_xlfn.XLOOKUP(A821,Monitoring!A:A,Monitoring!D:D)</f>
        <v>RESIDENTIAL</v>
      </c>
    </row>
    <row r="822" spans="1:14" x14ac:dyDescent="0.35">
      <c r="A822" s="5">
        <v>40001235</v>
      </c>
      <c r="B822" s="5" t="s">
        <v>1295</v>
      </c>
      <c r="C822" s="5" t="s">
        <v>1296</v>
      </c>
      <c r="D822" s="61">
        <v>46080</v>
      </c>
      <c r="E822" s="61">
        <v>46090</v>
      </c>
      <c r="F822" s="5" t="s">
        <v>1364</v>
      </c>
      <c r="G822" s="5" t="s">
        <v>1744</v>
      </c>
      <c r="H822" s="5" t="s">
        <v>1745</v>
      </c>
      <c r="I822" s="60">
        <v>0</v>
      </c>
      <c r="J822" s="5" t="s">
        <v>1425</v>
      </c>
      <c r="K822" s="58">
        <v>0</v>
      </c>
      <c r="L822" s="5" t="s">
        <v>993</v>
      </c>
      <c r="M822" s="5" t="s">
        <v>1344</v>
      </c>
      <c r="N822" t="str">
        <f>_xlfn.XLOOKUP(A822,Monitoring!A:A,Monitoring!D:D)</f>
        <v>RESIDENTIAL</v>
      </c>
    </row>
    <row r="823" spans="1:14" x14ac:dyDescent="0.35">
      <c r="A823" s="5">
        <v>40001235</v>
      </c>
      <c r="B823" s="5" t="s">
        <v>1295</v>
      </c>
      <c r="C823" s="5" t="s">
        <v>1296</v>
      </c>
      <c r="D823" s="61">
        <v>46105</v>
      </c>
      <c r="E823" s="61">
        <v>46118</v>
      </c>
      <c r="F823" s="5" t="s">
        <v>1364</v>
      </c>
      <c r="G823" s="5" t="s">
        <v>1746</v>
      </c>
      <c r="H823" s="5" t="s">
        <v>1747</v>
      </c>
      <c r="I823" s="60">
        <v>0</v>
      </c>
      <c r="J823" s="5" t="s">
        <v>1300</v>
      </c>
      <c r="K823" s="58">
        <v>0</v>
      </c>
      <c r="L823" s="5" t="s">
        <v>993</v>
      </c>
      <c r="M823" s="5" t="s">
        <v>1330</v>
      </c>
      <c r="N823" t="str">
        <f>_xlfn.XLOOKUP(A823,Monitoring!A:A,Monitoring!D:D)</f>
        <v>RESIDENTIAL</v>
      </c>
    </row>
    <row r="824" spans="1:14" x14ac:dyDescent="0.35">
      <c r="A824" s="5">
        <v>40001235</v>
      </c>
      <c r="B824" s="5" t="s">
        <v>1295</v>
      </c>
      <c r="C824" s="5" t="s">
        <v>1296</v>
      </c>
      <c r="D824" s="61">
        <v>46132</v>
      </c>
      <c r="E824" s="61">
        <v>46143</v>
      </c>
      <c r="F824" s="5" t="s">
        <v>1364</v>
      </c>
      <c r="G824" s="5" t="s">
        <v>2058</v>
      </c>
      <c r="H824" s="5" t="s">
        <v>2059</v>
      </c>
      <c r="I824" s="60">
        <v>0</v>
      </c>
      <c r="J824" s="5" t="s">
        <v>1425</v>
      </c>
      <c r="K824" s="58">
        <v>0</v>
      </c>
      <c r="L824" s="5" t="s">
        <v>993</v>
      </c>
      <c r="M824" s="5" t="s">
        <v>1344</v>
      </c>
      <c r="N824" t="str">
        <f>_xlfn.XLOOKUP(A824,Monitoring!A:A,Monitoring!D:D)</f>
        <v>RESIDENTIAL</v>
      </c>
    </row>
    <row r="825" spans="1:14" x14ac:dyDescent="0.35">
      <c r="A825" s="5">
        <v>40001235</v>
      </c>
      <c r="B825" s="5" t="s">
        <v>1295</v>
      </c>
      <c r="C825" s="5" t="s">
        <v>1296</v>
      </c>
      <c r="D825" s="61">
        <v>46132</v>
      </c>
      <c r="E825" s="61">
        <v>46143</v>
      </c>
      <c r="F825" s="5" t="s">
        <v>1364</v>
      </c>
      <c r="G825" s="5" t="s">
        <v>2058</v>
      </c>
      <c r="H825" s="5" t="s">
        <v>2060</v>
      </c>
      <c r="I825" s="60">
        <v>0</v>
      </c>
      <c r="J825" s="5" t="s">
        <v>1425</v>
      </c>
      <c r="K825" s="58">
        <v>0</v>
      </c>
      <c r="L825" s="5" t="s">
        <v>993</v>
      </c>
      <c r="M825" s="5" t="s">
        <v>1344</v>
      </c>
      <c r="N825" t="str">
        <f>_xlfn.XLOOKUP(A825,Monitoring!A:A,Monitoring!D:D)</f>
        <v>RESIDENTIAL</v>
      </c>
    </row>
    <row r="826" spans="1:14" x14ac:dyDescent="0.35">
      <c r="A826" s="5">
        <v>40001235</v>
      </c>
      <c r="B826" s="5" t="s">
        <v>1295</v>
      </c>
      <c r="C826" s="5" t="s">
        <v>1296</v>
      </c>
      <c r="D826" s="61">
        <v>46132</v>
      </c>
      <c r="E826" s="61">
        <v>46143</v>
      </c>
      <c r="F826" s="5" t="s">
        <v>1364</v>
      </c>
      <c r="G826" s="5" t="s">
        <v>2058</v>
      </c>
      <c r="H826" s="5" t="s">
        <v>2061</v>
      </c>
      <c r="I826" s="60">
        <v>1</v>
      </c>
      <c r="J826" s="5" t="s">
        <v>1300</v>
      </c>
      <c r="K826" s="58">
        <v>892.86</v>
      </c>
      <c r="L826" s="5" t="s">
        <v>993</v>
      </c>
      <c r="M826" s="5" t="s">
        <v>1344</v>
      </c>
      <c r="N826" t="str">
        <f>_xlfn.XLOOKUP(A826,Monitoring!A:A,Monitoring!D:D)</f>
        <v>RESIDENTIAL</v>
      </c>
    </row>
    <row r="827" spans="1:14" x14ac:dyDescent="0.35">
      <c r="A827" s="5">
        <v>40001235</v>
      </c>
      <c r="B827" s="5" t="s">
        <v>1295</v>
      </c>
      <c r="C827" s="5" t="s">
        <v>1296</v>
      </c>
      <c r="D827" s="61">
        <v>45950</v>
      </c>
      <c r="E827" s="61">
        <v>45989</v>
      </c>
      <c r="F827" s="5" t="s">
        <v>1297</v>
      </c>
      <c r="G827" s="5" t="s">
        <v>1266</v>
      </c>
      <c r="H827" s="5" t="s">
        <v>1268</v>
      </c>
      <c r="I827" s="60">
        <v>0</v>
      </c>
      <c r="J827" s="5" t="s">
        <v>1300</v>
      </c>
      <c r="K827" s="58">
        <v>0</v>
      </c>
      <c r="L827" s="5" t="s">
        <v>1726</v>
      </c>
      <c r="M827" s="5" t="s">
        <v>1706</v>
      </c>
      <c r="N827" t="str">
        <f>_xlfn.XLOOKUP(A827,Monitoring!A:A,Monitoring!D:D)</f>
        <v>RESIDENTIAL</v>
      </c>
    </row>
    <row r="828" spans="1:14" x14ac:dyDescent="0.35">
      <c r="A828" s="5">
        <v>40001235</v>
      </c>
      <c r="B828" s="5" t="s">
        <v>1295</v>
      </c>
      <c r="C828" s="5" t="s">
        <v>1296</v>
      </c>
      <c r="D828" s="61">
        <v>45978</v>
      </c>
      <c r="E828" s="61">
        <v>45964</v>
      </c>
      <c r="F828" s="5" t="s">
        <v>1297</v>
      </c>
      <c r="G828" s="5" t="s">
        <v>1256</v>
      </c>
      <c r="H828" s="5" t="s">
        <v>1258</v>
      </c>
      <c r="I828" s="60">
        <v>0</v>
      </c>
      <c r="J828" s="5" t="s">
        <v>1380</v>
      </c>
      <c r="K828" s="58">
        <v>0</v>
      </c>
      <c r="L828" s="5" t="s">
        <v>1648</v>
      </c>
      <c r="M828" s="5" t="s">
        <v>1706</v>
      </c>
      <c r="N828" t="str">
        <f>_xlfn.XLOOKUP(A828,Monitoring!A:A,Monitoring!D:D)</f>
        <v>RESIDENTIAL</v>
      </c>
    </row>
    <row r="829" spans="1:14" x14ac:dyDescent="0.35">
      <c r="A829" s="5">
        <v>40001235</v>
      </c>
      <c r="B829" s="5" t="s">
        <v>1295</v>
      </c>
      <c r="C829" s="5" t="s">
        <v>1296</v>
      </c>
      <c r="D829" s="61">
        <v>45978</v>
      </c>
      <c r="E829" s="61">
        <v>45964</v>
      </c>
      <c r="F829" s="5" t="s">
        <v>1297</v>
      </c>
      <c r="G829" s="5" t="s">
        <v>1256</v>
      </c>
      <c r="H829" s="5" t="s">
        <v>1259</v>
      </c>
      <c r="I829" s="60">
        <v>0</v>
      </c>
      <c r="J829" s="5" t="s">
        <v>1425</v>
      </c>
      <c r="K829" s="58">
        <v>0</v>
      </c>
      <c r="L829" s="5" t="s">
        <v>1648</v>
      </c>
      <c r="M829" s="5" t="s">
        <v>1706</v>
      </c>
      <c r="N829" t="str">
        <f>_xlfn.XLOOKUP(A829,Monitoring!A:A,Monitoring!D:D)</f>
        <v>RESIDENTIAL</v>
      </c>
    </row>
    <row r="830" spans="1:14" x14ac:dyDescent="0.35">
      <c r="A830" s="5">
        <v>40001235</v>
      </c>
      <c r="B830" s="5" t="s">
        <v>1295</v>
      </c>
      <c r="C830" s="5" t="s">
        <v>1296</v>
      </c>
      <c r="D830" s="61">
        <v>45978</v>
      </c>
      <c r="E830" s="61">
        <v>45964</v>
      </c>
      <c r="F830" s="5" t="s">
        <v>1297</v>
      </c>
      <c r="G830" s="5" t="s">
        <v>1256</v>
      </c>
      <c r="H830" s="5" t="s">
        <v>1260</v>
      </c>
      <c r="I830" s="60">
        <v>0</v>
      </c>
      <c r="J830" s="5" t="s">
        <v>1425</v>
      </c>
      <c r="K830" s="58">
        <v>0</v>
      </c>
      <c r="L830" s="5" t="s">
        <v>1648</v>
      </c>
      <c r="M830" s="5" t="s">
        <v>1706</v>
      </c>
      <c r="N830" t="str">
        <f>_xlfn.XLOOKUP(A830,Monitoring!A:A,Monitoring!D:D)</f>
        <v>RESIDENTIAL</v>
      </c>
    </row>
    <row r="831" spans="1:14" x14ac:dyDescent="0.35">
      <c r="A831" s="5">
        <v>40001235</v>
      </c>
      <c r="B831" s="5" t="s">
        <v>1295</v>
      </c>
      <c r="C831" s="5" t="s">
        <v>1296</v>
      </c>
      <c r="D831" s="61">
        <v>45985</v>
      </c>
      <c r="E831" s="61">
        <v>45988</v>
      </c>
      <c r="F831" s="5" t="s">
        <v>1297</v>
      </c>
      <c r="G831" s="5" t="s">
        <v>1261</v>
      </c>
      <c r="H831" s="5" t="s">
        <v>1263</v>
      </c>
      <c r="I831" s="60">
        <v>0</v>
      </c>
      <c r="J831" s="5" t="s">
        <v>1425</v>
      </c>
      <c r="K831" s="58">
        <v>0</v>
      </c>
      <c r="L831" s="5" t="s">
        <v>1384</v>
      </c>
      <c r="M831" s="5" t="s">
        <v>1706</v>
      </c>
      <c r="N831" t="str">
        <f>_xlfn.XLOOKUP(A831,Monitoring!A:A,Monitoring!D:D)</f>
        <v>RESIDENTIAL</v>
      </c>
    </row>
    <row r="832" spans="1:14" x14ac:dyDescent="0.35">
      <c r="A832" s="5">
        <v>40001235</v>
      </c>
      <c r="B832" s="5" t="s">
        <v>1295</v>
      </c>
      <c r="C832" s="5" t="s">
        <v>1296</v>
      </c>
      <c r="D832" s="61">
        <v>45985</v>
      </c>
      <c r="E832" s="61">
        <v>45986</v>
      </c>
      <c r="F832" s="5" t="s">
        <v>1297</v>
      </c>
      <c r="G832" s="5" t="s">
        <v>1250</v>
      </c>
      <c r="H832" s="5" t="s">
        <v>1252</v>
      </c>
      <c r="I832" s="60">
        <v>0</v>
      </c>
      <c r="J832" s="5" t="s">
        <v>1425</v>
      </c>
      <c r="K832" s="58">
        <v>0</v>
      </c>
      <c r="L832" s="5" t="s">
        <v>1447</v>
      </c>
      <c r="M832" s="5" t="s">
        <v>1706</v>
      </c>
      <c r="N832" t="str">
        <f>_xlfn.XLOOKUP(A832,Monitoring!A:A,Monitoring!D:D)</f>
        <v>RESIDENTIAL</v>
      </c>
    </row>
    <row r="833" spans="1:14" x14ac:dyDescent="0.35">
      <c r="A833" s="5">
        <v>40001235</v>
      </c>
      <c r="B833" s="5" t="s">
        <v>1295</v>
      </c>
      <c r="C833" s="5" t="s">
        <v>1296</v>
      </c>
      <c r="D833" s="61">
        <v>45985</v>
      </c>
      <c r="E833" s="61">
        <v>45986</v>
      </c>
      <c r="F833" s="5" t="s">
        <v>1297</v>
      </c>
      <c r="G833" s="5" t="s">
        <v>1250</v>
      </c>
      <c r="H833" s="5" t="s">
        <v>1253</v>
      </c>
      <c r="I833" s="60">
        <v>0</v>
      </c>
      <c r="J833" s="5" t="s">
        <v>1425</v>
      </c>
      <c r="K833" s="58">
        <v>0</v>
      </c>
      <c r="L833" s="5" t="s">
        <v>1447</v>
      </c>
      <c r="M833" s="5" t="s">
        <v>1706</v>
      </c>
      <c r="N833" t="str">
        <f>_xlfn.XLOOKUP(A833,Monitoring!A:A,Monitoring!D:D)</f>
        <v>RESIDENTIAL</v>
      </c>
    </row>
    <row r="834" spans="1:14" x14ac:dyDescent="0.35">
      <c r="A834" s="5">
        <v>40001235</v>
      </c>
      <c r="B834" s="5" t="s">
        <v>1295</v>
      </c>
      <c r="C834" s="5" t="s">
        <v>1296</v>
      </c>
      <c r="D834" s="61">
        <v>45985</v>
      </c>
      <c r="E834" s="61">
        <v>45986</v>
      </c>
      <c r="F834" s="5" t="s">
        <v>1297</v>
      </c>
      <c r="G834" s="5" t="s">
        <v>1250</v>
      </c>
      <c r="H834" s="5" t="s">
        <v>1254</v>
      </c>
      <c r="I834" s="60">
        <v>0</v>
      </c>
      <c r="J834" s="5" t="s">
        <v>1425</v>
      </c>
      <c r="K834" s="58">
        <v>0</v>
      </c>
      <c r="L834" s="5" t="s">
        <v>1447</v>
      </c>
      <c r="M834" s="5" t="s">
        <v>1706</v>
      </c>
      <c r="N834" t="str">
        <f>_xlfn.XLOOKUP(A834,Monitoring!A:A,Monitoring!D:D)</f>
        <v>RESIDENTIAL</v>
      </c>
    </row>
    <row r="835" spans="1:14" x14ac:dyDescent="0.35">
      <c r="A835" s="5">
        <v>40001235</v>
      </c>
      <c r="B835" s="5" t="s">
        <v>1295</v>
      </c>
      <c r="C835" s="5" t="s">
        <v>1296</v>
      </c>
      <c r="D835" s="61">
        <v>45985</v>
      </c>
      <c r="E835" s="61">
        <v>45986</v>
      </c>
      <c r="F835" s="5" t="s">
        <v>1297</v>
      </c>
      <c r="G835" s="5" t="s">
        <v>1250</v>
      </c>
      <c r="H835" s="5" t="s">
        <v>1255</v>
      </c>
      <c r="I835" s="60">
        <v>0</v>
      </c>
      <c r="J835" s="5" t="s">
        <v>1425</v>
      </c>
      <c r="K835" s="58">
        <v>0</v>
      </c>
      <c r="L835" s="5" t="s">
        <v>1447</v>
      </c>
      <c r="M835" s="5" t="s">
        <v>1706</v>
      </c>
      <c r="N835" t="str">
        <f>_xlfn.XLOOKUP(A835,Monitoring!A:A,Monitoring!D:D)</f>
        <v>RESIDENTIAL</v>
      </c>
    </row>
    <row r="836" spans="1:14" x14ac:dyDescent="0.35">
      <c r="A836" s="5">
        <v>40001235</v>
      </c>
      <c r="B836" s="5" t="s">
        <v>1295</v>
      </c>
      <c r="C836" s="5" t="s">
        <v>1296</v>
      </c>
      <c r="D836" s="61">
        <v>46087</v>
      </c>
      <c r="E836" s="61">
        <v>46087</v>
      </c>
      <c r="F836" s="5" t="s">
        <v>1297</v>
      </c>
      <c r="G836" s="5" t="s">
        <v>1269</v>
      </c>
      <c r="H836" s="5" t="s">
        <v>1271</v>
      </c>
      <c r="I836" s="60">
        <v>0</v>
      </c>
      <c r="J836" s="5" t="s">
        <v>1425</v>
      </c>
      <c r="K836" s="58">
        <v>0</v>
      </c>
      <c r="L836" s="5" t="s">
        <v>1648</v>
      </c>
      <c r="M836" s="5" t="s">
        <v>1706</v>
      </c>
      <c r="N836" t="str">
        <f>_xlfn.XLOOKUP(A836,Monitoring!A:A,Monitoring!D:D)</f>
        <v>RESIDENTIAL</v>
      </c>
    </row>
    <row r="837" spans="1:14" x14ac:dyDescent="0.35">
      <c r="A837" s="5">
        <v>40001235</v>
      </c>
      <c r="B837" s="5" t="s">
        <v>1295</v>
      </c>
      <c r="C837" s="5" t="s">
        <v>1296</v>
      </c>
      <c r="D837" s="61">
        <v>46087</v>
      </c>
      <c r="E837" s="61">
        <v>46083</v>
      </c>
      <c r="F837" s="5" t="s">
        <v>1297</v>
      </c>
      <c r="G837" s="5" t="s">
        <v>1269</v>
      </c>
      <c r="H837" s="5" t="s">
        <v>1272</v>
      </c>
      <c r="I837" s="60">
        <v>0</v>
      </c>
      <c r="J837" s="5" t="s">
        <v>1425</v>
      </c>
      <c r="K837" s="58">
        <v>0</v>
      </c>
      <c r="L837" s="5" t="s">
        <v>1648</v>
      </c>
      <c r="M837" s="5" t="s">
        <v>1706</v>
      </c>
      <c r="N837" t="str">
        <f>_xlfn.XLOOKUP(A837,Monitoring!A:A,Monitoring!D:D)</f>
        <v>RESIDENTIAL</v>
      </c>
    </row>
    <row r="838" spans="1:14" x14ac:dyDescent="0.35">
      <c r="A838" s="5">
        <v>40001235</v>
      </c>
      <c r="B838" s="5" t="s">
        <v>1295</v>
      </c>
      <c r="C838" s="5" t="s">
        <v>1296</v>
      </c>
      <c r="D838" s="61">
        <v>46087</v>
      </c>
      <c r="E838" s="61">
        <v>46083</v>
      </c>
      <c r="F838" s="5" t="s">
        <v>1297</v>
      </c>
      <c r="G838" s="5" t="s">
        <v>1269</v>
      </c>
      <c r="H838" s="5" t="s">
        <v>1273</v>
      </c>
      <c r="I838" s="60">
        <v>0</v>
      </c>
      <c r="J838" s="5" t="s">
        <v>1425</v>
      </c>
      <c r="K838" s="58">
        <v>0</v>
      </c>
      <c r="L838" s="5" t="s">
        <v>1648</v>
      </c>
      <c r="M838" s="5" t="s">
        <v>1706</v>
      </c>
      <c r="N838" t="str">
        <f>_xlfn.XLOOKUP(A838,Monitoring!A:A,Monitoring!D:D)</f>
        <v>RESIDENTIAL</v>
      </c>
    </row>
    <row r="839" spans="1:14" x14ac:dyDescent="0.35">
      <c r="A839" s="5">
        <v>40001235</v>
      </c>
      <c r="B839" s="5" t="s">
        <v>1295</v>
      </c>
      <c r="C839" s="5" t="s">
        <v>1296</v>
      </c>
      <c r="D839" s="61">
        <v>46087</v>
      </c>
      <c r="E839" s="61">
        <v>46112</v>
      </c>
      <c r="F839" s="5" t="s">
        <v>1297</v>
      </c>
      <c r="G839" s="5" t="s">
        <v>1748</v>
      </c>
      <c r="H839" s="5" t="s">
        <v>1749</v>
      </c>
      <c r="I839" s="60">
        <v>0</v>
      </c>
      <c r="J839" s="5" t="s">
        <v>1300</v>
      </c>
      <c r="K839" s="58">
        <v>0</v>
      </c>
      <c r="L839" s="5" t="s">
        <v>1531</v>
      </c>
      <c r="M839" s="5" t="s">
        <v>1706</v>
      </c>
      <c r="N839" t="str">
        <f>_xlfn.XLOOKUP(A839,Monitoring!A:A,Monitoring!D:D)</f>
        <v>RESIDENTIAL</v>
      </c>
    </row>
    <row r="840" spans="1:14" x14ac:dyDescent="0.35">
      <c r="A840" s="5">
        <v>40001235</v>
      </c>
      <c r="B840" s="5" t="s">
        <v>1295</v>
      </c>
      <c r="C840" s="5" t="s">
        <v>1296</v>
      </c>
      <c r="D840" s="61">
        <v>46153</v>
      </c>
      <c r="E840" s="61">
        <v>46143</v>
      </c>
      <c r="F840" s="5" t="s">
        <v>1297</v>
      </c>
      <c r="G840" s="5" t="s">
        <v>2464</v>
      </c>
      <c r="H840" s="5" t="s">
        <v>2465</v>
      </c>
      <c r="I840" s="60">
        <v>0</v>
      </c>
      <c r="J840" s="5" t="s">
        <v>1425</v>
      </c>
      <c r="K840" s="58">
        <v>0</v>
      </c>
      <c r="L840" s="5" t="s">
        <v>2466</v>
      </c>
      <c r="M840" s="5" t="s">
        <v>1706</v>
      </c>
      <c r="N840" t="str">
        <f>_xlfn.XLOOKUP(A840,Monitoring!A:A,Monitoring!D:D)</f>
        <v>RESIDENTIAL</v>
      </c>
    </row>
    <row r="841" spans="1:14" x14ac:dyDescent="0.35">
      <c r="A841" s="5">
        <v>40001235</v>
      </c>
      <c r="B841" s="5" t="s">
        <v>1295</v>
      </c>
      <c r="C841" s="5" t="s">
        <v>1296</v>
      </c>
      <c r="D841" s="61">
        <v>46153</v>
      </c>
      <c r="E841" s="61">
        <v>46143</v>
      </c>
      <c r="F841" s="5" t="s">
        <v>1297</v>
      </c>
      <c r="G841" s="5" t="s">
        <v>2464</v>
      </c>
      <c r="H841" s="5" t="s">
        <v>2515</v>
      </c>
      <c r="I841" s="60">
        <v>0</v>
      </c>
      <c r="J841" s="5" t="s">
        <v>1425</v>
      </c>
      <c r="K841" s="58">
        <v>0</v>
      </c>
      <c r="L841" s="5" t="s">
        <v>2466</v>
      </c>
      <c r="M841" s="5" t="s">
        <v>1706</v>
      </c>
      <c r="N841" t="str">
        <f>_xlfn.XLOOKUP(A841,Monitoring!A:A,Monitoring!D:D)</f>
        <v>RESIDENTIAL</v>
      </c>
    </row>
    <row r="842" spans="1:14" x14ac:dyDescent="0.35">
      <c r="A842" s="5">
        <v>40001235</v>
      </c>
      <c r="B842" s="5" t="s">
        <v>1295</v>
      </c>
      <c r="C842" s="5" t="s">
        <v>1296</v>
      </c>
      <c r="D842" s="61">
        <v>46161</v>
      </c>
      <c r="E842" s="61">
        <v>46171</v>
      </c>
      <c r="F842" s="5" t="s">
        <v>1297</v>
      </c>
      <c r="G842" s="5" t="s">
        <v>2254</v>
      </c>
      <c r="H842" s="5" t="s">
        <v>2256</v>
      </c>
      <c r="I842" s="60">
        <v>0</v>
      </c>
      <c r="J842" s="5" t="s">
        <v>1300</v>
      </c>
      <c r="K842" s="58">
        <v>0</v>
      </c>
      <c r="L842" s="5" t="s">
        <v>1479</v>
      </c>
      <c r="M842" s="5" t="s">
        <v>1706</v>
      </c>
      <c r="N842" t="str">
        <f>_xlfn.XLOOKUP(A842,Monitoring!A:A,Monitoring!D:D)</f>
        <v>RESIDENTIAL</v>
      </c>
    </row>
    <row r="843" spans="1:14" x14ac:dyDescent="0.35">
      <c r="A843" s="5">
        <v>40001243</v>
      </c>
      <c r="B843" s="5" t="s">
        <v>1295</v>
      </c>
      <c r="C843" s="5" t="s">
        <v>1296</v>
      </c>
      <c r="D843" s="61">
        <v>45985</v>
      </c>
      <c r="E843" s="61">
        <v>45979</v>
      </c>
      <c r="F843" s="5" t="s">
        <v>1297</v>
      </c>
      <c r="G843" s="5" t="s">
        <v>1277</v>
      </c>
      <c r="H843" s="5" t="s">
        <v>1279</v>
      </c>
      <c r="I843" s="60">
        <v>0</v>
      </c>
      <c r="J843" s="5" t="s">
        <v>1300</v>
      </c>
      <c r="K843" s="58">
        <v>0</v>
      </c>
      <c r="L843" s="5" t="s">
        <v>1336</v>
      </c>
      <c r="M843" s="5" t="s">
        <v>1706</v>
      </c>
      <c r="N843" t="str">
        <f>_xlfn.XLOOKUP(A843,Monitoring!A:A,Monitoring!D:D)</f>
        <v>RESIDENTIAL</v>
      </c>
    </row>
    <row r="844" spans="1:14" x14ac:dyDescent="0.35">
      <c r="A844" s="5">
        <v>40001261</v>
      </c>
      <c r="B844" s="5" t="s">
        <v>1295</v>
      </c>
      <c r="C844" s="5" t="s">
        <v>1318</v>
      </c>
      <c r="D844" s="61">
        <v>46049</v>
      </c>
      <c r="E844" s="61">
        <v>46068</v>
      </c>
      <c r="F844" s="5" t="s">
        <v>1364</v>
      </c>
      <c r="G844" s="5" t="s">
        <v>1750</v>
      </c>
      <c r="H844" s="5" t="s">
        <v>1751</v>
      </c>
      <c r="I844" s="60">
        <v>0</v>
      </c>
      <c r="J844" s="5" t="s">
        <v>1300</v>
      </c>
      <c r="K844" s="58">
        <v>0</v>
      </c>
      <c r="L844" s="5" t="s">
        <v>993</v>
      </c>
      <c r="M844" s="5" t="s">
        <v>1330</v>
      </c>
      <c r="N844" t="str">
        <f>_xlfn.XLOOKUP(A844,Monitoring!A:A,Monitoring!D:D)</f>
        <v>Corporate - HR</v>
      </c>
    </row>
    <row r="845" spans="1:14" x14ac:dyDescent="0.35">
      <c r="A845" s="5">
        <v>40001261</v>
      </c>
      <c r="B845" s="5" t="s">
        <v>1295</v>
      </c>
      <c r="C845" s="5" t="s">
        <v>1318</v>
      </c>
      <c r="D845" s="61">
        <v>46050</v>
      </c>
      <c r="E845" s="61">
        <v>46053</v>
      </c>
      <c r="F845" s="5" t="s">
        <v>1297</v>
      </c>
      <c r="G845" s="5" t="s">
        <v>1280</v>
      </c>
      <c r="H845" s="5" t="s">
        <v>1282</v>
      </c>
      <c r="I845" s="60">
        <v>0</v>
      </c>
      <c r="J845" s="5" t="s">
        <v>1300</v>
      </c>
      <c r="K845" s="58">
        <v>0</v>
      </c>
      <c r="L845" s="5" t="s">
        <v>1752</v>
      </c>
      <c r="M845" s="5" t="s">
        <v>1702</v>
      </c>
      <c r="N845" t="str">
        <f>_xlfn.XLOOKUP(A845,Monitoring!A:A,Monitoring!D:D)</f>
        <v>Corporate - HR</v>
      </c>
    </row>
    <row r="846" spans="1:14" x14ac:dyDescent="0.35">
      <c r="A846" s="5">
        <v>40001262</v>
      </c>
      <c r="B846" s="5" t="s">
        <v>1295</v>
      </c>
      <c r="C846" s="5" t="s">
        <v>1318</v>
      </c>
      <c r="D846" s="61">
        <v>46014</v>
      </c>
      <c r="E846" s="61">
        <v>46027</v>
      </c>
      <c r="F846" s="5" t="s">
        <v>1364</v>
      </c>
      <c r="G846" s="5" t="s">
        <v>1753</v>
      </c>
      <c r="H846" s="5" t="s">
        <v>1754</v>
      </c>
      <c r="I846" s="60">
        <v>0</v>
      </c>
      <c r="J846" s="5" t="s">
        <v>1300</v>
      </c>
      <c r="K846" s="58">
        <v>0</v>
      </c>
      <c r="L846" s="5" t="s">
        <v>993</v>
      </c>
      <c r="M846" s="5" t="s">
        <v>1344</v>
      </c>
      <c r="N846" t="str">
        <f>_xlfn.XLOOKUP(A846,Monitoring!A:A,Monitoring!D:D)</f>
        <v>Corporate - Admin</v>
      </c>
    </row>
    <row r="847" spans="1:14" x14ac:dyDescent="0.35">
      <c r="A847" s="5">
        <v>40001262</v>
      </c>
      <c r="B847" s="5" t="s">
        <v>1295</v>
      </c>
      <c r="C847" s="5" t="s">
        <v>1318</v>
      </c>
      <c r="D847" s="61">
        <v>46076</v>
      </c>
      <c r="E847" s="61">
        <v>46027</v>
      </c>
      <c r="F847" s="5" t="s">
        <v>1297</v>
      </c>
      <c r="G847" s="5" t="s">
        <v>1283</v>
      </c>
      <c r="H847" s="5" t="s">
        <v>1285</v>
      </c>
      <c r="I847" s="60">
        <v>0</v>
      </c>
      <c r="J847" s="5" t="s">
        <v>1300</v>
      </c>
      <c r="K847" s="58">
        <v>0</v>
      </c>
      <c r="L847" s="5" t="s">
        <v>1385</v>
      </c>
      <c r="M847" s="5" t="s">
        <v>1702</v>
      </c>
      <c r="N847" t="str">
        <f>_xlfn.XLOOKUP(A847,Monitoring!A:A,Monitoring!D:D)</f>
        <v>Corporate - Admin</v>
      </c>
    </row>
    <row r="848" spans="1:14" x14ac:dyDescent="0.35">
      <c r="A848" s="5">
        <v>40001263</v>
      </c>
      <c r="B848" s="5" t="s">
        <v>1295</v>
      </c>
      <c r="C848" s="5" t="s">
        <v>1318</v>
      </c>
      <c r="D848" s="61">
        <v>46072</v>
      </c>
      <c r="E848" s="61">
        <v>46096</v>
      </c>
      <c r="F848" s="5" t="s">
        <v>1364</v>
      </c>
      <c r="G848" s="5" t="s">
        <v>1755</v>
      </c>
      <c r="H848" s="5" t="s">
        <v>1756</v>
      </c>
      <c r="I848" s="60">
        <v>0</v>
      </c>
      <c r="J848" s="5" t="s">
        <v>1300</v>
      </c>
      <c r="K848" s="58">
        <v>0</v>
      </c>
      <c r="L848" s="5" t="s">
        <v>993</v>
      </c>
      <c r="M848" s="5" t="s">
        <v>1330</v>
      </c>
      <c r="N848" t="str">
        <f>_xlfn.XLOOKUP(A848,Monitoring!A:A,Monitoring!D:D)</f>
        <v>Corporate - IT</v>
      </c>
    </row>
    <row r="849" spans="1:14" x14ac:dyDescent="0.35">
      <c r="A849" s="5">
        <v>40001263</v>
      </c>
      <c r="B849" s="5" t="s">
        <v>1295</v>
      </c>
      <c r="C849" s="5" t="s">
        <v>1318</v>
      </c>
      <c r="D849" s="61">
        <v>46108</v>
      </c>
      <c r="E849" s="61">
        <v>46142</v>
      </c>
      <c r="F849" s="5" t="s">
        <v>1297</v>
      </c>
      <c r="G849" s="5" t="s">
        <v>1757</v>
      </c>
      <c r="H849" s="5" t="s">
        <v>1758</v>
      </c>
      <c r="I849" s="60">
        <v>0</v>
      </c>
      <c r="J849" s="5" t="s">
        <v>1300</v>
      </c>
      <c r="K849" s="58">
        <v>0</v>
      </c>
      <c r="L849" s="5" t="s">
        <v>1759</v>
      </c>
      <c r="M849" s="5" t="s">
        <v>1702</v>
      </c>
      <c r="N849" t="str">
        <f>_xlfn.XLOOKUP(A849,Monitoring!A:A,Monitoring!D:D)</f>
        <v>Corporate - IT</v>
      </c>
    </row>
    <row r="850" spans="1:14" x14ac:dyDescent="0.35">
      <c r="A850" s="5">
        <v>40001264</v>
      </c>
      <c r="B850" s="5" t="s">
        <v>1295</v>
      </c>
      <c r="C850" s="5" t="s">
        <v>1318</v>
      </c>
      <c r="D850" s="61">
        <v>46072</v>
      </c>
      <c r="E850" s="61">
        <v>46096</v>
      </c>
      <c r="F850" s="5" t="s">
        <v>1364</v>
      </c>
      <c r="G850" s="5" t="s">
        <v>1760</v>
      </c>
      <c r="H850" s="5" t="s">
        <v>1761</v>
      </c>
      <c r="I850" s="60">
        <v>0</v>
      </c>
      <c r="J850" s="5" t="s">
        <v>1380</v>
      </c>
      <c r="K850" s="58">
        <v>0</v>
      </c>
      <c r="L850" s="5" t="s">
        <v>993</v>
      </c>
      <c r="M850" s="5" t="s">
        <v>1344</v>
      </c>
      <c r="N850" t="str">
        <f>_xlfn.XLOOKUP(A850,Monitoring!A:A,Monitoring!D:D)</f>
        <v>Corporate - IT</v>
      </c>
    </row>
    <row r="851" spans="1:14" x14ac:dyDescent="0.35">
      <c r="A851" s="5">
        <v>40001264</v>
      </c>
      <c r="B851" s="5" t="s">
        <v>1295</v>
      </c>
      <c r="C851" s="5" t="s">
        <v>1318</v>
      </c>
      <c r="D851" s="61">
        <v>46084</v>
      </c>
      <c r="E851" s="61">
        <v>46096</v>
      </c>
      <c r="F851" s="5" t="s">
        <v>1297</v>
      </c>
      <c r="G851" s="5" t="s">
        <v>1762</v>
      </c>
      <c r="H851" s="5" t="s">
        <v>1763</v>
      </c>
      <c r="I851" s="60">
        <v>0</v>
      </c>
      <c r="J851" s="5" t="s">
        <v>1380</v>
      </c>
      <c r="K851" s="58">
        <v>0</v>
      </c>
      <c r="L851" s="5" t="s">
        <v>1764</v>
      </c>
      <c r="M851" s="5" t="s">
        <v>1702</v>
      </c>
      <c r="N851" t="str">
        <f>_xlfn.XLOOKUP(A851,Monitoring!A:A,Monitoring!D:D)</f>
        <v>Corporate - IT</v>
      </c>
    </row>
    <row r="852" spans="1:14" x14ac:dyDescent="0.35">
      <c r="A852" s="5">
        <v>40001265</v>
      </c>
      <c r="B852" s="5" t="s">
        <v>1295</v>
      </c>
      <c r="C852" s="5" t="s">
        <v>1318</v>
      </c>
      <c r="D852" s="61">
        <v>46085</v>
      </c>
      <c r="E852" s="61">
        <v>46099</v>
      </c>
      <c r="F852" s="5" t="s">
        <v>1364</v>
      </c>
      <c r="G852" s="5" t="s">
        <v>1765</v>
      </c>
      <c r="H852" s="5" t="s">
        <v>1766</v>
      </c>
      <c r="I852" s="60">
        <v>0</v>
      </c>
      <c r="J852" s="5" t="s">
        <v>1380</v>
      </c>
      <c r="K852" s="58">
        <v>0</v>
      </c>
      <c r="L852" s="5" t="s">
        <v>993</v>
      </c>
      <c r="M852" s="5" t="s">
        <v>1330</v>
      </c>
      <c r="N852" t="str">
        <f>_xlfn.XLOOKUP(A852,Monitoring!A:A,Monitoring!D:D)</f>
        <v>Corporate - HR</v>
      </c>
    </row>
    <row r="853" spans="1:14" x14ac:dyDescent="0.35">
      <c r="A853" s="5">
        <v>40001265</v>
      </c>
      <c r="B853" s="5" t="s">
        <v>1295</v>
      </c>
      <c r="C853" s="5" t="s">
        <v>1318</v>
      </c>
      <c r="D853" s="61">
        <v>46085</v>
      </c>
      <c r="E853" s="61">
        <v>46099</v>
      </c>
      <c r="F853" s="5" t="s">
        <v>1364</v>
      </c>
      <c r="G853" s="5" t="s">
        <v>1765</v>
      </c>
      <c r="H853" s="5" t="s">
        <v>1767</v>
      </c>
      <c r="I853" s="60">
        <v>0</v>
      </c>
      <c r="J853" s="5" t="s">
        <v>1380</v>
      </c>
      <c r="K853" s="58">
        <v>0</v>
      </c>
      <c r="L853" s="5" t="s">
        <v>993</v>
      </c>
      <c r="M853" s="5" t="s">
        <v>1330</v>
      </c>
      <c r="N853" t="str">
        <f>_xlfn.XLOOKUP(A853,Monitoring!A:A,Monitoring!D:D)</f>
        <v>Corporate - HR</v>
      </c>
    </row>
    <row r="854" spans="1:14" x14ac:dyDescent="0.35">
      <c r="A854" s="5">
        <v>40001265</v>
      </c>
      <c r="B854" s="5" t="s">
        <v>1295</v>
      </c>
      <c r="C854" s="5" t="s">
        <v>1318</v>
      </c>
      <c r="D854" s="61">
        <v>46086</v>
      </c>
      <c r="E854" s="61">
        <v>46112</v>
      </c>
      <c r="F854" s="5" t="s">
        <v>1297</v>
      </c>
      <c r="G854" s="5" t="s">
        <v>1768</v>
      </c>
      <c r="H854" s="5" t="s">
        <v>1769</v>
      </c>
      <c r="I854" s="60">
        <v>0</v>
      </c>
      <c r="J854" s="5" t="s">
        <v>1380</v>
      </c>
      <c r="K854" s="58">
        <v>0</v>
      </c>
      <c r="L854" s="5" t="s">
        <v>1770</v>
      </c>
      <c r="M854" s="5" t="s">
        <v>1702</v>
      </c>
      <c r="N854" t="str">
        <f>_xlfn.XLOOKUP(A854,Monitoring!A:A,Monitoring!D:D)</f>
        <v>Corporate - HR</v>
      </c>
    </row>
    <row r="855" spans="1:14" x14ac:dyDescent="0.35">
      <c r="A855" s="5">
        <v>40001265</v>
      </c>
      <c r="B855" s="5" t="s">
        <v>1295</v>
      </c>
      <c r="C855" s="5" t="s">
        <v>1318</v>
      </c>
      <c r="D855" s="61">
        <v>46086</v>
      </c>
      <c r="E855" s="61">
        <v>46112</v>
      </c>
      <c r="F855" s="5" t="s">
        <v>1297</v>
      </c>
      <c r="G855" s="5" t="s">
        <v>1768</v>
      </c>
      <c r="H855" s="5" t="s">
        <v>1771</v>
      </c>
      <c r="I855" s="60">
        <v>0</v>
      </c>
      <c r="J855" s="5" t="s">
        <v>1380</v>
      </c>
      <c r="K855" s="58">
        <v>0</v>
      </c>
      <c r="L855" s="5" t="s">
        <v>1770</v>
      </c>
      <c r="M855" s="5" t="s">
        <v>1702</v>
      </c>
      <c r="N855" t="str">
        <f>_xlfn.XLOOKUP(A855,Monitoring!A:A,Monitoring!D:D)</f>
        <v>Corporate - HR</v>
      </c>
    </row>
    <row r="856" spans="1:14" x14ac:dyDescent="0.35">
      <c r="A856" s="5">
        <v>40001266</v>
      </c>
      <c r="B856" s="5" t="s">
        <v>1295</v>
      </c>
      <c r="C856" s="5" t="s">
        <v>1318</v>
      </c>
      <c r="D856" s="61">
        <v>46087</v>
      </c>
      <c r="E856" s="61">
        <v>46101</v>
      </c>
      <c r="F856" s="5" t="s">
        <v>1364</v>
      </c>
      <c r="G856" s="5" t="s">
        <v>1772</v>
      </c>
      <c r="H856" s="5" t="s">
        <v>1773</v>
      </c>
      <c r="I856" s="60">
        <v>0</v>
      </c>
      <c r="J856" s="5" t="s">
        <v>1300</v>
      </c>
      <c r="K856" s="58">
        <v>0</v>
      </c>
      <c r="L856" s="5" t="s">
        <v>993</v>
      </c>
      <c r="M856" s="5" t="s">
        <v>1330</v>
      </c>
      <c r="N856" t="str">
        <f>_xlfn.XLOOKUP(A856,Monitoring!A:A,Monitoring!D:D)</f>
        <v>MALLS</v>
      </c>
    </row>
    <row r="857" spans="1:14" x14ac:dyDescent="0.35">
      <c r="A857" s="5">
        <v>40001266</v>
      </c>
      <c r="B857" s="5" t="s">
        <v>1295</v>
      </c>
      <c r="C857" s="5" t="s">
        <v>1318</v>
      </c>
      <c r="D857" s="61">
        <v>46100</v>
      </c>
      <c r="E857" s="61">
        <v>46114</v>
      </c>
      <c r="F857" s="5" t="s">
        <v>1364</v>
      </c>
      <c r="G857" s="5" t="s">
        <v>1774</v>
      </c>
      <c r="H857" s="5" t="s">
        <v>1775</v>
      </c>
      <c r="I857" s="60">
        <v>1</v>
      </c>
      <c r="J857" s="5" t="s">
        <v>1300</v>
      </c>
      <c r="K857" s="58">
        <v>169642.85</v>
      </c>
      <c r="L857" s="5" t="s">
        <v>993</v>
      </c>
      <c r="M857" s="5" t="s">
        <v>1391</v>
      </c>
      <c r="N857" t="str">
        <f>_xlfn.XLOOKUP(A857,Monitoring!A:A,Monitoring!D:D)</f>
        <v>MALLS</v>
      </c>
    </row>
    <row r="858" spans="1:14" x14ac:dyDescent="0.35">
      <c r="A858" s="5">
        <v>40001266</v>
      </c>
      <c r="B858" s="5" t="s">
        <v>1295</v>
      </c>
      <c r="C858" s="5" t="s">
        <v>1318</v>
      </c>
      <c r="D858" s="61">
        <v>46230</v>
      </c>
      <c r="E858" s="61">
        <v>46245</v>
      </c>
      <c r="F858" s="5" t="s">
        <v>1364</v>
      </c>
      <c r="G858" s="5" t="s">
        <v>3083</v>
      </c>
      <c r="H858" s="5" t="s">
        <v>3084</v>
      </c>
      <c r="I858" s="60">
        <v>0</v>
      </c>
      <c r="J858" s="5" t="s">
        <v>1380</v>
      </c>
      <c r="K858" s="58">
        <v>0</v>
      </c>
      <c r="L858" s="5" t="s">
        <v>993</v>
      </c>
      <c r="M858" s="5" t="s">
        <v>1344</v>
      </c>
      <c r="N858" t="str">
        <f>_xlfn.XLOOKUP(A858,Monitoring!A:A,Monitoring!D:D)</f>
        <v>MALLS</v>
      </c>
    </row>
    <row r="859" spans="1:14" x14ac:dyDescent="0.35">
      <c r="A859" s="5">
        <v>40001266</v>
      </c>
      <c r="B859" s="5" t="s">
        <v>1295</v>
      </c>
      <c r="C859" s="5" t="s">
        <v>1318</v>
      </c>
      <c r="D859" s="61">
        <v>46230</v>
      </c>
      <c r="E859" s="61">
        <v>46245</v>
      </c>
      <c r="F859" s="5" t="s">
        <v>1364</v>
      </c>
      <c r="G859" s="5" t="s">
        <v>3083</v>
      </c>
      <c r="H859" s="5" t="s">
        <v>3085</v>
      </c>
      <c r="I859" s="60">
        <v>0</v>
      </c>
      <c r="J859" s="5" t="s">
        <v>1380</v>
      </c>
      <c r="K859" s="58">
        <v>0</v>
      </c>
      <c r="L859" s="5" t="s">
        <v>993</v>
      </c>
      <c r="M859" s="5" t="s">
        <v>1344</v>
      </c>
      <c r="N859" t="str">
        <f>_xlfn.XLOOKUP(A859,Monitoring!A:A,Monitoring!D:D)</f>
        <v>MALLS</v>
      </c>
    </row>
    <row r="860" spans="1:14" x14ac:dyDescent="0.35">
      <c r="A860" s="5">
        <v>40001266</v>
      </c>
      <c r="B860" s="5" t="s">
        <v>1295</v>
      </c>
      <c r="C860" s="5" t="s">
        <v>1318</v>
      </c>
      <c r="D860" s="61">
        <v>46230</v>
      </c>
      <c r="E860" s="61">
        <v>46245</v>
      </c>
      <c r="F860" s="5" t="s">
        <v>1364</v>
      </c>
      <c r="G860" s="5" t="s">
        <v>3083</v>
      </c>
      <c r="H860" s="5" t="s">
        <v>3086</v>
      </c>
      <c r="I860" s="60">
        <v>0</v>
      </c>
      <c r="J860" s="5" t="s">
        <v>1425</v>
      </c>
      <c r="K860" s="58">
        <v>0</v>
      </c>
      <c r="L860" s="5" t="s">
        <v>993</v>
      </c>
      <c r="M860" s="5" t="s">
        <v>1344</v>
      </c>
      <c r="N860" t="str">
        <f>_xlfn.XLOOKUP(A860,Monitoring!A:A,Monitoring!D:D)</f>
        <v>MALLS</v>
      </c>
    </row>
    <row r="861" spans="1:14" x14ac:dyDescent="0.35">
      <c r="A861" s="5">
        <v>40001266</v>
      </c>
      <c r="B861" s="5" t="s">
        <v>1295</v>
      </c>
      <c r="C861" s="5" t="s">
        <v>1318</v>
      </c>
      <c r="D861" s="61">
        <v>46230</v>
      </c>
      <c r="E861" s="61">
        <v>46245</v>
      </c>
      <c r="F861" s="5" t="s">
        <v>1364</v>
      </c>
      <c r="G861" s="5" t="s">
        <v>3083</v>
      </c>
      <c r="H861" s="5" t="s">
        <v>3087</v>
      </c>
      <c r="I861" s="60">
        <v>0</v>
      </c>
      <c r="J861" s="5" t="s">
        <v>1425</v>
      </c>
      <c r="K861" s="58">
        <v>0</v>
      </c>
      <c r="L861" s="5" t="s">
        <v>993</v>
      </c>
      <c r="M861" s="5" t="s">
        <v>1344</v>
      </c>
      <c r="N861" t="str">
        <f>_xlfn.XLOOKUP(A861,Monitoring!A:A,Monitoring!D:D)</f>
        <v>MALLS</v>
      </c>
    </row>
    <row r="862" spans="1:14" x14ac:dyDescent="0.35">
      <c r="A862" s="5">
        <v>40001266</v>
      </c>
      <c r="B862" s="5" t="s">
        <v>1295</v>
      </c>
      <c r="C862" s="5" t="s">
        <v>1318</v>
      </c>
      <c r="D862" s="61">
        <v>46230</v>
      </c>
      <c r="E862" s="61">
        <v>46245</v>
      </c>
      <c r="F862" s="5" t="s">
        <v>1364</v>
      </c>
      <c r="G862" s="5" t="s">
        <v>3083</v>
      </c>
      <c r="H862" s="5" t="s">
        <v>3088</v>
      </c>
      <c r="I862" s="60">
        <v>0</v>
      </c>
      <c r="J862" s="5" t="s">
        <v>1425</v>
      </c>
      <c r="K862" s="58">
        <v>0</v>
      </c>
      <c r="L862" s="5" t="s">
        <v>993</v>
      </c>
      <c r="M862" s="5" t="s">
        <v>1344</v>
      </c>
      <c r="N862" t="str">
        <f>_xlfn.XLOOKUP(A862,Monitoring!A:A,Monitoring!D:D)</f>
        <v>MALLS</v>
      </c>
    </row>
    <row r="863" spans="1:14" x14ac:dyDescent="0.35">
      <c r="A863" s="5">
        <v>40001266</v>
      </c>
      <c r="B863" s="5" t="s">
        <v>1295</v>
      </c>
      <c r="C863" s="5" t="s">
        <v>1318</v>
      </c>
      <c r="D863" s="61">
        <v>46160</v>
      </c>
      <c r="E863" s="61">
        <v>46234</v>
      </c>
      <c r="F863" s="5" t="s">
        <v>1297</v>
      </c>
      <c r="G863" s="5" t="s">
        <v>2467</v>
      </c>
      <c r="H863" s="5" t="s">
        <v>1773</v>
      </c>
      <c r="I863" s="60">
        <v>1</v>
      </c>
      <c r="J863" s="5" t="s">
        <v>1300</v>
      </c>
      <c r="K863" s="58">
        <v>669642.86</v>
      </c>
      <c r="L863" s="5" t="s">
        <v>1479</v>
      </c>
      <c r="M863" s="5" t="s">
        <v>1555</v>
      </c>
      <c r="N863" t="str">
        <f>_xlfn.XLOOKUP(A863,Monitoring!A:A,Monitoring!D:D)</f>
        <v>MALLS</v>
      </c>
    </row>
    <row r="864" spans="1:14" x14ac:dyDescent="0.35">
      <c r="A864" s="5">
        <v>40001266</v>
      </c>
      <c r="B864" s="5" t="s">
        <v>1295</v>
      </c>
      <c r="C864" s="5" t="s">
        <v>1318</v>
      </c>
      <c r="D864" s="61">
        <v>46248</v>
      </c>
      <c r="E864" s="61">
        <v>46245</v>
      </c>
      <c r="F864" s="5" t="s">
        <v>1297</v>
      </c>
      <c r="G864" s="5" t="s">
        <v>3141</v>
      </c>
      <c r="H864" s="5" t="s">
        <v>3142</v>
      </c>
      <c r="I864" s="60">
        <v>1</v>
      </c>
      <c r="J864" s="5" t="s">
        <v>1380</v>
      </c>
      <c r="K864" s="58">
        <v>26785.71</v>
      </c>
      <c r="L864" s="5" t="s">
        <v>3143</v>
      </c>
      <c r="M864" s="5" t="s">
        <v>1344</v>
      </c>
      <c r="N864" t="str">
        <f>_xlfn.XLOOKUP(A864,Monitoring!A:A,Monitoring!D:D)</f>
        <v>MALLS</v>
      </c>
    </row>
    <row r="865" spans="1:14" x14ac:dyDescent="0.35">
      <c r="A865" s="5">
        <v>40001266</v>
      </c>
      <c r="B865" s="5" t="s">
        <v>1295</v>
      </c>
      <c r="C865" s="5" t="s">
        <v>1318</v>
      </c>
      <c r="D865" s="61">
        <v>46248</v>
      </c>
      <c r="E865" s="61">
        <v>46245</v>
      </c>
      <c r="F865" s="5" t="s">
        <v>1297</v>
      </c>
      <c r="G865" s="5" t="s">
        <v>3144</v>
      </c>
      <c r="H865" s="5" t="s">
        <v>3086</v>
      </c>
      <c r="I865" s="60">
        <v>0</v>
      </c>
      <c r="J865" s="5" t="s">
        <v>1425</v>
      </c>
      <c r="K865" s="58">
        <v>0</v>
      </c>
      <c r="L865" s="5" t="s">
        <v>2518</v>
      </c>
      <c r="M865" s="5" t="s">
        <v>1555</v>
      </c>
      <c r="N865" t="str">
        <f>_xlfn.XLOOKUP(A865,Monitoring!A:A,Monitoring!D:D)</f>
        <v>MALLS</v>
      </c>
    </row>
    <row r="866" spans="1:14" x14ac:dyDescent="0.35">
      <c r="A866" s="5">
        <v>40001266</v>
      </c>
      <c r="B866" s="5" t="s">
        <v>1295</v>
      </c>
      <c r="C866" s="5" t="s">
        <v>1318</v>
      </c>
      <c r="D866" s="61">
        <v>46254</v>
      </c>
      <c r="E866" s="61">
        <v>46245</v>
      </c>
      <c r="F866" s="5" t="s">
        <v>1297</v>
      </c>
      <c r="G866" s="5" t="s">
        <v>3387</v>
      </c>
      <c r="H866" s="5" t="s">
        <v>3388</v>
      </c>
      <c r="I866" s="60">
        <v>2</v>
      </c>
      <c r="J866" s="5" t="s">
        <v>1380</v>
      </c>
      <c r="K866" s="58">
        <v>223214.29</v>
      </c>
      <c r="L866" s="5" t="s">
        <v>3389</v>
      </c>
      <c r="M866" s="5" t="s">
        <v>1344</v>
      </c>
      <c r="N866" t="str">
        <f>_xlfn.XLOOKUP(A866,Monitoring!A:A,Monitoring!D:D)</f>
        <v>MALLS</v>
      </c>
    </row>
    <row r="867" spans="1:14" x14ac:dyDescent="0.35">
      <c r="A867" s="5">
        <v>40001266</v>
      </c>
      <c r="B867" s="5" t="s">
        <v>1295</v>
      </c>
      <c r="C867" s="5" t="s">
        <v>1318</v>
      </c>
      <c r="D867" s="61">
        <v>46261</v>
      </c>
      <c r="E867" s="61">
        <v>46245</v>
      </c>
      <c r="F867" s="5" t="s">
        <v>1297</v>
      </c>
      <c r="G867" s="5" t="s">
        <v>3390</v>
      </c>
      <c r="H867" s="5" t="s">
        <v>3391</v>
      </c>
      <c r="I867" s="60">
        <v>15</v>
      </c>
      <c r="J867" s="5" t="s">
        <v>1425</v>
      </c>
      <c r="K867" s="58">
        <v>147321.43</v>
      </c>
      <c r="L867" s="5" t="s">
        <v>1440</v>
      </c>
      <c r="M867" s="5" t="s">
        <v>1344</v>
      </c>
      <c r="N867" t="str">
        <f>_xlfn.XLOOKUP(A867,Monitoring!A:A,Monitoring!D:D)</f>
        <v>MALLS</v>
      </c>
    </row>
    <row r="868" spans="1:14" x14ac:dyDescent="0.35">
      <c r="A868" s="5">
        <v>40001266</v>
      </c>
      <c r="B868" s="5" t="s">
        <v>1295</v>
      </c>
      <c r="C868" s="5" t="s">
        <v>1318</v>
      </c>
      <c r="D868" s="61">
        <v>46261</v>
      </c>
      <c r="E868" s="61">
        <v>46245</v>
      </c>
      <c r="F868" s="5" t="s">
        <v>1297</v>
      </c>
      <c r="G868" s="5" t="s">
        <v>3390</v>
      </c>
      <c r="H868" s="5" t="s">
        <v>3392</v>
      </c>
      <c r="I868" s="60">
        <v>30</v>
      </c>
      <c r="J868" s="5" t="s">
        <v>1425</v>
      </c>
      <c r="K868" s="58">
        <v>99107.14</v>
      </c>
      <c r="L868" s="5" t="s">
        <v>1440</v>
      </c>
      <c r="M868" s="5" t="s">
        <v>1344</v>
      </c>
      <c r="N868" t="str">
        <f>_xlfn.XLOOKUP(A868,Monitoring!A:A,Monitoring!D:D)</f>
        <v>MALLS</v>
      </c>
    </row>
    <row r="869" spans="1:14" x14ac:dyDescent="0.35">
      <c r="A869" s="5">
        <v>40001280</v>
      </c>
      <c r="B869" s="5" t="s">
        <v>1295</v>
      </c>
      <c r="C869" s="5" t="s">
        <v>1318</v>
      </c>
      <c r="D869" s="61">
        <v>46092</v>
      </c>
      <c r="E869" s="61">
        <v>46112</v>
      </c>
      <c r="F869" s="5" t="s">
        <v>1364</v>
      </c>
      <c r="G869" s="5" t="s">
        <v>1776</v>
      </c>
      <c r="H869" s="5" t="s">
        <v>1777</v>
      </c>
      <c r="I869" s="60">
        <v>1</v>
      </c>
      <c r="J869" s="5" t="s">
        <v>1300</v>
      </c>
      <c r="K869" s="58">
        <v>937500</v>
      </c>
      <c r="L869" s="5" t="s">
        <v>993</v>
      </c>
      <c r="M869" s="5" t="s">
        <v>1540</v>
      </c>
      <c r="N869" t="str">
        <f>_xlfn.XLOOKUP(A869,Monitoring!A:A,Monitoring!D:D)</f>
        <v>MALLS</v>
      </c>
    </row>
    <row r="870" spans="1:14" x14ac:dyDescent="0.35">
      <c r="A870" s="5">
        <v>40001281</v>
      </c>
      <c r="B870" s="5" t="s">
        <v>1295</v>
      </c>
      <c r="C870" s="5" t="s">
        <v>1318</v>
      </c>
      <c r="D870" s="61">
        <v>46092</v>
      </c>
      <c r="E870" s="61">
        <v>46112</v>
      </c>
      <c r="F870" s="5" t="s">
        <v>1364</v>
      </c>
      <c r="G870" s="5" t="s">
        <v>1778</v>
      </c>
      <c r="H870" s="5" t="s">
        <v>1779</v>
      </c>
      <c r="I870" s="60">
        <v>0</v>
      </c>
      <c r="J870" s="5" t="s">
        <v>1300</v>
      </c>
      <c r="K870" s="58">
        <v>0</v>
      </c>
      <c r="L870" s="5" t="s">
        <v>993</v>
      </c>
      <c r="M870" s="5" t="s">
        <v>1330</v>
      </c>
      <c r="N870" t="str">
        <f>_xlfn.XLOOKUP(A870,Monitoring!A:A,Monitoring!D:D)</f>
        <v>MALLS</v>
      </c>
    </row>
    <row r="871" spans="1:14" x14ac:dyDescent="0.35">
      <c r="A871" s="5">
        <v>40001281</v>
      </c>
      <c r="B871" s="5" t="s">
        <v>1295</v>
      </c>
      <c r="C871" s="5" t="s">
        <v>1318</v>
      </c>
      <c r="D871" s="61">
        <v>46262</v>
      </c>
      <c r="E871" s="61">
        <v>46295</v>
      </c>
      <c r="F871" s="5" t="s">
        <v>1297</v>
      </c>
      <c r="G871" s="5" t="s">
        <v>3393</v>
      </c>
      <c r="H871" s="5" t="s">
        <v>3394</v>
      </c>
      <c r="I871" s="60">
        <v>1</v>
      </c>
      <c r="J871" s="5" t="s">
        <v>1300</v>
      </c>
      <c r="K871" s="58">
        <v>959821.43</v>
      </c>
      <c r="L871" s="5" t="s">
        <v>3395</v>
      </c>
      <c r="M871" s="5" t="s">
        <v>1330</v>
      </c>
      <c r="N871" t="str">
        <f>_xlfn.XLOOKUP(A871,Monitoring!A:A,Monitoring!D:D)</f>
        <v>MALLS</v>
      </c>
    </row>
    <row r="872" spans="1:14" x14ac:dyDescent="0.35">
      <c r="A872" s="5">
        <v>40001282</v>
      </c>
      <c r="B872" s="5" t="s">
        <v>1295</v>
      </c>
      <c r="C872" s="5" t="s">
        <v>1318</v>
      </c>
      <c r="D872" s="61">
        <v>46093</v>
      </c>
      <c r="E872" s="61">
        <v>46111</v>
      </c>
      <c r="F872" s="5" t="s">
        <v>1364</v>
      </c>
      <c r="G872" s="5" t="s">
        <v>1780</v>
      </c>
      <c r="H872" s="5" t="s">
        <v>1781</v>
      </c>
      <c r="I872" s="60">
        <v>0</v>
      </c>
      <c r="J872" s="5" t="s">
        <v>1300</v>
      </c>
      <c r="K872" s="58">
        <v>0</v>
      </c>
      <c r="L872" s="5" t="s">
        <v>993</v>
      </c>
      <c r="M872" s="5" t="s">
        <v>1344</v>
      </c>
      <c r="N872" t="str">
        <f>_xlfn.XLOOKUP(A872,Monitoring!A:A,Monitoring!D:D)</f>
        <v>Corporate - IT</v>
      </c>
    </row>
    <row r="873" spans="1:14" x14ac:dyDescent="0.35">
      <c r="A873" s="5">
        <v>40001282</v>
      </c>
      <c r="B873" s="5" t="s">
        <v>1295</v>
      </c>
      <c r="C873" s="5" t="s">
        <v>1318</v>
      </c>
      <c r="D873" s="61">
        <v>46107</v>
      </c>
      <c r="E873" s="61">
        <v>46111</v>
      </c>
      <c r="F873" s="5" t="s">
        <v>1297</v>
      </c>
      <c r="G873" s="5" t="s">
        <v>1782</v>
      </c>
      <c r="H873" s="5" t="s">
        <v>1783</v>
      </c>
      <c r="I873" s="60">
        <v>0</v>
      </c>
      <c r="J873" s="5" t="s">
        <v>1300</v>
      </c>
      <c r="K873" s="58">
        <v>0</v>
      </c>
      <c r="L873" s="5" t="s">
        <v>1784</v>
      </c>
      <c r="M873" s="5" t="s">
        <v>1702</v>
      </c>
      <c r="N873" t="str">
        <f>_xlfn.XLOOKUP(A873,Monitoring!A:A,Monitoring!D:D)</f>
        <v>Corporate - IT</v>
      </c>
    </row>
    <row r="874" spans="1:14" x14ac:dyDescent="0.35">
      <c r="A874" s="5">
        <v>40001283</v>
      </c>
      <c r="B874" s="5" t="s">
        <v>1295</v>
      </c>
      <c r="C874" s="5" t="s">
        <v>1318</v>
      </c>
      <c r="D874" s="61">
        <v>46104</v>
      </c>
      <c r="E874" s="61">
        <v>46127</v>
      </c>
      <c r="F874" s="5" t="s">
        <v>1364</v>
      </c>
      <c r="G874" s="5" t="s">
        <v>1785</v>
      </c>
      <c r="H874" s="5" t="s">
        <v>1786</v>
      </c>
      <c r="I874" s="60">
        <v>0</v>
      </c>
      <c r="J874" s="5" t="s">
        <v>1380</v>
      </c>
      <c r="K874" s="58">
        <v>0</v>
      </c>
      <c r="L874" s="5" t="s">
        <v>993</v>
      </c>
      <c r="M874" s="5" t="s">
        <v>1344</v>
      </c>
      <c r="N874" t="str">
        <f>_xlfn.XLOOKUP(A874,Monitoring!A:A,Monitoring!D:D)</f>
        <v>Corporate - IT</v>
      </c>
    </row>
    <row r="875" spans="1:14" x14ac:dyDescent="0.35">
      <c r="A875" s="5">
        <v>40001283</v>
      </c>
      <c r="B875" s="5" t="s">
        <v>1295</v>
      </c>
      <c r="C875" s="5" t="s">
        <v>1318</v>
      </c>
      <c r="D875" s="61">
        <v>46135</v>
      </c>
      <c r="E875" s="61">
        <v>46127</v>
      </c>
      <c r="F875" s="5" t="s">
        <v>1297</v>
      </c>
      <c r="G875" s="5" t="s">
        <v>2062</v>
      </c>
      <c r="H875" s="5" t="s">
        <v>2063</v>
      </c>
      <c r="I875" s="60">
        <v>0</v>
      </c>
      <c r="J875" s="5" t="s">
        <v>1380</v>
      </c>
      <c r="K875" s="58">
        <v>0</v>
      </c>
      <c r="L875" s="5" t="s">
        <v>1648</v>
      </c>
      <c r="M875" s="5" t="s">
        <v>1374</v>
      </c>
      <c r="N875" t="str">
        <f>_xlfn.XLOOKUP(A875,Monitoring!A:A,Monitoring!D:D)</f>
        <v>Corporate - IT</v>
      </c>
    </row>
    <row r="876" spans="1:14" x14ac:dyDescent="0.35">
      <c r="A876" s="5">
        <v>40001284</v>
      </c>
      <c r="B876" s="5" t="s">
        <v>1295</v>
      </c>
      <c r="C876" s="5" t="s">
        <v>1318</v>
      </c>
      <c r="D876" s="61">
        <v>46106</v>
      </c>
      <c r="E876" s="61">
        <v>46120</v>
      </c>
      <c r="F876" s="5" t="s">
        <v>1364</v>
      </c>
      <c r="G876" s="5" t="s">
        <v>1787</v>
      </c>
      <c r="H876" s="5" t="s">
        <v>1788</v>
      </c>
      <c r="I876" s="60">
        <v>0</v>
      </c>
      <c r="J876" s="5" t="s">
        <v>1380</v>
      </c>
      <c r="K876" s="58">
        <v>0</v>
      </c>
      <c r="L876" s="5" t="s">
        <v>993</v>
      </c>
      <c r="M876" s="5" t="s">
        <v>2064</v>
      </c>
      <c r="N876" t="str">
        <f>_xlfn.XLOOKUP(A876,Monitoring!A:A,Monitoring!D:D)</f>
        <v>Corporate - HR</v>
      </c>
    </row>
    <row r="877" spans="1:14" x14ac:dyDescent="0.35">
      <c r="A877" s="5">
        <v>40001284</v>
      </c>
      <c r="B877" s="5" t="s">
        <v>1295</v>
      </c>
      <c r="C877" s="5" t="s">
        <v>1318</v>
      </c>
      <c r="D877" s="61">
        <v>46118</v>
      </c>
      <c r="E877" s="61">
        <v>46125</v>
      </c>
      <c r="F877" s="5" t="s">
        <v>1297</v>
      </c>
      <c r="G877" s="5" t="s">
        <v>2065</v>
      </c>
      <c r="H877" s="5" t="s">
        <v>2066</v>
      </c>
      <c r="I877" s="60">
        <v>0</v>
      </c>
      <c r="J877" s="5" t="s">
        <v>1380</v>
      </c>
      <c r="K877" s="58">
        <v>0</v>
      </c>
      <c r="L877" s="5" t="s">
        <v>2067</v>
      </c>
      <c r="M877" s="5" t="s">
        <v>1702</v>
      </c>
      <c r="N877" t="str">
        <f>_xlfn.XLOOKUP(A877,Monitoring!A:A,Monitoring!D:D)</f>
        <v>Corporate - HR</v>
      </c>
    </row>
    <row r="878" spans="1:14" x14ac:dyDescent="0.35">
      <c r="A878" s="5">
        <v>40001285</v>
      </c>
      <c r="B878" s="5" t="s">
        <v>1295</v>
      </c>
      <c r="C878" s="5" t="s">
        <v>1318</v>
      </c>
      <c r="D878" s="61">
        <v>46112</v>
      </c>
      <c r="E878" s="61">
        <v>46127</v>
      </c>
      <c r="F878" s="5" t="s">
        <v>1364</v>
      </c>
      <c r="G878" s="5" t="s">
        <v>1789</v>
      </c>
      <c r="H878" s="5" t="s">
        <v>1790</v>
      </c>
      <c r="I878" s="60">
        <v>0</v>
      </c>
      <c r="J878" s="5" t="s">
        <v>1380</v>
      </c>
      <c r="K878" s="58">
        <v>0</v>
      </c>
      <c r="L878" s="5" t="s">
        <v>993</v>
      </c>
      <c r="M878" s="5" t="s">
        <v>1330</v>
      </c>
      <c r="N878" t="str">
        <f>_xlfn.XLOOKUP(A878,Monitoring!A:A,Monitoring!D:D)</f>
        <v>Corporate - HR</v>
      </c>
    </row>
    <row r="879" spans="1:14" x14ac:dyDescent="0.35">
      <c r="A879" s="5">
        <v>40001285</v>
      </c>
      <c r="B879" s="5" t="s">
        <v>1295</v>
      </c>
      <c r="C879" s="5" t="s">
        <v>1318</v>
      </c>
      <c r="D879" s="61">
        <v>46128</v>
      </c>
      <c r="E879" s="61">
        <v>46188</v>
      </c>
      <c r="F879" s="5" t="s">
        <v>1297</v>
      </c>
      <c r="G879" s="5" t="s">
        <v>2068</v>
      </c>
      <c r="H879" s="5" t="s">
        <v>2069</v>
      </c>
      <c r="I879" s="60">
        <v>0</v>
      </c>
      <c r="J879" s="5" t="s">
        <v>1380</v>
      </c>
      <c r="K879" s="58">
        <v>0</v>
      </c>
      <c r="L879" s="5" t="s">
        <v>2070</v>
      </c>
      <c r="M879" s="5" t="s">
        <v>1702</v>
      </c>
      <c r="N879" t="str">
        <f>_xlfn.XLOOKUP(A879,Monitoring!A:A,Monitoring!D:D)</f>
        <v>Corporate - HR</v>
      </c>
    </row>
    <row r="880" spans="1:14" x14ac:dyDescent="0.35">
      <c r="A880" s="5">
        <v>40001286</v>
      </c>
      <c r="B880" s="5" t="s">
        <v>1295</v>
      </c>
      <c r="C880" s="5" t="s">
        <v>1318</v>
      </c>
      <c r="D880" s="61">
        <v>46149</v>
      </c>
      <c r="E880" s="61">
        <v>46163</v>
      </c>
      <c r="F880" s="5" t="s">
        <v>1364</v>
      </c>
      <c r="G880" s="5" t="s">
        <v>2468</v>
      </c>
      <c r="H880" s="5" t="s">
        <v>3145</v>
      </c>
      <c r="I880" s="60">
        <v>0</v>
      </c>
      <c r="J880" s="5" t="s">
        <v>1380</v>
      </c>
      <c r="K880" s="58">
        <v>0</v>
      </c>
      <c r="L880" s="5" t="s">
        <v>993</v>
      </c>
      <c r="M880" s="5" t="s">
        <v>1457</v>
      </c>
      <c r="N880" t="str">
        <f>_xlfn.XLOOKUP(A880,Monitoring!A:A,Monitoring!D:D)</f>
        <v>Corporate - HR</v>
      </c>
    </row>
    <row r="881" spans="1:14" x14ac:dyDescent="0.35">
      <c r="A881" s="5">
        <v>40001286</v>
      </c>
      <c r="B881" s="5" t="s">
        <v>1295</v>
      </c>
      <c r="C881" s="5" t="s">
        <v>1318</v>
      </c>
      <c r="D881" s="61">
        <v>46245</v>
      </c>
      <c r="E881" s="61">
        <v>46256</v>
      </c>
      <c r="F881" s="5" t="s">
        <v>1364</v>
      </c>
      <c r="G881" s="5" t="s">
        <v>2468</v>
      </c>
      <c r="H881" s="5" t="s">
        <v>3146</v>
      </c>
      <c r="I881" s="60">
        <v>0</v>
      </c>
      <c r="J881" s="5" t="s">
        <v>1300</v>
      </c>
      <c r="K881" s="58">
        <v>0</v>
      </c>
      <c r="L881" s="5" t="s">
        <v>993</v>
      </c>
      <c r="M881" s="5" t="s">
        <v>1457</v>
      </c>
      <c r="N881" t="str">
        <f>_xlfn.XLOOKUP(A881,Monitoring!A:A,Monitoring!D:D)</f>
        <v>Corporate - HR</v>
      </c>
    </row>
    <row r="882" spans="1:14" x14ac:dyDescent="0.35">
      <c r="A882" s="5">
        <v>40001286</v>
      </c>
      <c r="B882" s="5" t="s">
        <v>1295</v>
      </c>
      <c r="C882" s="5" t="s">
        <v>1318</v>
      </c>
      <c r="D882" s="61">
        <v>46244</v>
      </c>
      <c r="E882" s="61">
        <v>46259</v>
      </c>
      <c r="F882" s="5" t="s">
        <v>1364</v>
      </c>
      <c r="G882" s="5" t="s">
        <v>3147</v>
      </c>
      <c r="H882" s="5" t="s">
        <v>3145</v>
      </c>
      <c r="I882" s="60">
        <v>0</v>
      </c>
      <c r="J882" s="5" t="s">
        <v>1380</v>
      </c>
      <c r="K882" s="58">
        <v>0</v>
      </c>
      <c r="L882" s="5" t="s">
        <v>993</v>
      </c>
      <c r="M882" s="5" t="s">
        <v>1330</v>
      </c>
      <c r="N882" t="str">
        <f>_xlfn.XLOOKUP(A882,Monitoring!A:A,Monitoring!D:D)</f>
        <v>Corporate - HR</v>
      </c>
    </row>
    <row r="883" spans="1:14" x14ac:dyDescent="0.35">
      <c r="A883" s="5">
        <v>40001286</v>
      </c>
      <c r="B883" s="5" t="s">
        <v>1295</v>
      </c>
      <c r="C883" s="5" t="s">
        <v>1318</v>
      </c>
      <c r="D883" s="61">
        <v>46244</v>
      </c>
      <c r="E883" s="61">
        <v>46259</v>
      </c>
      <c r="F883" s="5" t="s">
        <v>1364</v>
      </c>
      <c r="G883" s="5" t="s">
        <v>3147</v>
      </c>
      <c r="H883" s="5" t="s">
        <v>3146</v>
      </c>
      <c r="I883" s="60">
        <v>0</v>
      </c>
      <c r="J883" s="5" t="s">
        <v>1300</v>
      </c>
      <c r="K883" s="58">
        <v>0</v>
      </c>
      <c r="L883" s="5" t="s">
        <v>993</v>
      </c>
      <c r="M883" s="5" t="s">
        <v>1330</v>
      </c>
      <c r="N883" t="str">
        <f>_xlfn.XLOOKUP(A883,Monitoring!A:A,Monitoring!D:D)</f>
        <v>Corporate - HR</v>
      </c>
    </row>
    <row r="884" spans="1:14" x14ac:dyDescent="0.35">
      <c r="A884" s="5">
        <v>40001286</v>
      </c>
      <c r="B884" s="5" t="s">
        <v>1295</v>
      </c>
      <c r="C884" s="5" t="s">
        <v>1318</v>
      </c>
      <c r="D884" s="61">
        <v>46160</v>
      </c>
      <c r="E884" s="61">
        <v>46265</v>
      </c>
      <c r="F884" s="5" t="s">
        <v>1297</v>
      </c>
      <c r="G884" s="5" t="s">
        <v>2469</v>
      </c>
      <c r="H884" s="5" t="s">
        <v>2470</v>
      </c>
      <c r="I884" s="60">
        <v>0</v>
      </c>
      <c r="J884" s="5" t="s">
        <v>1380</v>
      </c>
      <c r="K884" s="58">
        <v>0</v>
      </c>
      <c r="L884" s="5" t="s">
        <v>1770</v>
      </c>
      <c r="M884" s="5" t="s">
        <v>1330</v>
      </c>
      <c r="N884" t="str">
        <f>_xlfn.XLOOKUP(A884,Monitoring!A:A,Monitoring!D:D)</f>
        <v>Corporate - HR</v>
      </c>
    </row>
    <row r="885" spans="1:14" x14ac:dyDescent="0.35">
      <c r="A885" s="5">
        <v>40001286</v>
      </c>
      <c r="B885" s="5" t="s">
        <v>1295</v>
      </c>
      <c r="C885" s="5" t="s">
        <v>1318</v>
      </c>
      <c r="D885" s="61">
        <v>46254</v>
      </c>
      <c r="E885" s="61">
        <v>46262</v>
      </c>
      <c r="F885" s="5" t="s">
        <v>1297</v>
      </c>
      <c r="G885" s="5" t="s">
        <v>3396</v>
      </c>
      <c r="H885" s="5" t="s">
        <v>3145</v>
      </c>
      <c r="I885" s="60">
        <v>1</v>
      </c>
      <c r="J885" s="5" t="s">
        <v>1380</v>
      </c>
      <c r="K885" s="58">
        <v>2185714.29</v>
      </c>
      <c r="L885" s="5" t="s">
        <v>3397</v>
      </c>
      <c r="M885" s="5" t="s">
        <v>1330</v>
      </c>
      <c r="N885" t="str">
        <f>_xlfn.XLOOKUP(A885,Monitoring!A:A,Monitoring!D:D)</f>
        <v>Corporate - HR</v>
      </c>
    </row>
    <row r="886" spans="1:14" x14ac:dyDescent="0.35">
      <c r="A886" s="5">
        <v>40001286</v>
      </c>
      <c r="B886" s="5" t="s">
        <v>1295</v>
      </c>
      <c r="C886" s="5" t="s">
        <v>1318</v>
      </c>
      <c r="D886" s="61">
        <v>46254</v>
      </c>
      <c r="E886" s="61">
        <v>46262</v>
      </c>
      <c r="F886" s="5" t="s">
        <v>1297</v>
      </c>
      <c r="G886" s="5" t="s">
        <v>3396</v>
      </c>
      <c r="H886" s="5" t="s">
        <v>3146</v>
      </c>
      <c r="I886" s="60">
        <v>1</v>
      </c>
      <c r="J886" s="5" t="s">
        <v>1300</v>
      </c>
      <c r="K886" s="58">
        <v>17857.14</v>
      </c>
      <c r="L886" s="5" t="s">
        <v>3397</v>
      </c>
      <c r="M886" s="5" t="s">
        <v>1330</v>
      </c>
      <c r="N886" t="str">
        <f>_xlfn.XLOOKUP(A886,Monitoring!A:A,Monitoring!D:D)</f>
        <v>Corporate - HR</v>
      </c>
    </row>
    <row r="887" spans="1:14" x14ac:dyDescent="0.35">
      <c r="A887" s="5">
        <v>40001288</v>
      </c>
      <c r="B887" s="5" t="s">
        <v>1295</v>
      </c>
      <c r="C887" s="5" t="s">
        <v>1296</v>
      </c>
      <c r="D887" s="61">
        <v>46154</v>
      </c>
      <c r="E887" s="61">
        <v>46168</v>
      </c>
      <c r="F887" s="5" t="s">
        <v>1364</v>
      </c>
      <c r="G887" s="5" t="s">
        <v>2471</v>
      </c>
      <c r="H887" s="5" t="s">
        <v>2472</v>
      </c>
      <c r="I887" s="60">
        <v>0</v>
      </c>
      <c r="J887" s="5" t="s">
        <v>1380</v>
      </c>
      <c r="K887" s="58">
        <v>0</v>
      </c>
      <c r="L887" s="5" t="s">
        <v>993</v>
      </c>
      <c r="M887" s="5" t="s">
        <v>1330</v>
      </c>
      <c r="N887" t="str">
        <f>_xlfn.XLOOKUP(A887,Monitoring!A:A,Monitoring!D:D)</f>
        <v>Corporate - HR</v>
      </c>
    </row>
    <row r="888" spans="1:14" x14ac:dyDescent="0.35">
      <c r="A888" s="5">
        <v>40001288</v>
      </c>
      <c r="B888" s="5" t="s">
        <v>1295</v>
      </c>
      <c r="C888" s="5" t="s">
        <v>1296</v>
      </c>
      <c r="D888" s="61">
        <v>46160</v>
      </c>
      <c r="E888" s="61">
        <v>46162</v>
      </c>
      <c r="F888" s="5" t="s">
        <v>1297</v>
      </c>
      <c r="G888" s="5" t="s">
        <v>2473</v>
      </c>
      <c r="H888" s="5" t="s">
        <v>2148</v>
      </c>
      <c r="I888" s="60">
        <v>0</v>
      </c>
      <c r="J888" s="5" t="s">
        <v>1380</v>
      </c>
      <c r="K888" s="58">
        <v>0</v>
      </c>
      <c r="L888" s="5" t="s">
        <v>2474</v>
      </c>
      <c r="M888" s="5" t="s">
        <v>1702</v>
      </c>
      <c r="N888" t="str">
        <f>_xlfn.XLOOKUP(A888,Monitoring!A:A,Monitoring!D:D)</f>
        <v>Corporate - HR</v>
      </c>
    </row>
    <row r="889" spans="1:14" x14ac:dyDescent="0.35">
      <c r="A889" s="5">
        <v>40001289</v>
      </c>
      <c r="B889" s="5" t="s">
        <v>1295</v>
      </c>
      <c r="C889" s="5" t="s">
        <v>1318</v>
      </c>
      <c r="D889" s="61">
        <v>46149</v>
      </c>
      <c r="E889" s="61">
        <v>46163</v>
      </c>
      <c r="F889" s="5" t="s">
        <v>1364</v>
      </c>
      <c r="G889" s="5" t="s">
        <v>2475</v>
      </c>
      <c r="H889" s="5" t="s">
        <v>2476</v>
      </c>
      <c r="I889" s="60">
        <v>0</v>
      </c>
      <c r="J889" s="5" t="s">
        <v>1380</v>
      </c>
      <c r="K889" s="58">
        <v>0</v>
      </c>
      <c r="L889" s="5" t="s">
        <v>993</v>
      </c>
      <c r="M889" s="5" t="s">
        <v>1330</v>
      </c>
      <c r="N889" t="str">
        <f>_xlfn.XLOOKUP(A889,Monitoring!A:A,Monitoring!D:D)</f>
        <v>Corporate - HR</v>
      </c>
    </row>
    <row r="890" spans="1:14" x14ac:dyDescent="0.35">
      <c r="A890" s="5">
        <v>40001289</v>
      </c>
      <c r="B890" s="5" t="s">
        <v>1295</v>
      </c>
      <c r="C890" s="5" t="s">
        <v>1318</v>
      </c>
      <c r="D890" s="61">
        <v>46149</v>
      </c>
      <c r="E890" s="61">
        <v>46163</v>
      </c>
      <c r="F890" s="5" t="s">
        <v>1364</v>
      </c>
      <c r="G890" s="5" t="s">
        <v>2475</v>
      </c>
      <c r="H890" s="5" t="s">
        <v>2477</v>
      </c>
      <c r="I890" s="60">
        <v>0</v>
      </c>
      <c r="J890" s="5" t="s">
        <v>1300</v>
      </c>
      <c r="K890" s="58">
        <v>0</v>
      </c>
      <c r="L890" s="5" t="s">
        <v>993</v>
      </c>
      <c r="M890" s="5" t="s">
        <v>1330</v>
      </c>
      <c r="N890" t="str">
        <f>_xlfn.XLOOKUP(A890,Monitoring!A:A,Monitoring!D:D)</f>
        <v>Corporate - HR</v>
      </c>
    </row>
    <row r="891" spans="1:14" x14ac:dyDescent="0.35">
      <c r="A891" s="5">
        <v>40001289</v>
      </c>
      <c r="B891" s="5" t="s">
        <v>1295</v>
      </c>
      <c r="C891" s="5" t="s">
        <v>1318</v>
      </c>
      <c r="D891" s="61">
        <v>46212</v>
      </c>
      <c r="E891" s="61">
        <v>46231</v>
      </c>
      <c r="F891" s="5" t="s">
        <v>1364</v>
      </c>
      <c r="G891" s="5" t="s">
        <v>2475</v>
      </c>
      <c r="H891" s="5" t="s">
        <v>2829</v>
      </c>
      <c r="I891" s="60">
        <v>0</v>
      </c>
      <c r="J891" s="5" t="s">
        <v>1380</v>
      </c>
      <c r="K891" s="58">
        <v>0</v>
      </c>
      <c r="L891" s="5" t="s">
        <v>993</v>
      </c>
      <c r="M891" s="5" t="s">
        <v>1330</v>
      </c>
      <c r="N891" t="str">
        <f>_xlfn.XLOOKUP(A891,Monitoring!A:A,Monitoring!D:D)</f>
        <v>Corporate - HR</v>
      </c>
    </row>
    <row r="892" spans="1:14" x14ac:dyDescent="0.35">
      <c r="A892" s="5">
        <v>40001289</v>
      </c>
      <c r="B892" s="5" t="s">
        <v>1295</v>
      </c>
      <c r="C892" s="5" t="s">
        <v>1318</v>
      </c>
      <c r="D892" s="61">
        <v>46160</v>
      </c>
      <c r="E892" s="61">
        <v>46265</v>
      </c>
      <c r="F892" s="5" t="s">
        <v>1297</v>
      </c>
      <c r="G892" s="5" t="s">
        <v>2478</v>
      </c>
      <c r="H892" s="5" t="s">
        <v>2479</v>
      </c>
      <c r="I892" s="60">
        <v>0</v>
      </c>
      <c r="J892" s="5" t="s">
        <v>1380</v>
      </c>
      <c r="K892" s="58">
        <v>0</v>
      </c>
      <c r="L892" s="5" t="s">
        <v>1770</v>
      </c>
      <c r="M892" s="5" t="s">
        <v>1330</v>
      </c>
      <c r="N892" t="str">
        <f>_xlfn.XLOOKUP(A892,Monitoring!A:A,Monitoring!D:D)</f>
        <v>Corporate - HR</v>
      </c>
    </row>
    <row r="893" spans="1:14" x14ac:dyDescent="0.35">
      <c r="A893" s="5">
        <v>40001289</v>
      </c>
      <c r="B893" s="5" t="s">
        <v>1295</v>
      </c>
      <c r="C893" s="5" t="s">
        <v>1318</v>
      </c>
      <c r="D893" s="61">
        <v>46160</v>
      </c>
      <c r="E893" s="61">
        <v>46265</v>
      </c>
      <c r="F893" s="5" t="s">
        <v>1297</v>
      </c>
      <c r="G893" s="5" t="s">
        <v>2478</v>
      </c>
      <c r="H893" s="5" t="s">
        <v>2477</v>
      </c>
      <c r="I893" s="60">
        <v>0</v>
      </c>
      <c r="J893" s="5" t="s">
        <v>1300</v>
      </c>
      <c r="K893" s="58">
        <v>0</v>
      </c>
      <c r="L893" s="5" t="s">
        <v>1770</v>
      </c>
      <c r="M893" s="5" t="s">
        <v>1330</v>
      </c>
      <c r="N893" t="str">
        <f>_xlfn.XLOOKUP(A893,Monitoring!A:A,Monitoring!D:D)</f>
        <v>Corporate - HR</v>
      </c>
    </row>
    <row r="894" spans="1:14" x14ac:dyDescent="0.35">
      <c r="A894" s="5">
        <v>40001289</v>
      </c>
      <c r="B894" s="5" t="s">
        <v>1295</v>
      </c>
      <c r="C894" s="5" t="s">
        <v>1318</v>
      </c>
      <c r="D894" s="61">
        <v>46212</v>
      </c>
      <c r="E894" s="61">
        <v>46231</v>
      </c>
      <c r="F894" s="5" t="s">
        <v>1297</v>
      </c>
      <c r="G894" s="5" t="s">
        <v>2857</v>
      </c>
      <c r="H894" s="5" t="s">
        <v>2829</v>
      </c>
      <c r="I894" s="60">
        <v>0</v>
      </c>
      <c r="J894" s="5" t="s">
        <v>1380</v>
      </c>
      <c r="K894" s="58">
        <v>0</v>
      </c>
      <c r="L894" s="5" t="s">
        <v>2858</v>
      </c>
      <c r="M894" s="5" t="s">
        <v>1702</v>
      </c>
      <c r="N894" t="str">
        <f>_xlfn.XLOOKUP(A894,Monitoring!A:A,Monitoring!D:D)</f>
        <v>Corporate - HR</v>
      </c>
    </row>
    <row r="895" spans="1:14" x14ac:dyDescent="0.35">
      <c r="A895" s="5">
        <v>40001290</v>
      </c>
      <c r="B895" s="5" t="s">
        <v>1295</v>
      </c>
      <c r="C895" s="5" t="s">
        <v>1318</v>
      </c>
      <c r="D895" s="61">
        <v>46149</v>
      </c>
      <c r="E895" s="61">
        <v>46163</v>
      </c>
      <c r="F895" s="5" t="s">
        <v>1364</v>
      </c>
      <c r="G895" s="5" t="s">
        <v>2480</v>
      </c>
      <c r="H895" s="5" t="s">
        <v>2481</v>
      </c>
      <c r="I895" s="60">
        <v>0</v>
      </c>
      <c r="J895" s="5" t="s">
        <v>1380</v>
      </c>
      <c r="K895" s="58">
        <v>0</v>
      </c>
      <c r="L895" s="5" t="s">
        <v>993</v>
      </c>
      <c r="M895" s="5" t="s">
        <v>1330</v>
      </c>
      <c r="N895" t="str">
        <f>_xlfn.XLOOKUP(A895,Monitoring!A:A,Monitoring!D:D)</f>
        <v>Corporate - HR</v>
      </c>
    </row>
    <row r="896" spans="1:14" x14ac:dyDescent="0.35">
      <c r="A896" s="5">
        <v>40001290</v>
      </c>
      <c r="B896" s="5" t="s">
        <v>1295</v>
      </c>
      <c r="C896" s="5" t="s">
        <v>1318</v>
      </c>
      <c r="D896" s="61">
        <v>46176</v>
      </c>
      <c r="E896" s="61">
        <v>46186</v>
      </c>
      <c r="F896" s="5" t="s">
        <v>1297</v>
      </c>
      <c r="G896" s="5" t="s">
        <v>2482</v>
      </c>
      <c r="H896" s="5" t="s">
        <v>2069</v>
      </c>
      <c r="I896" s="60">
        <v>0</v>
      </c>
      <c r="J896" s="5" t="s">
        <v>1380</v>
      </c>
      <c r="K896" s="58">
        <v>0</v>
      </c>
      <c r="L896" s="5" t="s">
        <v>2483</v>
      </c>
      <c r="M896" s="5" t="s">
        <v>1702</v>
      </c>
      <c r="N896" t="str">
        <f>_xlfn.XLOOKUP(A896,Monitoring!A:A,Monitoring!D:D)</f>
        <v>Corporate - HR</v>
      </c>
    </row>
    <row r="897" spans="1:14" x14ac:dyDescent="0.35">
      <c r="A897" s="5">
        <v>40001291</v>
      </c>
      <c r="B897" s="5" t="s">
        <v>1295</v>
      </c>
      <c r="C897" s="5" t="s">
        <v>1296</v>
      </c>
      <c r="D897" s="61">
        <v>46150</v>
      </c>
      <c r="E897" s="61">
        <v>46164</v>
      </c>
      <c r="F897" s="5" t="s">
        <v>1364</v>
      </c>
      <c r="G897" s="5" t="s">
        <v>2484</v>
      </c>
      <c r="H897" s="5" t="s">
        <v>2485</v>
      </c>
      <c r="I897" s="60">
        <v>0</v>
      </c>
      <c r="J897" s="5" t="s">
        <v>1425</v>
      </c>
      <c r="K897" s="58">
        <v>0</v>
      </c>
      <c r="L897" s="5" t="s">
        <v>993</v>
      </c>
      <c r="M897" s="5" t="s">
        <v>1344</v>
      </c>
      <c r="N897" t="str">
        <f>_xlfn.XLOOKUP(A897,Monitoring!A:A,Monitoring!D:D)</f>
        <v>RESIDENTIAL</v>
      </c>
    </row>
    <row r="898" spans="1:14" x14ac:dyDescent="0.35">
      <c r="A898" s="5">
        <v>40001291</v>
      </c>
      <c r="B898" s="5" t="s">
        <v>1295</v>
      </c>
      <c r="C898" s="5" t="s">
        <v>1296</v>
      </c>
      <c r="D898" s="61">
        <v>46150</v>
      </c>
      <c r="E898" s="61">
        <v>46164</v>
      </c>
      <c r="F898" s="5" t="s">
        <v>1364</v>
      </c>
      <c r="G898" s="5" t="s">
        <v>2484</v>
      </c>
      <c r="H898" s="5" t="s">
        <v>2486</v>
      </c>
      <c r="I898" s="60">
        <v>0</v>
      </c>
      <c r="J898" s="5" t="s">
        <v>1425</v>
      </c>
      <c r="K898" s="58">
        <v>0</v>
      </c>
      <c r="L898" s="5" t="s">
        <v>993</v>
      </c>
      <c r="M898" s="5" t="s">
        <v>1344</v>
      </c>
      <c r="N898" t="str">
        <f>_xlfn.XLOOKUP(A898,Monitoring!A:A,Monitoring!D:D)</f>
        <v>RESIDENTIAL</v>
      </c>
    </row>
    <row r="899" spans="1:14" x14ac:dyDescent="0.35">
      <c r="A899" s="5">
        <v>40001291</v>
      </c>
      <c r="B899" s="5" t="s">
        <v>1295</v>
      </c>
      <c r="C899" s="5" t="s">
        <v>1296</v>
      </c>
      <c r="D899" s="61">
        <v>46150</v>
      </c>
      <c r="E899" s="61">
        <v>46164</v>
      </c>
      <c r="F899" s="5" t="s">
        <v>1364</v>
      </c>
      <c r="G899" s="5" t="s">
        <v>2487</v>
      </c>
      <c r="H899" s="5" t="s">
        <v>2488</v>
      </c>
      <c r="I899" s="60">
        <v>0</v>
      </c>
      <c r="J899" s="5" t="s">
        <v>1425</v>
      </c>
      <c r="K899" s="58">
        <v>0</v>
      </c>
      <c r="L899" s="5" t="s">
        <v>993</v>
      </c>
      <c r="M899" s="5" t="s">
        <v>1344</v>
      </c>
      <c r="N899" t="str">
        <f>_xlfn.XLOOKUP(A899,Monitoring!A:A,Monitoring!D:D)</f>
        <v>RESIDENTIAL</v>
      </c>
    </row>
    <row r="900" spans="1:14" x14ac:dyDescent="0.35">
      <c r="A900" s="5">
        <v>40001291</v>
      </c>
      <c r="B900" s="5" t="s">
        <v>1295</v>
      </c>
      <c r="C900" s="5" t="s">
        <v>1296</v>
      </c>
      <c r="D900" s="61">
        <v>46174</v>
      </c>
      <c r="E900" s="61">
        <v>46164</v>
      </c>
      <c r="F900" s="5" t="s">
        <v>1297</v>
      </c>
      <c r="G900" s="5" t="s">
        <v>2274</v>
      </c>
      <c r="H900" s="5" t="s">
        <v>2276</v>
      </c>
      <c r="I900" s="60">
        <v>0</v>
      </c>
      <c r="J900" s="5" t="s">
        <v>1425</v>
      </c>
      <c r="K900" s="58">
        <v>0</v>
      </c>
      <c r="L900" s="5" t="s">
        <v>1440</v>
      </c>
      <c r="M900" s="5" t="s">
        <v>1706</v>
      </c>
      <c r="N900" t="str">
        <f>_xlfn.XLOOKUP(A900,Monitoring!A:A,Monitoring!D:D)</f>
        <v>RESIDENTIAL</v>
      </c>
    </row>
    <row r="901" spans="1:14" x14ac:dyDescent="0.35">
      <c r="A901" s="5">
        <v>40001291</v>
      </c>
      <c r="B901" s="5" t="s">
        <v>1295</v>
      </c>
      <c r="C901" s="5" t="s">
        <v>1296</v>
      </c>
      <c r="D901" s="61">
        <v>46182</v>
      </c>
      <c r="E901" s="61">
        <v>46164</v>
      </c>
      <c r="F901" s="5" t="s">
        <v>1297</v>
      </c>
      <c r="G901" s="5" t="s">
        <v>2516</v>
      </c>
      <c r="H901" s="5" t="s">
        <v>2517</v>
      </c>
      <c r="I901" s="60">
        <v>0</v>
      </c>
      <c r="J901" s="5" t="s">
        <v>1425</v>
      </c>
      <c r="K901" s="58">
        <v>0</v>
      </c>
      <c r="L901" s="5" t="s">
        <v>2518</v>
      </c>
      <c r="M901" s="5" t="s">
        <v>1344</v>
      </c>
      <c r="N901" t="str">
        <f>_xlfn.XLOOKUP(A901,Monitoring!A:A,Monitoring!D:D)</f>
        <v>RESIDENTIAL</v>
      </c>
    </row>
    <row r="902" spans="1:14" x14ac:dyDescent="0.35">
      <c r="A902" s="5">
        <v>40001291</v>
      </c>
      <c r="B902" s="5" t="s">
        <v>1295</v>
      </c>
      <c r="C902" s="5" t="s">
        <v>1296</v>
      </c>
      <c r="D902" s="61">
        <v>46182</v>
      </c>
      <c r="E902" s="61">
        <v>46164</v>
      </c>
      <c r="F902" s="5" t="s">
        <v>1297</v>
      </c>
      <c r="G902" s="5" t="s">
        <v>2516</v>
      </c>
      <c r="H902" s="5" t="s">
        <v>2519</v>
      </c>
      <c r="I902" s="60">
        <v>0</v>
      </c>
      <c r="J902" s="5" t="s">
        <v>1425</v>
      </c>
      <c r="K902" s="58">
        <v>0</v>
      </c>
      <c r="L902" s="5" t="s">
        <v>2518</v>
      </c>
      <c r="M902" s="5" t="s">
        <v>1344</v>
      </c>
      <c r="N902" t="str">
        <f>_xlfn.XLOOKUP(A902,Monitoring!A:A,Monitoring!D:D)</f>
        <v>RESIDENTIAL</v>
      </c>
    </row>
    <row r="903" spans="1:14" x14ac:dyDescent="0.35">
      <c r="A903" s="5">
        <v>40001291</v>
      </c>
      <c r="B903" s="5" t="s">
        <v>1295</v>
      </c>
      <c r="C903" s="5" t="s">
        <v>1296</v>
      </c>
      <c r="D903" s="61">
        <v>46209</v>
      </c>
      <c r="E903" s="61">
        <v>46164</v>
      </c>
      <c r="F903" s="5" t="s">
        <v>1297</v>
      </c>
      <c r="G903" s="5" t="s">
        <v>2830</v>
      </c>
      <c r="H903" s="5" t="s">
        <v>2831</v>
      </c>
      <c r="I903" s="60">
        <v>0</v>
      </c>
      <c r="J903" s="5" t="s">
        <v>1425</v>
      </c>
      <c r="K903" s="58">
        <v>0</v>
      </c>
      <c r="L903" s="5" t="s">
        <v>2832</v>
      </c>
      <c r="M903" s="5" t="s">
        <v>3148</v>
      </c>
      <c r="N903" t="str">
        <f>_xlfn.XLOOKUP(A903,Monitoring!A:A,Monitoring!D:D)</f>
        <v>RESIDENTIAL</v>
      </c>
    </row>
    <row r="904" spans="1:14" x14ac:dyDescent="0.35">
      <c r="A904" s="5">
        <v>40001291</v>
      </c>
      <c r="B904" s="5" t="s">
        <v>1295</v>
      </c>
      <c r="C904" s="5" t="s">
        <v>1296</v>
      </c>
      <c r="D904" s="61">
        <v>46209</v>
      </c>
      <c r="E904" s="61">
        <v>46164</v>
      </c>
      <c r="F904" s="5" t="s">
        <v>1297</v>
      </c>
      <c r="G904" s="5" t="s">
        <v>2830</v>
      </c>
      <c r="H904" s="5" t="s">
        <v>2519</v>
      </c>
      <c r="I904" s="60">
        <v>0</v>
      </c>
      <c r="J904" s="5" t="s">
        <v>1425</v>
      </c>
      <c r="K904" s="58">
        <v>0</v>
      </c>
      <c r="L904" s="5" t="s">
        <v>2832</v>
      </c>
      <c r="M904" s="5" t="s">
        <v>3148</v>
      </c>
      <c r="N904" t="str">
        <f>_xlfn.XLOOKUP(A904,Monitoring!A:A,Monitoring!D:D)</f>
        <v>RESIDENTIAL</v>
      </c>
    </row>
    <row r="905" spans="1:14" x14ac:dyDescent="0.35">
      <c r="A905" s="5">
        <v>40001292</v>
      </c>
      <c r="B905" s="5" t="s">
        <v>1295</v>
      </c>
      <c r="C905" s="5" t="s">
        <v>1296</v>
      </c>
      <c r="D905" s="61">
        <v>46149</v>
      </c>
      <c r="E905" s="61">
        <v>46163</v>
      </c>
      <c r="F905" s="5" t="s">
        <v>1364</v>
      </c>
      <c r="G905" s="5" t="s">
        <v>2489</v>
      </c>
      <c r="H905" s="5" t="s">
        <v>2490</v>
      </c>
      <c r="I905" s="60">
        <v>0</v>
      </c>
      <c r="J905" s="5" t="s">
        <v>1380</v>
      </c>
      <c r="K905" s="58">
        <v>0</v>
      </c>
      <c r="L905" s="5" t="s">
        <v>993</v>
      </c>
      <c r="M905" s="5" t="s">
        <v>2833</v>
      </c>
      <c r="N905" t="str">
        <f>_xlfn.XLOOKUP(A905,Monitoring!A:A,Monitoring!D:D)</f>
        <v>Corporate - HR</v>
      </c>
    </row>
    <row r="906" spans="1:14" x14ac:dyDescent="0.35">
      <c r="A906" s="5">
        <v>40001292</v>
      </c>
      <c r="B906" s="5" t="s">
        <v>1295</v>
      </c>
      <c r="C906" s="5" t="s">
        <v>1296</v>
      </c>
      <c r="D906" s="61">
        <v>46155</v>
      </c>
      <c r="E906" s="61">
        <v>46155</v>
      </c>
      <c r="F906" s="5" t="s">
        <v>1364</v>
      </c>
      <c r="G906" s="5" t="s">
        <v>2489</v>
      </c>
      <c r="H906" s="5" t="s">
        <v>2491</v>
      </c>
      <c r="I906" s="60">
        <v>0</v>
      </c>
      <c r="J906" s="5" t="s">
        <v>1300</v>
      </c>
      <c r="K906" s="58">
        <v>0</v>
      </c>
      <c r="L906" s="5" t="s">
        <v>993</v>
      </c>
      <c r="M906" s="5" t="s">
        <v>2833</v>
      </c>
      <c r="N906" t="str">
        <f>_xlfn.XLOOKUP(A906,Monitoring!A:A,Monitoring!D:D)</f>
        <v>Corporate - HR</v>
      </c>
    </row>
    <row r="907" spans="1:14" x14ac:dyDescent="0.35">
      <c r="A907" s="5">
        <v>40001292</v>
      </c>
      <c r="B907" s="5" t="s">
        <v>1295</v>
      </c>
      <c r="C907" s="5" t="s">
        <v>1296</v>
      </c>
      <c r="D907" s="61">
        <v>46155</v>
      </c>
      <c r="E907" s="61">
        <v>46155</v>
      </c>
      <c r="F907" s="5" t="s">
        <v>1364</v>
      </c>
      <c r="G907" s="5" t="s">
        <v>2489</v>
      </c>
      <c r="H907" s="5" t="s">
        <v>2492</v>
      </c>
      <c r="I907" s="60">
        <v>0</v>
      </c>
      <c r="J907" s="5" t="s">
        <v>1300</v>
      </c>
      <c r="K907" s="58">
        <v>0</v>
      </c>
      <c r="L907" s="5" t="s">
        <v>993</v>
      </c>
      <c r="M907" s="5" t="s">
        <v>2833</v>
      </c>
      <c r="N907" t="str">
        <f>_xlfn.XLOOKUP(A907,Monitoring!A:A,Monitoring!D:D)</f>
        <v>Corporate - HR</v>
      </c>
    </row>
    <row r="908" spans="1:14" x14ac:dyDescent="0.35">
      <c r="A908" s="5">
        <v>40001292</v>
      </c>
      <c r="B908" s="5" t="s">
        <v>1295</v>
      </c>
      <c r="C908" s="5" t="s">
        <v>1296</v>
      </c>
      <c r="D908" s="61">
        <v>46154</v>
      </c>
      <c r="E908" s="61">
        <v>46160</v>
      </c>
      <c r="F908" s="5" t="s">
        <v>1297</v>
      </c>
      <c r="G908" s="5" t="s">
        <v>2278</v>
      </c>
      <c r="H908" s="5" t="s">
        <v>2280</v>
      </c>
      <c r="I908" s="60">
        <v>0</v>
      </c>
      <c r="J908" s="5" t="s">
        <v>1380</v>
      </c>
      <c r="K908" s="58">
        <v>0</v>
      </c>
      <c r="L908" s="5" t="s">
        <v>2493</v>
      </c>
      <c r="M908" s="5" t="s">
        <v>1702</v>
      </c>
      <c r="N908" t="str">
        <f>_xlfn.XLOOKUP(A908,Monitoring!A:A,Monitoring!D:D)</f>
        <v>Corporate - HR</v>
      </c>
    </row>
    <row r="909" spans="1:14" x14ac:dyDescent="0.35">
      <c r="A909" s="5">
        <v>40001292</v>
      </c>
      <c r="B909" s="5" t="s">
        <v>1295</v>
      </c>
      <c r="C909" s="5" t="s">
        <v>1296</v>
      </c>
      <c r="D909" s="61">
        <v>46154</v>
      </c>
      <c r="E909" s="61">
        <v>46160</v>
      </c>
      <c r="F909" s="5" t="s">
        <v>1297</v>
      </c>
      <c r="G909" s="5" t="s">
        <v>2278</v>
      </c>
      <c r="H909" s="5" t="s">
        <v>2281</v>
      </c>
      <c r="I909" s="60">
        <v>0</v>
      </c>
      <c r="J909" s="5" t="s">
        <v>1300</v>
      </c>
      <c r="K909" s="58">
        <v>0</v>
      </c>
      <c r="L909" s="5" t="s">
        <v>2493</v>
      </c>
      <c r="M909" s="5" t="s">
        <v>1702</v>
      </c>
      <c r="N909" t="str">
        <f>_xlfn.XLOOKUP(A909,Monitoring!A:A,Monitoring!D:D)</f>
        <v>Corporate - HR</v>
      </c>
    </row>
    <row r="910" spans="1:14" x14ac:dyDescent="0.35">
      <c r="A910" s="5">
        <v>40001292</v>
      </c>
      <c r="B910" s="5" t="s">
        <v>1295</v>
      </c>
      <c r="C910" s="5" t="s">
        <v>1296</v>
      </c>
      <c r="D910" s="61">
        <v>46154</v>
      </c>
      <c r="E910" s="61">
        <v>46160</v>
      </c>
      <c r="F910" s="5" t="s">
        <v>1297</v>
      </c>
      <c r="G910" s="5" t="s">
        <v>2278</v>
      </c>
      <c r="H910" s="5" t="s">
        <v>2282</v>
      </c>
      <c r="I910" s="60">
        <v>0</v>
      </c>
      <c r="J910" s="5" t="s">
        <v>1300</v>
      </c>
      <c r="K910" s="58">
        <v>0</v>
      </c>
      <c r="L910" s="5" t="s">
        <v>2493</v>
      </c>
      <c r="M910" s="5" t="s">
        <v>1702</v>
      </c>
      <c r="N910" t="str">
        <f>_xlfn.XLOOKUP(A910,Monitoring!A:A,Monitoring!D:D)</f>
        <v>Corporate - HR</v>
      </c>
    </row>
    <row r="911" spans="1:14" x14ac:dyDescent="0.35">
      <c r="A911" s="5">
        <v>40001293</v>
      </c>
      <c r="B911" s="5" t="s">
        <v>1295</v>
      </c>
      <c r="C911" s="5" t="s">
        <v>1296</v>
      </c>
      <c r="D911" s="61">
        <v>46190</v>
      </c>
      <c r="E911" s="61">
        <v>46197</v>
      </c>
      <c r="F911" s="5" t="s">
        <v>1364</v>
      </c>
      <c r="G911" s="5" t="s">
        <v>2834</v>
      </c>
      <c r="H911" s="5" t="s">
        <v>2835</v>
      </c>
      <c r="I911" s="60">
        <v>0</v>
      </c>
      <c r="J911" s="5" t="s">
        <v>1425</v>
      </c>
      <c r="K911" s="58">
        <v>0</v>
      </c>
      <c r="L911" s="5" t="s">
        <v>993</v>
      </c>
      <c r="M911" s="5" t="s">
        <v>1344</v>
      </c>
      <c r="N911" t="str">
        <f>_xlfn.XLOOKUP(A911,Monitoring!A:A,Monitoring!D:D)</f>
        <v>RESIDENTIAL</v>
      </c>
    </row>
    <row r="912" spans="1:14" x14ac:dyDescent="0.35">
      <c r="A912" s="5">
        <v>40001293</v>
      </c>
      <c r="B912" s="5" t="s">
        <v>1295</v>
      </c>
      <c r="C912" s="5" t="s">
        <v>1296</v>
      </c>
      <c r="D912" s="61">
        <v>46203</v>
      </c>
      <c r="E912" s="61">
        <v>46197</v>
      </c>
      <c r="F912" s="5" t="s">
        <v>1297</v>
      </c>
      <c r="G912" s="5" t="s">
        <v>2670</v>
      </c>
      <c r="H912" s="5" t="s">
        <v>2672</v>
      </c>
      <c r="I912" s="60">
        <v>0</v>
      </c>
      <c r="J912" s="5" t="s">
        <v>1425</v>
      </c>
      <c r="K912" s="58">
        <v>0</v>
      </c>
      <c r="L912" s="5" t="s">
        <v>2836</v>
      </c>
      <c r="M912" s="5" t="s">
        <v>1706</v>
      </c>
      <c r="N912" t="str">
        <f>_xlfn.XLOOKUP(A912,Monitoring!A:A,Monitoring!D:D)</f>
        <v>RESIDENTIAL</v>
      </c>
    </row>
    <row r="913" spans="1:14" x14ac:dyDescent="0.35">
      <c r="A913" s="5">
        <v>40001296</v>
      </c>
      <c r="B913" s="5" t="s">
        <v>1295</v>
      </c>
      <c r="C913" s="5" t="s">
        <v>1318</v>
      </c>
      <c r="D913" s="61">
        <v>46219</v>
      </c>
      <c r="E913" s="61">
        <v>46233</v>
      </c>
      <c r="F913" s="5" t="s">
        <v>1364</v>
      </c>
      <c r="G913" s="5" t="s">
        <v>3089</v>
      </c>
      <c r="H913" s="5" t="s">
        <v>2936</v>
      </c>
      <c r="I913" s="60">
        <v>0</v>
      </c>
      <c r="J913" s="5" t="s">
        <v>1380</v>
      </c>
      <c r="K913" s="58">
        <v>0</v>
      </c>
      <c r="L913" s="5" t="s">
        <v>993</v>
      </c>
      <c r="M913" s="5" t="s">
        <v>1344</v>
      </c>
      <c r="N913" t="str">
        <f>_xlfn.XLOOKUP(A913,Monitoring!A:A,Monitoring!D:D)</f>
        <v>Corporate - IT</v>
      </c>
    </row>
    <row r="914" spans="1:14" x14ac:dyDescent="0.35">
      <c r="A914" s="5">
        <v>40001296</v>
      </c>
      <c r="B914" s="5" t="s">
        <v>1295</v>
      </c>
      <c r="C914" s="5" t="s">
        <v>1318</v>
      </c>
      <c r="D914" s="61">
        <v>46227</v>
      </c>
      <c r="E914" s="61">
        <v>46233</v>
      </c>
      <c r="F914" s="5" t="s">
        <v>1297</v>
      </c>
      <c r="G914" s="5" t="s">
        <v>2934</v>
      </c>
      <c r="H914" s="5" t="s">
        <v>2936</v>
      </c>
      <c r="I914" s="60">
        <v>0</v>
      </c>
      <c r="J914" s="5" t="s">
        <v>1380</v>
      </c>
      <c r="K914" s="58">
        <v>0</v>
      </c>
      <c r="L914" s="5" t="s">
        <v>1648</v>
      </c>
      <c r="M914" s="5" t="s">
        <v>1702</v>
      </c>
      <c r="N914" t="str">
        <f>_xlfn.XLOOKUP(A914,Monitoring!A:A,Monitoring!D:D)</f>
        <v>Corporate - IT</v>
      </c>
    </row>
    <row r="915" spans="1:14" x14ac:dyDescent="0.35">
      <c r="A915" s="5">
        <v>40001297</v>
      </c>
      <c r="B915" s="5" t="s">
        <v>1295</v>
      </c>
      <c r="C915" s="5" t="s">
        <v>1318</v>
      </c>
      <c r="D915" s="61">
        <v>46219</v>
      </c>
      <c r="E915" s="61">
        <v>46233</v>
      </c>
      <c r="F915" s="5" t="s">
        <v>1364</v>
      </c>
      <c r="G915" s="5" t="s">
        <v>3090</v>
      </c>
      <c r="H915" s="5" t="s">
        <v>2936</v>
      </c>
      <c r="I915" s="60">
        <v>0</v>
      </c>
      <c r="J915" s="5" t="s">
        <v>1380</v>
      </c>
      <c r="K915" s="58">
        <v>0</v>
      </c>
      <c r="L915" s="5" t="s">
        <v>993</v>
      </c>
      <c r="M915" s="5" t="s">
        <v>1344</v>
      </c>
      <c r="N915" t="str">
        <f>_xlfn.XLOOKUP(A915,Monitoring!A:A,Monitoring!D:D)</f>
        <v>Corporate - IT</v>
      </c>
    </row>
    <row r="916" spans="1:14" x14ac:dyDescent="0.35">
      <c r="A916" s="5">
        <v>40001297</v>
      </c>
      <c r="B916" s="5" t="s">
        <v>1295</v>
      </c>
      <c r="C916" s="5" t="s">
        <v>1318</v>
      </c>
      <c r="D916" s="61">
        <v>46227</v>
      </c>
      <c r="E916" s="61">
        <v>46233</v>
      </c>
      <c r="F916" s="5" t="s">
        <v>1297</v>
      </c>
      <c r="G916" s="5" t="s">
        <v>2938</v>
      </c>
      <c r="H916" s="5" t="s">
        <v>2936</v>
      </c>
      <c r="I916" s="60">
        <v>0</v>
      </c>
      <c r="J916" s="5" t="s">
        <v>1380</v>
      </c>
      <c r="K916" s="58">
        <v>0</v>
      </c>
      <c r="L916" s="5" t="s">
        <v>1648</v>
      </c>
      <c r="M916" s="5" t="s">
        <v>1702</v>
      </c>
      <c r="N916" t="str">
        <f>_xlfn.XLOOKUP(A916,Monitoring!A:A,Monitoring!D:D)</f>
        <v>Corporate - IT</v>
      </c>
    </row>
    <row r="917" spans="1:14" x14ac:dyDescent="0.35">
      <c r="A917" s="5">
        <v>40001298</v>
      </c>
      <c r="B917" s="5" t="s">
        <v>1295</v>
      </c>
      <c r="C917" s="5" t="s">
        <v>1296</v>
      </c>
      <c r="D917" s="61">
        <v>46241</v>
      </c>
      <c r="E917" s="61">
        <v>46255</v>
      </c>
      <c r="F917" s="5" t="s">
        <v>1364</v>
      </c>
      <c r="G917" s="5" t="s">
        <v>3149</v>
      </c>
      <c r="H917" s="5" t="s">
        <v>3150</v>
      </c>
      <c r="I917" s="60">
        <v>0</v>
      </c>
      <c r="J917" s="5" t="s">
        <v>1425</v>
      </c>
      <c r="K917" s="58">
        <v>0</v>
      </c>
      <c r="L917" s="5" t="s">
        <v>993</v>
      </c>
      <c r="M917" s="5" t="s">
        <v>1344</v>
      </c>
      <c r="N917" t="str">
        <f>_xlfn.XLOOKUP(A917,Monitoring!A:A,Monitoring!D:D)</f>
        <v>RESIDENTIAL</v>
      </c>
    </row>
    <row r="918" spans="1:14" x14ac:dyDescent="0.35">
      <c r="A918" s="5">
        <v>40001298</v>
      </c>
      <c r="B918" s="5" t="s">
        <v>1295</v>
      </c>
      <c r="C918" s="5" t="s">
        <v>1296</v>
      </c>
      <c r="D918" s="61">
        <v>46241</v>
      </c>
      <c r="E918" s="61">
        <v>46255</v>
      </c>
      <c r="F918" s="5" t="s">
        <v>1364</v>
      </c>
      <c r="G918" s="5" t="s">
        <v>3149</v>
      </c>
      <c r="H918" s="5" t="s">
        <v>3151</v>
      </c>
      <c r="I918" s="60">
        <v>0</v>
      </c>
      <c r="J918" s="5" t="s">
        <v>1425</v>
      </c>
      <c r="K918" s="58">
        <v>0</v>
      </c>
      <c r="L918" s="5" t="s">
        <v>993</v>
      </c>
      <c r="M918" s="5" t="s">
        <v>1344</v>
      </c>
      <c r="N918" t="str">
        <f>_xlfn.XLOOKUP(A918,Monitoring!A:A,Monitoring!D:D)</f>
        <v>RESIDENTIAL</v>
      </c>
    </row>
    <row r="919" spans="1:14" x14ac:dyDescent="0.35">
      <c r="A919" s="5">
        <v>40001298</v>
      </c>
      <c r="B919" s="5" t="s">
        <v>1295</v>
      </c>
      <c r="C919" s="5" t="s">
        <v>1296</v>
      </c>
      <c r="D919" s="61">
        <v>46241</v>
      </c>
      <c r="E919" s="61">
        <v>46255</v>
      </c>
      <c r="F919" s="5" t="s">
        <v>1364</v>
      </c>
      <c r="G919" s="5" t="s">
        <v>3149</v>
      </c>
      <c r="H919" s="5" t="s">
        <v>3152</v>
      </c>
      <c r="I919" s="60">
        <v>0</v>
      </c>
      <c r="J919" s="5" t="s">
        <v>1425</v>
      </c>
      <c r="K919" s="58">
        <v>0</v>
      </c>
      <c r="L919" s="5" t="s">
        <v>993</v>
      </c>
      <c r="M919" s="5" t="s">
        <v>1344</v>
      </c>
      <c r="N919" t="str">
        <f>_xlfn.XLOOKUP(A919,Monitoring!A:A,Monitoring!D:D)</f>
        <v>RESIDENTIAL</v>
      </c>
    </row>
    <row r="920" spans="1:14" x14ac:dyDescent="0.35">
      <c r="A920" s="5">
        <v>40001298</v>
      </c>
      <c r="B920" s="5" t="s">
        <v>1295</v>
      </c>
      <c r="C920" s="5" t="s">
        <v>1296</v>
      </c>
      <c r="D920" s="61">
        <v>46251</v>
      </c>
      <c r="E920" s="61">
        <v>46255</v>
      </c>
      <c r="F920" s="5" t="s">
        <v>1364</v>
      </c>
      <c r="G920" s="5" t="s">
        <v>3149</v>
      </c>
      <c r="H920" s="5" t="s">
        <v>3150</v>
      </c>
      <c r="I920" s="60">
        <v>0</v>
      </c>
      <c r="J920" s="5" t="s">
        <v>1425</v>
      </c>
      <c r="K920" s="58">
        <v>0</v>
      </c>
      <c r="L920" s="5" t="s">
        <v>993</v>
      </c>
      <c r="M920" s="5" t="s">
        <v>1344</v>
      </c>
      <c r="N920" t="str">
        <f>_xlfn.XLOOKUP(A920,Monitoring!A:A,Monitoring!D:D)</f>
        <v>RESIDENTIAL</v>
      </c>
    </row>
    <row r="921" spans="1:14" x14ac:dyDescent="0.35">
      <c r="A921" s="5">
        <v>40001298</v>
      </c>
      <c r="B921" s="5" t="s">
        <v>1295</v>
      </c>
      <c r="C921" s="5" t="s">
        <v>1296</v>
      </c>
      <c r="D921" s="61">
        <v>46251</v>
      </c>
      <c r="E921" s="61">
        <v>46255</v>
      </c>
      <c r="F921" s="5" t="s">
        <v>1364</v>
      </c>
      <c r="G921" s="5" t="s">
        <v>3149</v>
      </c>
      <c r="H921" s="5" t="s">
        <v>3151</v>
      </c>
      <c r="I921" s="60">
        <v>0</v>
      </c>
      <c r="J921" s="5" t="s">
        <v>1425</v>
      </c>
      <c r="K921" s="58">
        <v>0</v>
      </c>
      <c r="L921" s="5" t="s">
        <v>993</v>
      </c>
      <c r="M921" s="5" t="s">
        <v>1344</v>
      </c>
      <c r="N921" t="str">
        <f>_xlfn.XLOOKUP(A921,Monitoring!A:A,Monitoring!D:D)</f>
        <v>RESIDENTIAL</v>
      </c>
    </row>
    <row r="922" spans="1:14" x14ac:dyDescent="0.35">
      <c r="A922" s="5">
        <v>40001298</v>
      </c>
      <c r="B922" s="5" t="s">
        <v>1295</v>
      </c>
      <c r="C922" s="5" t="s">
        <v>1296</v>
      </c>
      <c r="D922" s="61">
        <v>46251</v>
      </c>
      <c r="E922" s="61">
        <v>46255</v>
      </c>
      <c r="F922" s="5" t="s">
        <v>1364</v>
      </c>
      <c r="G922" s="5" t="s">
        <v>3149</v>
      </c>
      <c r="H922" s="5" t="s">
        <v>3152</v>
      </c>
      <c r="I922" s="60">
        <v>0</v>
      </c>
      <c r="J922" s="5" t="s">
        <v>1425</v>
      </c>
      <c r="K922" s="58">
        <v>0</v>
      </c>
      <c r="L922" s="5" t="s">
        <v>993</v>
      </c>
      <c r="M922" s="5" t="s">
        <v>1344</v>
      </c>
      <c r="N922" t="str">
        <f>_xlfn.XLOOKUP(A922,Monitoring!A:A,Monitoring!D:D)</f>
        <v>RESIDENTIAL</v>
      </c>
    </row>
    <row r="923" spans="1:14" x14ac:dyDescent="0.35">
      <c r="A923" s="5">
        <v>40001298</v>
      </c>
      <c r="B923" s="5" t="s">
        <v>1295</v>
      </c>
      <c r="C923" s="5" t="s">
        <v>1296</v>
      </c>
      <c r="D923" s="61">
        <v>46254</v>
      </c>
      <c r="E923" s="61">
        <v>46255</v>
      </c>
      <c r="F923" s="5" t="s">
        <v>1297</v>
      </c>
      <c r="G923" s="5" t="s">
        <v>3398</v>
      </c>
      <c r="H923" s="5" t="s">
        <v>3399</v>
      </c>
      <c r="I923" s="60">
        <v>8</v>
      </c>
      <c r="J923" s="5" t="s">
        <v>1425</v>
      </c>
      <c r="K923" s="58">
        <v>8495</v>
      </c>
      <c r="L923" s="5" t="s">
        <v>3400</v>
      </c>
      <c r="M923" s="5" t="s">
        <v>1344</v>
      </c>
      <c r="N923" t="str">
        <f>_xlfn.XLOOKUP(A923,Monitoring!A:A,Monitoring!D:D)</f>
        <v>RESIDENTIAL</v>
      </c>
    </row>
    <row r="924" spans="1:14" x14ac:dyDescent="0.35">
      <c r="A924" s="5">
        <v>40001298</v>
      </c>
      <c r="B924" s="5" t="s">
        <v>1295</v>
      </c>
      <c r="C924" s="5" t="s">
        <v>1296</v>
      </c>
      <c r="D924" s="61">
        <v>46254</v>
      </c>
      <c r="E924" s="61">
        <v>46255</v>
      </c>
      <c r="F924" s="5" t="s">
        <v>1297</v>
      </c>
      <c r="G924" s="5" t="s">
        <v>3398</v>
      </c>
      <c r="H924" s="5" t="s">
        <v>3401</v>
      </c>
      <c r="I924" s="60">
        <v>2</v>
      </c>
      <c r="J924" s="5" t="s">
        <v>1425</v>
      </c>
      <c r="K924" s="58">
        <v>3748.75</v>
      </c>
      <c r="L924" s="5" t="s">
        <v>3400</v>
      </c>
      <c r="M924" s="5" t="s">
        <v>1344</v>
      </c>
      <c r="N924" t="str">
        <f>_xlfn.XLOOKUP(A924,Monitoring!A:A,Monitoring!D:D)</f>
        <v>RESIDENTIAL</v>
      </c>
    </row>
    <row r="925" spans="1:14" x14ac:dyDescent="0.35">
      <c r="A925" s="5">
        <v>40001298</v>
      </c>
      <c r="B925" s="5" t="s">
        <v>1295</v>
      </c>
      <c r="C925" s="5" t="s">
        <v>1296</v>
      </c>
      <c r="D925" s="61">
        <v>46254</v>
      </c>
      <c r="E925" s="61">
        <v>46255</v>
      </c>
      <c r="F925" s="5" t="s">
        <v>1297</v>
      </c>
      <c r="G925" s="5" t="s">
        <v>3398</v>
      </c>
      <c r="H925" s="5" t="s">
        <v>3402</v>
      </c>
      <c r="I925" s="60">
        <v>2</v>
      </c>
      <c r="J925" s="5" t="s">
        <v>1425</v>
      </c>
      <c r="K925" s="58">
        <v>5998.75</v>
      </c>
      <c r="L925" s="5" t="s">
        <v>3400</v>
      </c>
      <c r="M925" s="5" t="s">
        <v>1344</v>
      </c>
      <c r="N925" t="str">
        <f>_xlfn.XLOOKUP(A925,Monitoring!A:A,Monitoring!D:D)</f>
        <v>RESIDENTIAL</v>
      </c>
    </row>
    <row r="926" spans="1:14" x14ac:dyDescent="0.35">
      <c r="A926" s="5">
        <v>40001299</v>
      </c>
      <c r="B926" s="5" t="s">
        <v>1295</v>
      </c>
      <c r="C926" s="5" t="s">
        <v>1318</v>
      </c>
      <c r="D926" s="61">
        <v>46252</v>
      </c>
      <c r="E926" s="61">
        <v>46252</v>
      </c>
      <c r="F926" s="5" t="s">
        <v>1364</v>
      </c>
      <c r="G926" s="5" t="s">
        <v>3403</v>
      </c>
      <c r="H926" s="5" t="s">
        <v>2936</v>
      </c>
      <c r="I926" s="60">
        <v>0</v>
      </c>
      <c r="J926" s="5" t="s">
        <v>1380</v>
      </c>
      <c r="K926" s="58">
        <v>0</v>
      </c>
      <c r="L926" s="5" t="s">
        <v>993</v>
      </c>
      <c r="M926" s="5" t="s">
        <v>1344</v>
      </c>
      <c r="N926" t="str">
        <f>_xlfn.XLOOKUP(A926,Monitoring!A:A,Monitoring!D:D)</f>
        <v>Corporate - IT</v>
      </c>
    </row>
    <row r="927" spans="1:14" x14ac:dyDescent="0.35">
      <c r="A927" s="5">
        <v>40001299</v>
      </c>
      <c r="B927" s="5" t="s">
        <v>1295</v>
      </c>
      <c r="C927" s="5" t="s">
        <v>1318</v>
      </c>
      <c r="D927" s="61">
        <v>46266</v>
      </c>
      <c r="E927" s="61">
        <v>46252</v>
      </c>
      <c r="F927" s="5" t="s">
        <v>1297</v>
      </c>
      <c r="G927" s="5" t="s">
        <v>3276</v>
      </c>
      <c r="H927" s="5" t="s">
        <v>2936</v>
      </c>
      <c r="I927" s="60">
        <v>0</v>
      </c>
      <c r="J927" s="5" t="s">
        <v>1380</v>
      </c>
      <c r="K927" s="58">
        <v>0</v>
      </c>
      <c r="L927" s="5" t="s">
        <v>1648</v>
      </c>
      <c r="M927" s="5" t="s">
        <v>1374</v>
      </c>
      <c r="N927" t="str">
        <f>_xlfn.XLOOKUP(A927,Monitoring!A:A,Monitoring!D:D)</f>
        <v>Corporate - IT</v>
      </c>
    </row>
    <row r="928" spans="1:14" x14ac:dyDescent="0.35">
      <c r="A928" s="5">
        <v>40001301</v>
      </c>
      <c r="B928" s="5" t="s">
        <v>1295</v>
      </c>
      <c r="C928" s="5" t="s">
        <v>1318</v>
      </c>
      <c r="D928" s="61">
        <v>46253</v>
      </c>
      <c r="E928" s="61">
        <v>46264</v>
      </c>
      <c r="F928" s="5" t="s">
        <v>1364</v>
      </c>
      <c r="G928" s="5" t="s">
        <v>3404</v>
      </c>
      <c r="H928" s="5" t="s">
        <v>3405</v>
      </c>
      <c r="I928" s="60">
        <v>0</v>
      </c>
      <c r="J928" s="5" t="s">
        <v>1380</v>
      </c>
      <c r="K928" s="58">
        <v>0</v>
      </c>
      <c r="L928" s="5" t="s">
        <v>993</v>
      </c>
      <c r="M928" s="5" t="s">
        <v>1344</v>
      </c>
      <c r="N928" t="str">
        <f>_xlfn.XLOOKUP(A928,Monitoring!A:A,Monitoring!D:D)</f>
        <v>Corporate - IT</v>
      </c>
    </row>
    <row r="929" spans="1:14" x14ac:dyDescent="0.35">
      <c r="A929" s="5">
        <v>40001301</v>
      </c>
      <c r="B929" s="5" t="s">
        <v>1295</v>
      </c>
      <c r="C929" s="5" t="s">
        <v>1318</v>
      </c>
      <c r="D929" s="61">
        <v>46268</v>
      </c>
      <c r="E929" s="61">
        <v>46264</v>
      </c>
      <c r="F929" s="5" t="s">
        <v>1297</v>
      </c>
      <c r="G929" s="5" t="s">
        <v>3406</v>
      </c>
      <c r="H929" s="5" t="s">
        <v>3407</v>
      </c>
      <c r="I929" s="60">
        <v>1</v>
      </c>
      <c r="J929" s="5" t="s">
        <v>1380</v>
      </c>
      <c r="K929" s="58">
        <v>116517.86</v>
      </c>
      <c r="L929" s="5" t="s">
        <v>1648</v>
      </c>
      <c r="M929" s="5" t="s">
        <v>1344</v>
      </c>
      <c r="N929" t="str">
        <f>_xlfn.XLOOKUP(A929,Monitoring!A:A,Monitoring!D:D)</f>
        <v>Corporate - IT</v>
      </c>
    </row>
    <row r="930" spans="1:14" x14ac:dyDescent="0.35">
      <c r="A930" s="5">
        <v>40001302</v>
      </c>
      <c r="B930" s="5" t="s">
        <v>1295</v>
      </c>
      <c r="C930" s="5" t="s">
        <v>1318</v>
      </c>
      <c r="D930" s="61">
        <v>46253</v>
      </c>
      <c r="E930" s="61">
        <v>46265</v>
      </c>
      <c r="F930" s="5" t="s">
        <v>1364</v>
      </c>
      <c r="G930" s="5" t="s">
        <v>3408</v>
      </c>
      <c r="H930" s="5" t="s">
        <v>3409</v>
      </c>
      <c r="I930" s="60">
        <v>2</v>
      </c>
      <c r="J930" s="5" t="s">
        <v>1380</v>
      </c>
      <c r="K930" s="58">
        <v>93928.58</v>
      </c>
      <c r="L930" s="5" t="s">
        <v>993</v>
      </c>
      <c r="M930" s="5" t="s">
        <v>1972</v>
      </c>
      <c r="N930" t="str">
        <f>_xlfn.XLOOKUP(A930,Monitoring!A:A,Monitoring!D:D)</f>
        <v>MALLS</v>
      </c>
    </row>
    <row r="931" spans="1:14" x14ac:dyDescent="0.35">
      <c r="A931" s="5">
        <v>40001303</v>
      </c>
      <c r="B931" s="5" t="s">
        <v>1295</v>
      </c>
      <c r="C931" s="5" t="s">
        <v>1318</v>
      </c>
      <c r="D931" s="61">
        <v>46261</v>
      </c>
      <c r="E931" s="61">
        <v>46295</v>
      </c>
      <c r="F931" s="5" t="s">
        <v>1364</v>
      </c>
      <c r="G931" s="5" t="s">
        <v>3410</v>
      </c>
      <c r="H931" s="5" t="s">
        <v>3281</v>
      </c>
      <c r="I931" s="60">
        <v>0</v>
      </c>
      <c r="J931" s="5" t="s">
        <v>1425</v>
      </c>
      <c r="K931" s="58">
        <v>0</v>
      </c>
      <c r="L931" s="5" t="s">
        <v>993</v>
      </c>
      <c r="M931" s="5" t="s">
        <v>1344</v>
      </c>
      <c r="N931" t="str">
        <f>_xlfn.XLOOKUP(A931,Monitoring!A:A,Monitoring!D:D)</f>
        <v>Corporate - IT</v>
      </c>
    </row>
    <row r="932" spans="1:14" x14ac:dyDescent="0.35">
      <c r="A932" s="5">
        <v>40001303</v>
      </c>
      <c r="B932" s="5" t="s">
        <v>1295</v>
      </c>
      <c r="C932" s="5" t="s">
        <v>1318</v>
      </c>
      <c r="D932" s="61">
        <v>46261</v>
      </c>
      <c r="E932" s="61">
        <v>46295</v>
      </c>
      <c r="F932" s="5" t="s">
        <v>1364</v>
      </c>
      <c r="G932" s="5" t="s">
        <v>3411</v>
      </c>
      <c r="H932" s="5" t="s">
        <v>3281</v>
      </c>
      <c r="I932" s="60">
        <v>0</v>
      </c>
      <c r="J932" s="5" t="s">
        <v>1425</v>
      </c>
      <c r="K932" s="58">
        <v>0</v>
      </c>
      <c r="L932" s="5" t="s">
        <v>993</v>
      </c>
      <c r="M932" s="5" t="s">
        <v>1344</v>
      </c>
      <c r="N932" t="str">
        <f>_xlfn.XLOOKUP(A932,Monitoring!A:A,Monitoring!D:D)</f>
        <v>Corporate - IT</v>
      </c>
    </row>
    <row r="933" spans="1:14" x14ac:dyDescent="0.35">
      <c r="A933" s="5">
        <v>40001303</v>
      </c>
      <c r="B933" s="5" t="s">
        <v>1295</v>
      </c>
      <c r="C933" s="5" t="s">
        <v>1318</v>
      </c>
      <c r="D933" s="61">
        <v>46266</v>
      </c>
      <c r="E933" s="61">
        <v>46295</v>
      </c>
      <c r="F933" s="5" t="s">
        <v>1297</v>
      </c>
      <c r="G933" s="5" t="s">
        <v>3282</v>
      </c>
      <c r="H933" s="5" t="s">
        <v>3284</v>
      </c>
      <c r="I933" s="60">
        <v>0</v>
      </c>
      <c r="J933" s="5" t="s">
        <v>1425</v>
      </c>
      <c r="K933" s="58">
        <v>0</v>
      </c>
      <c r="L933" s="5" t="s">
        <v>1648</v>
      </c>
      <c r="M933" s="5" t="s">
        <v>1374</v>
      </c>
      <c r="N933" t="str">
        <f>_xlfn.XLOOKUP(A933,Monitoring!A:A,Monitoring!D:D)</f>
        <v>Corporate - IT</v>
      </c>
    </row>
    <row r="934" spans="1:14" x14ac:dyDescent="0.35">
      <c r="A934" s="5">
        <v>40001303</v>
      </c>
      <c r="B934" s="5" t="s">
        <v>1295</v>
      </c>
      <c r="C934" s="5" t="s">
        <v>1318</v>
      </c>
      <c r="D934" s="61">
        <v>46266</v>
      </c>
      <c r="E934" s="61">
        <v>46295</v>
      </c>
      <c r="F934" s="5" t="s">
        <v>1297</v>
      </c>
      <c r="G934" s="5" t="s">
        <v>3279</v>
      </c>
      <c r="H934" s="5" t="s">
        <v>3281</v>
      </c>
      <c r="I934" s="60">
        <v>0</v>
      </c>
      <c r="J934" s="5" t="s">
        <v>1425</v>
      </c>
      <c r="K934" s="58">
        <v>0</v>
      </c>
      <c r="L934" s="5" t="s">
        <v>1648</v>
      </c>
      <c r="M934" s="5" t="s">
        <v>1374</v>
      </c>
      <c r="N934" t="str">
        <f>_xlfn.XLOOKUP(A934,Monitoring!A:A,Monitoring!D:D)</f>
        <v>Corporate - IT</v>
      </c>
    </row>
    <row r="935" spans="1:14" x14ac:dyDescent="0.35">
      <c r="A935" s="5">
        <v>40001304</v>
      </c>
      <c r="B935" s="5" t="s">
        <v>1295</v>
      </c>
      <c r="C935" s="5" t="s">
        <v>1318</v>
      </c>
      <c r="D935" s="61">
        <v>46273</v>
      </c>
      <c r="E935" s="61">
        <v>46295</v>
      </c>
      <c r="F935" s="5" t="s">
        <v>1364</v>
      </c>
      <c r="G935" s="5" t="s">
        <v>3412</v>
      </c>
      <c r="H935" s="5" t="s">
        <v>2936</v>
      </c>
      <c r="I935" s="60">
        <v>6</v>
      </c>
      <c r="J935" s="5" t="s">
        <v>1380</v>
      </c>
      <c r="K935" s="58">
        <v>508928.58</v>
      </c>
      <c r="L935" s="5" t="s">
        <v>993</v>
      </c>
      <c r="M935" s="5" t="s">
        <v>1374</v>
      </c>
      <c r="N935" t="str">
        <f>_xlfn.XLOOKUP(A935,Monitoring!A:A,Monitoring!D:D)</f>
        <v>Corporate - IT</v>
      </c>
    </row>
    <row r="936" spans="1:14" x14ac:dyDescent="0.35">
      <c r="A936" s="5">
        <v>40001305</v>
      </c>
      <c r="B936" s="5" t="s">
        <v>1295</v>
      </c>
      <c r="C936" s="5" t="s">
        <v>1318</v>
      </c>
      <c r="D936" s="61">
        <v>46270</v>
      </c>
      <c r="E936" s="61">
        <v>46295</v>
      </c>
      <c r="F936" s="5" t="s">
        <v>1364</v>
      </c>
      <c r="G936" s="5" t="s">
        <v>3413</v>
      </c>
      <c r="H936" s="5" t="s">
        <v>3414</v>
      </c>
      <c r="I936" s="60">
        <v>2</v>
      </c>
      <c r="J936" s="5" t="s">
        <v>1380</v>
      </c>
      <c r="K936" s="58">
        <v>96607.14</v>
      </c>
      <c r="L936" s="5" t="s">
        <v>993</v>
      </c>
      <c r="M936" s="5" t="s">
        <v>1972</v>
      </c>
      <c r="N936" t="str">
        <f>_xlfn.XLOOKUP(A936,Monitoring!A:A,Monitoring!D:D)</f>
        <v>MALLS</v>
      </c>
    </row>
    <row r="937" spans="1:14" x14ac:dyDescent="0.35">
      <c r="A937" s="5">
        <v>40001306</v>
      </c>
      <c r="B937" s="5" t="s">
        <v>1295</v>
      </c>
      <c r="C937" s="5" t="s">
        <v>1318</v>
      </c>
      <c r="D937" s="61">
        <v>46270</v>
      </c>
      <c r="E937" s="61">
        <v>46295</v>
      </c>
      <c r="F937" s="5" t="s">
        <v>1364</v>
      </c>
      <c r="G937" s="5" t="s">
        <v>3415</v>
      </c>
      <c r="H937" s="5" t="s">
        <v>3414</v>
      </c>
      <c r="I937" s="60">
        <v>3</v>
      </c>
      <c r="J937" s="5" t="s">
        <v>1380</v>
      </c>
      <c r="K937" s="58">
        <v>144910.71</v>
      </c>
      <c r="L937" s="5" t="s">
        <v>993</v>
      </c>
      <c r="M937" s="5" t="s">
        <v>1972</v>
      </c>
      <c r="N937" t="str">
        <f>_xlfn.XLOOKUP(A937,Monitoring!A:A,Monitoring!D:D)</f>
        <v>MALLS</v>
      </c>
    </row>
  </sheetData>
  <autoFilter ref="A2:N852" xr:uid="{11B050B3-725D-448C-BB70-5E888786F086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4E54E-A788-474B-AB56-3237FB2119FD}">
  <sheetPr>
    <tabColor theme="9"/>
  </sheetPr>
  <dimension ref="A1:BH185"/>
  <sheetViews>
    <sheetView zoomScale="70" zoomScaleNormal="70" workbookViewId="0">
      <pane xSplit="2" ySplit="6" topLeftCell="O170" activePane="bottomRight" state="frozen"/>
      <selection pane="topRight" activeCell="C1" sqref="C1"/>
      <selection pane="bottomLeft" activeCell="A3" sqref="A3"/>
      <selection pane="bottomRight" activeCell="R179" sqref="R179"/>
    </sheetView>
  </sheetViews>
  <sheetFormatPr defaultRowHeight="14.5" x14ac:dyDescent="0.35"/>
  <cols>
    <col min="1" max="1" width="9.90625" customWidth="1"/>
    <col min="2" max="2" width="31.7265625" customWidth="1"/>
    <col min="3" max="3" width="10.54296875" customWidth="1"/>
    <col min="4" max="4" width="11.90625" customWidth="1"/>
    <col min="5" max="5" width="11.26953125" customWidth="1"/>
    <col min="6" max="6" width="9.6328125" customWidth="1"/>
    <col min="7" max="7" width="5" bestFit="1" customWidth="1"/>
    <col min="8" max="8" width="19.08984375" customWidth="1"/>
    <col min="9" max="9" width="5.81640625" bestFit="1" customWidth="1"/>
    <col min="10" max="10" width="30.54296875" customWidth="1"/>
    <col min="11" max="11" width="6" bestFit="1" customWidth="1"/>
    <col min="13" max="13" width="13" customWidth="1"/>
    <col min="14" max="14" width="21.08984375" customWidth="1"/>
    <col min="15" max="15" width="16.6328125" customWidth="1"/>
    <col min="16" max="16" width="17.08984375" bestFit="1" customWidth="1"/>
    <col min="17" max="17" width="20.7265625" customWidth="1"/>
    <col min="18" max="18" width="16" bestFit="1" customWidth="1"/>
    <col min="19" max="19" width="12.6328125" customWidth="1"/>
    <col min="20" max="20" width="11.08984375" bestFit="1" customWidth="1"/>
    <col min="21" max="21" width="11" customWidth="1"/>
    <col min="22" max="22" width="10.08984375" customWidth="1"/>
    <col min="23" max="23" width="10.08984375" bestFit="1" customWidth="1"/>
    <col min="24" max="24" width="12.7265625" bestFit="1" customWidth="1"/>
    <col min="25" max="25" width="1.6328125" customWidth="1"/>
    <col min="26" max="31" width="15.26953125" customWidth="1"/>
    <col min="32" max="32" width="1.6328125" customWidth="1"/>
    <col min="33" max="33" width="15.36328125" bestFit="1" customWidth="1"/>
    <col min="34" max="35" width="14.90625" bestFit="1" customWidth="1"/>
    <col min="36" max="44" width="14.36328125" bestFit="1" customWidth="1"/>
    <col min="45" max="46" width="15.36328125" bestFit="1" customWidth="1"/>
    <col min="47" max="47" width="1.6328125" customWidth="1"/>
    <col min="48" max="48" width="13.7265625" bestFit="1" customWidth="1"/>
    <col min="49" max="59" width="14.90625" bestFit="1" customWidth="1"/>
    <col min="60" max="60" width="4.1796875" bestFit="1" customWidth="1"/>
  </cols>
  <sheetData>
    <row r="1" spans="1:60" x14ac:dyDescent="0.35">
      <c r="A1" s="4" t="s">
        <v>870</v>
      </c>
    </row>
    <row r="2" spans="1:60" x14ac:dyDescent="0.35">
      <c r="A2" s="4" t="s">
        <v>871</v>
      </c>
    </row>
    <row r="3" spans="1:60" x14ac:dyDescent="0.35">
      <c r="A3" s="51" t="s">
        <v>3191</v>
      </c>
      <c r="Z3" s="12"/>
    </row>
    <row r="4" spans="1:60" x14ac:dyDescent="0.35">
      <c r="A4" s="52" t="s">
        <v>838</v>
      </c>
      <c r="R4" s="1"/>
      <c r="S4" s="12"/>
      <c r="Z4" s="76">
        <f>Z5-'SAP Report'!C2</f>
        <v>2041964.2899996042</v>
      </c>
      <c r="AA4" s="76">
        <f>AA5-'SAP Report'!D2</f>
        <v>0</v>
      </c>
      <c r="AB4" s="76">
        <f>AB5-'SAP Report'!E2</f>
        <v>0</v>
      </c>
      <c r="AC4" s="76">
        <f>AC5-'SAP Report'!F2</f>
        <v>0</v>
      </c>
      <c r="AD4" s="76">
        <f>AD5-'SAP Report'!G2</f>
        <v>2041964.2900000811</v>
      </c>
      <c r="AE4" s="12"/>
      <c r="AG4" s="11" t="s">
        <v>872</v>
      </c>
      <c r="AV4" s="11" t="s">
        <v>873</v>
      </c>
    </row>
    <row r="5" spans="1:60" x14ac:dyDescent="0.35">
      <c r="R5" s="6">
        <f>SUBTOTAL(9,R7:R1048576)</f>
        <v>710591768.63285697</v>
      </c>
      <c r="Z5" s="6">
        <f>SUBTOTAL(9,Z7:Z1048576)</f>
        <v>709710221.30999994</v>
      </c>
      <c r="AA5" s="6">
        <f t="shared" ref="AA5:AE5" si="0">SUBTOTAL(9,AA7:AA1048576)</f>
        <v>154888194.45000005</v>
      </c>
      <c r="AB5" s="6">
        <f>SUBTOTAL(9,AB7:AB1048576)</f>
        <v>234128221</v>
      </c>
      <c r="AC5" s="6">
        <f t="shared" si="0"/>
        <v>389016415.45000011</v>
      </c>
      <c r="AD5" s="6">
        <f>SUBTOTAL(9,AD7:AD1048576)</f>
        <v>320693805.86000019</v>
      </c>
      <c r="AE5" s="6">
        <f t="shared" si="0"/>
        <v>554822026.86000001</v>
      </c>
      <c r="AG5" s="6">
        <f t="shared" ref="AG5:AR5" si="1">SUBTOTAL(9,AG7:AG1048576)</f>
        <v>5254631.8699999992</v>
      </c>
      <c r="AH5" s="6">
        <f t="shared" si="1"/>
        <v>15242657.759999998</v>
      </c>
      <c r="AI5" s="6">
        <f t="shared" si="1"/>
        <v>20216894.120000001</v>
      </c>
      <c r="AJ5" s="6">
        <f t="shared" si="1"/>
        <v>23144198.519999996</v>
      </c>
      <c r="AK5" s="6">
        <f t="shared" si="1"/>
        <v>24344173.469999999</v>
      </c>
      <c r="AL5" s="6">
        <f t="shared" si="1"/>
        <v>19564398.940000001</v>
      </c>
      <c r="AM5" s="6">
        <f t="shared" si="1"/>
        <v>18820098.699999999</v>
      </c>
      <c r="AN5" s="6">
        <f t="shared" si="1"/>
        <v>18255306.259999998</v>
      </c>
      <c r="AO5" s="6">
        <f t="shared" si="1"/>
        <v>10045834.810000002</v>
      </c>
      <c r="AP5" s="6">
        <f t="shared" si="1"/>
        <v>234128221</v>
      </c>
      <c r="AQ5" s="6">
        <f t="shared" si="1"/>
        <v>160346902.9300001</v>
      </c>
      <c r="AR5" s="6">
        <f t="shared" si="1"/>
        <v>160346902.9300001</v>
      </c>
      <c r="AS5" s="6">
        <f>SUBTOTAL(9,AS7:AS1048576)</f>
        <v>709710221.30999994</v>
      </c>
      <c r="AT5" s="6">
        <f>SUBTOTAL(9,AT7:AT1048576)</f>
        <v>0</v>
      </c>
      <c r="AV5" s="6">
        <f t="shared" ref="AV5:BG5" si="2">SUBTOTAL(9,AV7:AV1048576)</f>
        <v>5254631.8699999992</v>
      </c>
      <c r="AW5" s="6">
        <f t="shared" si="2"/>
        <v>20497289.629999999</v>
      </c>
      <c r="AX5" s="6">
        <f t="shared" si="2"/>
        <v>40714183.75</v>
      </c>
      <c r="AY5" s="6">
        <f t="shared" si="2"/>
        <v>63858382.269999996</v>
      </c>
      <c r="AZ5" s="6">
        <f t="shared" si="2"/>
        <v>88202555.74000001</v>
      </c>
      <c r="BA5" s="6">
        <f t="shared" si="2"/>
        <v>107766954.67999998</v>
      </c>
      <c r="BB5" s="6">
        <f t="shared" si="2"/>
        <v>126587053.38000003</v>
      </c>
      <c r="BC5" s="6">
        <f t="shared" si="2"/>
        <v>144842359.64000005</v>
      </c>
      <c r="BD5" s="6">
        <f t="shared" si="2"/>
        <v>154888194.45000005</v>
      </c>
      <c r="BE5" s="6">
        <f t="shared" si="2"/>
        <v>389016415.45000011</v>
      </c>
      <c r="BF5" s="6">
        <f t="shared" si="2"/>
        <v>549363318.38</v>
      </c>
      <c r="BG5" s="6">
        <f t="shared" si="2"/>
        <v>709710221.30999994</v>
      </c>
    </row>
    <row r="6" spans="1:60" ht="29" x14ac:dyDescent="0.35">
      <c r="A6" s="68" t="s">
        <v>63</v>
      </c>
      <c r="B6" s="68" t="s">
        <v>64</v>
      </c>
      <c r="C6" s="68" t="s">
        <v>65</v>
      </c>
      <c r="D6" s="68" t="s">
        <v>86</v>
      </c>
      <c r="E6" s="68" t="s">
        <v>66</v>
      </c>
      <c r="F6" s="68" t="s">
        <v>1812</v>
      </c>
      <c r="G6" s="68" t="s">
        <v>67</v>
      </c>
      <c r="H6" s="68" t="s">
        <v>69</v>
      </c>
      <c r="I6" s="68" t="s">
        <v>71</v>
      </c>
      <c r="J6" s="68" t="s">
        <v>72</v>
      </c>
      <c r="K6" s="69" t="s">
        <v>73</v>
      </c>
      <c r="L6" s="69" t="s">
        <v>74</v>
      </c>
      <c r="M6" s="68" t="s">
        <v>75</v>
      </c>
      <c r="N6" s="69" t="s">
        <v>76</v>
      </c>
      <c r="O6" s="68" t="s">
        <v>77</v>
      </c>
      <c r="P6" s="68" t="s">
        <v>78</v>
      </c>
      <c r="Q6" s="68" t="s">
        <v>70</v>
      </c>
      <c r="R6" s="70" t="s">
        <v>83</v>
      </c>
      <c r="S6" s="71" t="s">
        <v>79</v>
      </c>
      <c r="T6" s="70" t="s">
        <v>80</v>
      </c>
      <c r="U6" s="71" t="s">
        <v>81</v>
      </c>
      <c r="V6" s="71" t="s">
        <v>82</v>
      </c>
      <c r="W6" s="71" t="s">
        <v>68</v>
      </c>
      <c r="X6" s="68" t="s">
        <v>84</v>
      </c>
      <c r="Z6" s="71" t="s">
        <v>869</v>
      </c>
      <c r="AA6" s="71" t="s">
        <v>864</v>
      </c>
      <c r="AB6" s="71" t="s">
        <v>865</v>
      </c>
      <c r="AC6" s="71" t="s">
        <v>866</v>
      </c>
      <c r="AD6" s="71" t="s">
        <v>867</v>
      </c>
      <c r="AE6" s="71" t="s">
        <v>868</v>
      </c>
      <c r="AG6" s="71" t="s">
        <v>830</v>
      </c>
      <c r="AH6" s="71" t="s">
        <v>831</v>
      </c>
      <c r="AI6" s="71" t="s">
        <v>832</v>
      </c>
      <c r="AJ6" s="71" t="s">
        <v>833</v>
      </c>
      <c r="AK6" s="71" t="s">
        <v>834</v>
      </c>
      <c r="AL6" s="71" t="s">
        <v>835</v>
      </c>
      <c r="AM6" s="71" t="s">
        <v>836</v>
      </c>
      <c r="AN6" s="71" t="s">
        <v>837</v>
      </c>
      <c r="AO6" s="71" t="s">
        <v>838</v>
      </c>
      <c r="AP6" s="71" t="s">
        <v>839</v>
      </c>
      <c r="AQ6" s="71" t="s">
        <v>840</v>
      </c>
      <c r="AR6" s="71" t="s">
        <v>841</v>
      </c>
      <c r="AS6" s="71" t="s">
        <v>127</v>
      </c>
      <c r="AT6" s="71" t="s">
        <v>462</v>
      </c>
      <c r="AV6" s="71" t="s">
        <v>830</v>
      </c>
      <c r="AW6" s="71" t="s">
        <v>831</v>
      </c>
      <c r="AX6" s="71" t="s">
        <v>832</v>
      </c>
      <c r="AY6" s="71" t="s">
        <v>833</v>
      </c>
      <c r="AZ6" s="71" t="s">
        <v>834</v>
      </c>
      <c r="BA6" s="71" t="s">
        <v>835</v>
      </c>
      <c r="BB6" s="71" t="s">
        <v>836</v>
      </c>
      <c r="BC6" s="71" t="s">
        <v>837</v>
      </c>
      <c r="BD6" s="71" t="s">
        <v>838</v>
      </c>
      <c r="BE6" s="71" t="s">
        <v>839</v>
      </c>
      <c r="BF6" s="71" t="s">
        <v>840</v>
      </c>
      <c r="BG6" s="71" t="s">
        <v>841</v>
      </c>
    </row>
    <row r="7" spans="1:60" s="62" customFormat="1" x14ac:dyDescent="0.35">
      <c r="A7" s="72">
        <v>10001072</v>
      </c>
      <c r="B7" t="s">
        <v>625</v>
      </c>
      <c r="C7" t="s">
        <v>9</v>
      </c>
      <c r="D7" t="s">
        <v>9</v>
      </c>
      <c r="E7" s="72"/>
      <c r="F7" s="72" t="s">
        <v>1814</v>
      </c>
      <c r="G7" s="75" t="s">
        <v>1792</v>
      </c>
      <c r="H7" s="72"/>
      <c r="I7" s="72"/>
      <c r="J7" s="72"/>
      <c r="K7" s="72"/>
      <c r="L7" s="72"/>
      <c r="M7" s="72"/>
      <c r="N7" s="72"/>
      <c r="O7" s="72"/>
      <c r="P7" s="72"/>
      <c r="Q7" s="72"/>
      <c r="R7" s="73">
        <f>_xlfn.XLOOKUP(A7,Malls!B:B,Malls!G:G)</f>
        <v>142000</v>
      </c>
      <c r="S7" s="74"/>
      <c r="T7">
        <f>_xlfn.XLOOKUP(M7,[1]Sheet1!$A:$A,[1]Sheet1!$E:$E)</f>
        <v>0</v>
      </c>
      <c r="U7" s="74"/>
      <c r="V7" s="74"/>
      <c r="W7" s="74"/>
      <c r="X7" s="72"/>
      <c r="Z7" s="1">
        <f>_xlfn.XLOOKUP(A7,'SAP Report'!A:A,'SAP Report'!C:C)</f>
        <v>142000</v>
      </c>
      <c r="AA7" s="1">
        <f>HLOOKUP($A$4,$AV$6:$BG7,2,FALSE)</f>
        <v>0</v>
      </c>
      <c r="AB7" s="1">
        <f>SUMIF('Open PR PO'!A:A,Monitoring!A7,'Open PR PO'!K:K)</f>
        <v>142000</v>
      </c>
      <c r="AC7" s="1">
        <f t="shared" ref="AC7:AC8" si="3">AA7+AB7</f>
        <v>142000</v>
      </c>
      <c r="AD7" s="1">
        <f t="shared" ref="AD7:AD8" si="4">Z7-AC7</f>
        <v>0</v>
      </c>
      <c r="AE7" s="1">
        <f t="shared" ref="AE7:AE8" si="5">Z7-AA7</f>
        <v>142000</v>
      </c>
      <c r="AF7" s="1"/>
      <c r="AG7" s="53">
        <f>SUMIFS(Actual!$F:$F,Actual!$N:$N,Monitoring!AG$6,Actual!$A:$A,Monitoring!$A7)</f>
        <v>0</v>
      </c>
      <c r="AH7" s="53">
        <f>SUMIFS(Actual!$F:$F,Actual!$N:$N,Monitoring!AH$6,Actual!$A:$A,Monitoring!$A7)</f>
        <v>0</v>
      </c>
      <c r="AI7" s="53">
        <f>SUMIFS(Actual!$F:$F,Actual!$N:$N,Monitoring!AI$6,Actual!$A:$A,Monitoring!$A7)</f>
        <v>0</v>
      </c>
      <c r="AJ7" s="53">
        <f>SUMIFS(Actual!$F:$F,Actual!$N:$N,Monitoring!AJ$6,Actual!$A:$A,Monitoring!$A7)</f>
        <v>0</v>
      </c>
      <c r="AK7" s="53">
        <f>SUMIFS(Actual!$F:$F,Actual!$N:$N,Monitoring!AK$6,Actual!$A:$A,Monitoring!$A7)</f>
        <v>0</v>
      </c>
      <c r="AL7" s="53">
        <f>SUMIFS(Actual!$F:$F,Actual!$N:$N,Monitoring!AL$6,Actual!$A:$A,Monitoring!$A7)</f>
        <v>0</v>
      </c>
      <c r="AM7" s="53">
        <f>SUMIFS(Actual!$F:$F,Actual!$N:$N,Monitoring!AM$6,Actual!$A:$A,Monitoring!$A7)</f>
        <v>0</v>
      </c>
      <c r="AN7" s="53">
        <f>SUMIFS(Actual!$F:$F,Actual!$N:$N,Monitoring!AN$6,Actual!$A:$A,Monitoring!$A7)</f>
        <v>0</v>
      </c>
      <c r="AO7" s="53">
        <f>SUMIFS(Actual!$F:$F,Actual!$N:$N,Monitoring!AO$6,Actual!$A:$A,Monitoring!$A7)</f>
        <v>0</v>
      </c>
      <c r="AP7" s="53">
        <f>AB7</f>
        <v>142000</v>
      </c>
      <c r="AQ7" s="53">
        <f>AD7/2</f>
        <v>0</v>
      </c>
      <c r="AR7" s="53">
        <f>AQ7</f>
        <v>0</v>
      </c>
      <c r="AS7" s="1">
        <f t="shared" ref="AS7" si="6">SUM(AG7:AR7)</f>
        <v>142000</v>
      </c>
      <c r="AT7" s="12">
        <f t="shared" ref="AT7" si="7">Z7-AS7</f>
        <v>0</v>
      </c>
      <c r="AU7" s="1"/>
      <c r="AV7" s="53">
        <f t="shared" ref="AV7" si="8">AG7</f>
        <v>0</v>
      </c>
      <c r="AW7" s="1">
        <f t="shared" ref="AW7:AX7" si="9">AV7+AH7</f>
        <v>0</v>
      </c>
      <c r="AX7" s="1">
        <f t="shared" si="9"/>
        <v>0</v>
      </c>
      <c r="AY7" s="1">
        <f t="shared" ref="AY7" si="10">AX7+AJ7</f>
        <v>0</v>
      </c>
      <c r="AZ7" s="1">
        <f t="shared" ref="AZ7" si="11">AY7+AK7</f>
        <v>0</v>
      </c>
      <c r="BA7" s="1">
        <f t="shared" ref="BA7" si="12">AZ7+AL7</f>
        <v>0</v>
      </c>
      <c r="BB7" s="1">
        <f t="shared" ref="BB7" si="13">BA7+AM7</f>
        <v>0</v>
      </c>
      <c r="BC7" s="1">
        <f t="shared" ref="BC7" si="14">BB7+AN7</f>
        <v>0</v>
      </c>
      <c r="BD7" s="1">
        <f t="shared" ref="BD7" si="15">BC7+AO7</f>
        <v>0</v>
      </c>
      <c r="BE7" s="1">
        <f t="shared" ref="BE7" si="16">BD7+AP7</f>
        <v>142000</v>
      </c>
      <c r="BF7" s="1">
        <f t="shared" ref="BF7" si="17">BE7+AQ7</f>
        <v>142000</v>
      </c>
      <c r="BG7" s="1">
        <f t="shared" ref="BG7" si="18">BF7+AR7</f>
        <v>142000</v>
      </c>
      <c r="BH7">
        <v>1</v>
      </c>
    </row>
    <row r="8" spans="1:60" s="62" customFormat="1" x14ac:dyDescent="0.35">
      <c r="A8" s="72">
        <v>10001134</v>
      </c>
      <c r="B8" t="s">
        <v>626</v>
      </c>
      <c r="C8" t="s">
        <v>9</v>
      </c>
      <c r="D8" t="s">
        <v>9</v>
      </c>
      <c r="E8" s="72"/>
      <c r="F8" s="72" t="s">
        <v>1814</v>
      </c>
      <c r="G8" s="75" t="s">
        <v>1792</v>
      </c>
      <c r="H8" s="72"/>
      <c r="I8" s="72"/>
      <c r="J8" s="72"/>
      <c r="K8" s="72"/>
      <c r="L8" s="72"/>
      <c r="M8" s="72"/>
      <c r="N8" s="72"/>
      <c r="O8" s="72"/>
      <c r="P8" s="72"/>
      <c r="Q8" s="72"/>
      <c r="R8" s="73">
        <f>_xlfn.XLOOKUP(A8,Malls!B:B,Malls!G:G)</f>
        <v>789517.86</v>
      </c>
      <c r="S8" s="74"/>
      <c r="T8">
        <f>_xlfn.XLOOKUP(M8,[1]Sheet1!$A:$A,[1]Sheet1!$E:$E)</f>
        <v>0</v>
      </c>
      <c r="U8" s="74"/>
      <c r="V8" s="74"/>
      <c r="W8" s="74"/>
      <c r="X8" s="72"/>
      <c r="Z8" s="1">
        <f>_xlfn.XLOOKUP(A8,'SAP Report'!A:A,'SAP Report'!C:C)</f>
        <v>789517.86</v>
      </c>
      <c r="AA8" s="1">
        <f>HLOOKUP($A$4,$AV$6:$BG8,(2+BH7),FALSE)</f>
        <v>0</v>
      </c>
      <c r="AB8" s="1">
        <f>SUMIF('Open PR PO'!A:A,Monitoring!A8,'Open PR PO'!K:K)</f>
        <v>789517.86</v>
      </c>
      <c r="AC8" s="1">
        <f t="shared" si="3"/>
        <v>789517.86</v>
      </c>
      <c r="AD8" s="1">
        <f t="shared" si="4"/>
        <v>0</v>
      </c>
      <c r="AE8" s="1">
        <f t="shared" si="5"/>
        <v>789517.86</v>
      </c>
      <c r="AF8" s="1"/>
      <c r="AG8" s="53">
        <f>SUMIFS(Actual!$F:$F,Actual!$N:$N,Monitoring!AG$6,Actual!$A:$A,Monitoring!$A8)</f>
        <v>0</v>
      </c>
      <c r="AH8" s="53">
        <f>SUMIFS(Actual!$F:$F,Actual!$N:$N,Monitoring!AH$6,Actual!$A:$A,Monitoring!$A8)</f>
        <v>0</v>
      </c>
      <c r="AI8" s="53">
        <f>SUMIFS(Actual!$F:$F,Actual!$N:$N,Monitoring!AI$6,Actual!$A:$A,Monitoring!$A8)</f>
        <v>0</v>
      </c>
      <c r="AJ8" s="53">
        <f>SUMIFS(Actual!$F:$F,Actual!$N:$N,Monitoring!AJ$6,Actual!$A:$A,Monitoring!$A8)</f>
        <v>0</v>
      </c>
      <c r="AK8" s="53">
        <f>SUMIFS(Actual!$F:$F,Actual!$N:$N,Monitoring!AK$6,Actual!$A:$A,Monitoring!$A8)</f>
        <v>0</v>
      </c>
      <c r="AL8" s="53">
        <f>SUMIFS(Actual!$F:$F,Actual!$N:$N,Monitoring!AL$6,Actual!$A:$A,Monitoring!$A8)</f>
        <v>0</v>
      </c>
      <c r="AM8" s="53">
        <f>SUMIFS(Actual!$F:$F,Actual!$N:$N,Monitoring!AM$6,Actual!$A:$A,Monitoring!$A8)</f>
        <v>0</v>
      </c>
      <c r="AN8" s="53">
        <f>SUMIFS(Actual!$F:$F,Actual!$N:$N,Monitoring!AN$6,Actual!$A:$A,Monitoring!$A8)</f>
        <v>0</v>
      </c>
      <c r="AO8" s="53">
        <f>SUMIFS(Actual!$F:$F,Actual!$N:$N,Monitoring!AO$6,Actual!$A:$A,Monitoring!$A8)</f>
        <v>0</v>
      </c>
      <c r="AP8" s="53">
        <f t="shared" ref="AP8:AP71" si="19">AB8</f>
        <v>789517.86</v>
      </c>
      <c r="AQ8" s="53">
        <f t="shared" ref="AQ8:AQ71" si="20">AD8/2</f>
        <v>0</v>
      </c>
      <c r="AR8" s="53">
        <f t="shared" ref="AR8:AR71" si="21">AQ8</f>
        <v>0</v>
      </c>
      <c r="AS8" s="1">
        <f t="shared" ref="AS8:AS71" si="22">SUM(AG8:AR8)</f>
        <v>789517.86</v>
      </c>
      <c r="AT8" s="12">
        <f t="shared" ref="AT8:AT71" si="23">Z8-AS8</f>
        <v>0</v>
      </c>
      <c r="AU8" s="1"/>
      <c r="AV8" s="53">
        <f t="shared" ref="AV8:AV71" si="24">AG8</f>
        <v>0</v>
      </c>
      <c r="AW8" s="1">
        <f t="shared" ref="AW8:AW71" si="25">AV8+AH8</f>
        <v>0</v>
      </c>
      <c r="AX8" s="1">
        <f t="shared" ref="AX8:AX71" si="26">AW8+AI8</f>
        <v>0</v>
      </c>
      <c r="AY8" s="1">
        <f t="shared" ref="AY8:AY71" si="27">AX8+AJ8</f>
        <v>0</v>
      </c>
      <c r="AZ8" s="1">
        <f t="shared" ref="AZ8:AZ71" si="28">AY8+AK8</f>
        <v>0</v>
      </c>
      <c r="BA8" s="1">
        <f t="shared" ref="BA8:BA71" si="29">AZ8+AL8</f>
        <v>0</v>
      </c>
      <c r="BB8" s="1">
        <f t="shared" ref="BB8:BB71" si="30">BA8+AM8</f>
        <v>0</v>
      </c>
      <c r="BC8" s="1">
        <f t="shared" ref="BC8:BC71" si="31">BB8+AN8</f>
        <v>0</v>
      </c>
      <c r="BD8" s="1">
        <f t="shared" ref="BD8:BD71" si="32">BC8+AO8</f>
        <v>0</v>
      </c>
      <c r="BE8" s="1">
        <f t="shared" ref="BE8:BE71" si="33">BD8+AP8</f>
        <v>789517.86</v>
      </c>
      <c r="BF8" s="1">
        <f t="shared" ref="BF8:BF71" si="34">BE8+AQ8</f>
        <v>789517.86</v>
      </c>
      <c r="BG8" s="1">
        <f t="shared" ref="BG8:BG71" si="35">BF8+AR8</f>
        <v>789517.86</v>
      </c>
      <c r="BH8">
        <f t="shared" ref="BH8:BH71" si="36">BH7+1</f>
        <v>2</v>
      </c>
    </row>
    <row r="9" spans="1:60" s="62" customFormat="1" x14ac:dyDescent="0.35">
      <c r="A9" s="72">
        <v>10001262</v>
      </c>
      <c r="B9" t="s">
        <v>627</v>
      </c>
      <c r="C9" t="s">
        <v>9</v>
      </c>
      <c r="D9" t="s">
        <v>9</v>
      </c>
      <c r="E9" s="72"/>
      <c r="F9" s="72" t="s">
        <v>1814</v>
      </c>
      <c r="G9" s="75" t="s">
        <v>1792</v>
      </c>
      <c r="H9" s="72"/>
      <c r="I9" s="72"/>
      <c r="J9" s="72"/>
      <c r="K9" s="72"/>
      <c r="L9" s="72"/>
      <c r="M9" s="72"/>
      <c r="N9" s="72"/>
      <c r="O9" s="72"/>
      <c r="P9" s="72"/>
      <c r="Q9" s="72"/>
      <c r="R9" s="73">
        <f>_xlfn.XLOOKUP(A9,Malls!B:B,Malls!G:G)</f>
        <v>767321.42</v>
      </c>
      <c r="S9" s="74"/>
      <c r="T9">
        <f>_xlfn.XLOOKUP(M9,[1]Sheet1!$A:$A,[1]Sheet1!$E:$E)</f>
        <v>0</v>
      </c>
      <c r="U9" s="74"/>
      <c r="V9" s="74"/>
      <c r="W9" s="74"/>
      <c r="X9" s="72"/>
      <c r="Z9" s="1">
        <f>_xlfn.XLOOKUP(A9,'SAP Report'!A:A,'SAP Report'!C:C)</f>
        <v>767321.43</v>
      </c>
      <c r="AA9" s="1">
        <f>HLOOKUP($A$4,$AV$6:$BG9,(2+BH8),FALSE)</f>
        <v>417857.14</v>
      </c>
      <c r="AB9" s="1">
        <f>SUMIF('Open PR PO'!A:A,Monitoring!A9,'Open PR PO'!K:K)</f>
        <v>349464.28</v>
      </c>
      <c r="AC9" s="1">
        <f t="shared" ref="AC9:AC72" si="37">AA9+AB9</f>
        <v>767321.42</v>
      </c>
      <c r="AD9" s="1">
        <f t="shared" ref="AD9:AD72" si="38">Z9-AC9</f>
        <v>1.0000000009313226E-2</v>
      </c>
      <c r="AE9" s="1">
        <f t="shared" ref="AE9:AE72" si="39">Z9-AA9</f>
        <v>349464.29000000004</v>
      </c>
      <c r="AF9" s="1"/>
      <c r="AG9" s="53">
        <f>SUMIFS(Actual!$F:$F,Actual!$N:$N,Monitoring!AG$6,Actual!$A:$A,Monitoring!$A9)</f>
        <v>0</v>
      </c>
      <c r="AH9" s="53">
        <f>SUMIFS(Actual!$F:$F,Actual!$N:$N,Monitoring!AH$6,Actual!$A:$A,Monitoring!$A9)</f>
        <v>0</v>
      </c>
      <c r="AI9" s="53">
        <f>SUMIFS(Actual!$F:$F,Actual!$N:$N,Monitoring!AI$6,Actual!$A:$A,Monitoring!$A9)</f>
        <v>0</v>
      </c>
      <c r="AJ9" s="53">
        <f>SUMIFS(Actual!$F:$F,Actual!$N:$N,Monitoring!AJ$6,Actual!$A:$A,Monitoring!$A9)</f>
        <v>417857.14</v>
      </c>
      <c r="AK9" s="53">
        <f>SUMIFS(Actual!$F:$F,Actual!$N:$N,Monitoring!AK$6,Actual!$A:$A,Monitoring!$A9)</f>
        <v>0</v>
      </c>
      <c r="AL9" s="53">
        <f>SUMIFS(Actual!$F:$F,Actual!$N:$N,Monitoring!AL$6,Actual!$A:$A,Monitoring!$A9)</f>
        <v>0</v>
      </c>
      <c r="AM9" s="53">
        <f>SUMIFS(Actual!$F:$F,Actual!$N:$N,Monitoring!AM$6,Actual!$A:$A,Monitoring!$A9)</f>
        <v>0</v>
      </c>
      <c r="AN9" s="53">
        <f>SUMIFS(Actual!$F:$F,Actual!$N:$N,Monitoring!AN$6,Actual!$A:$A,Monitoring!$A9)</f>
        <v>0</v>
      </c>
      <c r="AO9" s="53">
        <f>SUMIFS(Actual!$F:$F,Actual!$N:$N,Monitoring!AO$6,Actual!$A:$A,Monitoring!$A9)</f>
        <v>0</v>
      </c>
      <c r="AP9" s="53">
        <f t="shared" si="19"/>
        <v>349464.28</v>
      </c>
      <c r="AQ9" s="53">
        <f t="shared" si="20"/>
        <v>5.0000000046566129E-3</v>
      </c>
      <c r="AR9" s="53">
        <f t="shared" si="21"/>
        <v>5.0000000046566129E-3</v>
      </c>
      <c r="AS9" s="1">
        <f t="shared" si="22"/>
        <v>767321.43</v>
      </c>
      <c r="AT9" s="12">
        <f t="shared" si="23"/>
        <v>0</v>
      </c>
      <c r="AU9" s="1"/>
      <c r="AV9" s="53">
        <f t="shared" si="24"/>
        <v>0</v>
      </c>
      <c r="AW9" s="1">
        <f t="shared" si="25"/>
        <v>0</v>
      </c>
      <c r="AX9" s="1">
        <f t="shared" si="26"/>
        <v>0</v>
      </c>
      <c r="AY9" s="1">
        <f t="shared" si="27"/>
        <v>417857.14</v>
      </c>
      <c r="AZ9" s="1">
        <f t="shared" si="28"/>
        <v>417857.14</v>
      </c>
      <c r="BA9" s="1">
        <f t="shared" si="29"/>
        <v>417857.14</v>
      </c>
      <c r="BB9" s="1">
        <f t="shared" si="30"/>
        <v>417857.14</v>
      </c>
      <c r="BC9" s="1">
        <f t="shared" si="31"/>
        <v>417857.14</v>
      </c>
      <c r="BD9" s="1">
        <f t="shared" si="32"/>
        <v>417857.14</v>
      </c>
      <c r="BE9" s="1">
        <f t="shared" si="33"/>
        <v>767321.42</v>
      </c>
      <c r="BF9" s="1">
        <f t="shared" si="34"/>
        <v>767321.42500000005</v>
      </c>
      <c r="BG9" s="1">
        <f t="shared" si="35"/>
        <v>767321.43</v>
      </c>
      <c r="BH9">
        <f t="shared" si="36"/>
        <v>3</v>
      </c>
    </row>
    <row r="10" spans="1:60" s="62" customFormat="1" x14ac:dyDescent="0.35">
      <c r="A10" s="72">
        <v>10001254</v>
      </c>
      <c r="B10" t="s">
        <v>628</v>
      </c>
      <c r="C10" t="s">
        <v>9</v>
      </c>
      <c r="D10" t="s">
        <v>9</v>
      </c>
      <c r="E10" s="72"/>
      <c r="F10" s="72" t="s">
        <v>1814</v>
      </c>
      <c r="G10" s="75" t="s">
        <v>1792</v>
      </c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3">
        <f>_xlfn.XLOOKUP(A10,Malls!B:B,Malls!G:G)</f>
        <v>32193.08</v>
      </c>
      <c r="S10" s="74"/>
      <c r="T10">
        <f>_xlfn.XLOOKUP(M10,[1]Sheet1!$A:$A,[1]Sheet1!$E:$E)</f>
        <v>0</v>
      </c>
      <c r="U10" s="74"/>
      <c r="V10" s="74"/>
      <c r="W10" s="74"/>
      <c r="X10" s="72"/>
      <c r="Z10" s="1">
        <f>_xlfn.XLOOKUP(A10,'SAP Report'!A:A,'SAP Report'!C:C)</f>
        <v>32193.08</v>
      </c>
      <c r="AA10" s="1">
        <f>HLOOKUP($A$4,$AV$6:$BG10,(2+BH9),FALSE)</f>
        <v>0</v>
      </c>
      <c r="AB10" s="1">
        <f>SUMIF('Open PR PO'!A:A,Monitoring!A10,'Open PR PO'!K:K)</f>
        <v>32193.08</v>
      </c>
      <c r="AC10" s="1">
        <f t="shared" si="37"/>
        <v>32193.08</v>
      </c>
      <c r="AD10" s="1">
        <f t="shared" si="38"/>
        <v>0</v>
      </c>
      <c r="AE10" s="1">
        <f t="shared" si="39"/>
        <v>32193.08</v>
      </c>
      <c r="AF10" s="1"/>
      <c r="AG10" s="53">
        <f>SUMIFS(Actual!$F:$F,Actual!$N:$N,Monitoring!AG$6,Actual!$A:$A,Monitoring!$A10)</f>
        <v>0</v>
      </c>
      <c r="AH10" s="53">
        <f>SUMIFS(Actual!$F:$F,Actual!$N:$N,Monitoring!AH$6,Actual!$A:$A,Monitoring!$A10)</f>
        <v>0</v>
      </c>
      <c r="AI10" s="53">
        <f>SUMIFS(Actual!$F:$F,Actual!$N:$N,Monitoring!AI$6,Actual!$A:$A,Monitoring!$A10)</f>
        <v>0</v>
      </c>
      <c r="AJ10" s="53">
        <f>SUMIFS(Actual!$F:$F,Actual!$N:$N,Monitoring!AJ$6,Actual!$A:$A,Monitoring!$A10)</f>
        <v>0</v>
      </c>
      <c r="AK10" s="53">
        <f>SUMIFS(Actual!$F:$F,Actual!$N:$N,Monitoring!AK$6,Actual!$A:$A,Monitoring!$A10)</f>
        <v>0</v>
      </c>
      <c r="AL10" s="53">
        <f>SUMIFS(Actual!$F:$F,Actual!$N:$N,Monitoring!AL$6,Actual!$A:$A,Monitoring!$A10)</f>
        <v>0</v>
      </c>
      <c r="AM10" s="53">
        <f>SUMIFS(Actual!$F:$F,Actual!$N:$N,Monitoring!AM$6,Actual!$A:$A,Monitoring!$A10)</f>
        <v>0</v>
      </c>
      <c r="AN10" s="53">
        <f>SUMIFS(Actual!$F:$F,Actual!$N:$N,Monitoring!AN$6,Actual!$A:$A,Monitoring!$A10)</f>
        <v>0</v>
      </c>
      <c r="AO10" s="53">
        <f>SUMIFS(Actual!$F:$F,Actual!$N:$N,Monitoring!AO$6,Actual!$A:$A,Monitoring!$A10)</f>
        <v>0</v>
      </c>
      <c r="AP10" s="53">
        <f t="shared" si="19"/>
        <v>32193.08</v>
      </c>
      <c r="AQ10" s="53">
        <f t="shared" si="20"/>
        <v>0</v>
      </c>
      <c r="AR10" s="53">
        <f t="shared" si="21"/>
        <v>0</v>
      </c>
      <c r="AS10" s="1">
        <f t="shared" si="22"/>
        <v>32193.08</v>
      </c>
      <c r="AT10" s="12">
        <f t="shared" si="23"/>
        <v>0</v>
      </c>
      <c r="AU10" s="1"/>
      <c r="AV10" s="53">
        <f t="shared" si="24"/>
        <v>0</v>
      </c>
      <c r="AW10" s="1">
        <f t="shared" si="25"/>
        <v>0</v>
      </c>
      <c r="AX10" s="1">
        <f t="shared" si="26"/>
        <v>0</v>
      </c>
      <c r="AY10" s="1">
        <f t="shared" si="27"/>
        <v>0</v>
      </c>
      <c r="AZ10" s="1">
        <f t="shared" si="28"/>
        <v>0</v>
      </c>
      <c r="BA10" s="1">
        <f t="shared" si="29"/>
        <v>0</v>
      </c>
      <c r="BB10" s="1">
        <f t="shared" si="30"/>
        <v>0</v>
      </c>
      <c r="BC10" s="1">
        <f t="shared" si="31"/>
        <v>0</v>
      </c>
      <c r="BD10" s="1">
        <f t="shared" si="32"/>
        <v>0</v>
      </c>
      <c r="BE10" s="1">
        <f t="shared" si="33"/>
        <v>32193.08</v>
      </c>
      <c r="BF10" s="1">
        <f t="shared" si="34"/>
        <v>32193.08</v>
      </c>
      <c r="BG10" s="1">
        <f t="shared" si="35"/>
        <v>32193.08</v>
      </c>
      <c r="BH10">
        <f t="shared" si="36"/>
        <v>4</v>
      </c>
    </row>
    <row r="11" spans="1:60" s="62" customFormat="1" x14ac:dyDescent="0.35">
      <c r="A11" s="72">
        <v>10001288</v>
      </c>
      <c r="B11" t="s">
        <v>629</v>
      </c>
      <c r="C11" t="s">
        <v>9</v>
      </c>
      <c r="D11" t="s">
        <v>9</v>
      </c>
      <c r="E11" s="72"/>
      <c r="F11" s="72" t="s">
        <v>1814</v>
      </c>
      <c r="G11" s="75" t="s">
        <v>1792</v>
      </c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3">
        <f>_xlfn.XLOOKUP(A11,Malls!B:B,Malls!G:G)</f>
        <v>7500</v>
      </c>
      <c r="S11" s="74"/>
      <c r="T11">
        <f>_xlfn.XLOOKUP(M11,[1]Sheet1!$A:$A,[1]Sheet1!$E:$E)</f>
        <v>0</v>
      </c>
      <c r="U11" s="74"/>
      <c r="V11" s="74"/>
      <c r="W11" s="74"/>
      <c r="X11" s="72"/>
      <c r="Z11" s="1">
        <f>_xlfn.XLOOKUP(A11,'SAP Report'!A:A,'SAP Report'!C:C)</f>
        <v>7500</v>
      </c>
      <c r="AA11" s="1">
        <f>HLOOKUP($A$4,$AV$6:$BG11,(2+BH10),FALSE)</f>
        <v>0</v>
      </c>
      <c r="AB11" s="1">
        <f>SUMIF('Open PR PO'!A:A,Monitoring!A11,'Open PR PO'!K:K)</f>
        <v>7500</v>
      </c>
      <c r="AC11" s="1">
        <f t="shared" si="37"/>
        <v>7500</v>
      </c>
      <c r="AD11" s="1">
        <f t="shared" si="38"/>
        <v>0</v>
      </c>
      <c r="AE11" s="1">
        <f t="shared" si="39"/>
        <v>7500</v>
      </c>
      <c r="AF11" s="1"/>
      <c r="AG11" s="53">
        <f>SUMIFS(Actual!$F:$F,Actual!$N:$N,Monitoring!AG$6,Actual!$A:$A,Monitoring!$A11)</f>
        <v>0</v>
      </c>
      <c r="AH11" s="53">
        <f>SUMIFS(Actual!$F:$F,Actual!$N:$N,Monitoring!AH$6,Actual!$A:$A,Monitoring!$A11)</f>
        <v>0</v>
      </c>
      <c r="AI11" s="53">
        <f>SUMIFS(Actual!$F:$F,Actual!$N:$N,Monitoring!AI$6,Actual!$A:$A,Monitoring!$A11)</f>
        <v>0</v>
      </c>
      <c r="AJ11" s="53">
        <f>SUMIFS(Actual!$F:$F,Actual!$N:$N,Monitoring!AJ$6,Actual!$A:$A,Monitoring!$A11)</f>
        <v>0</v>
      </c>
      <c r="AK11" s="53">
        <f>SUMIFS(Actual!$F:$F,Actual!$N:$N,Monitoring!AK$6,Actual!$A:$A,Monitoring!$A11)</f>
        <v>0</v>
      </c>
      <c r="AL11" s="53">
        <f>SUMIFS(Actual!$F:$F,Actual!$N:$N,Monitoring!AL$6,Actual!$A:$A,Monitoring!$A11)</f>
        <v>0</v>
      </c>
      <c r="AM11" s="53">
        <f>SUMIFS(Actual!$F:$F,Actual!$N:$N,Monitoring!AM$6,Actual!$A:$A,Monitoring!$A11)</f>
        <v>0</v>
      </c>
      <c r="AN11" s="53">
        <f>SUMIFS(Actual!$F:$F,Actual!$N:$N,Monitoring!AN$6,Actual!$A:$A,Monitoring!$A11)</f>
        <v>0</v>
      </c>
      <c r="AO11" s="53">
        <f>SUMIFS(Actual!$F:$F,Actual!$N:$N,Monitoring!AO$6,Actual!$A:$A,Monitoring!$A11)</f>
        <v>0</v>
      </c>
      <c r="AP11" s="53">
        <f t="shared" si="19"/>
        <v>7500</v>
      </c>
      <c r="AQ11" s="53">
        <f t="shared" si="20"/>
        <v>0</v>
      </c>
      <c r="AR11" s="53">
        <f t="shared" si="21"/>
        <v>0</v>
      </c>
      <c r="AS11" s="1">
        <f t="shared" si="22"/>
        <v>7500</v>
      </c>
      <c r="AT11" s="12">
        <f t="shared" si="23"/>
        <v>0</v>
      </c>
      <c r="AU11" s="1"/>
      <c r="AV11" s="53">
        <f t="shared" si="24"/>
        <v>0</v>
      </c>
      <c r="AW11" s="1">
        <f t="shared" si="25"/>
        <v>0</v>
      </c>
      <c r="AX11" s="1">
        <f t="shared" si="26"/>
        <v>0</v>
      </c>
      <c r="AY11" s="1">
        <f t="shared" si="27"/>
        <v>0</v>
      </c>
      <c r="AZ11" s="1">
        <f t="shared" si="28"/>
        <v>0</v>
      </c>
      <c r="BA11" s="1">
        <f t="shared" si="29"/>
        <v>0</v>
      </c>
      <c r="BB11" s="1">
        <f t="shared" si="30"/>
        <v>0</v>
      </c>
      <c r="BC11" s="1">
        <f t="shared" si="31"/>
        <v>0</v>
      </c>
      <c r="BD11" s="1">
        <f t="shared" si="32"/>
        <v>0</v>
      </c>
      <c r="BE11" s="1">
        <f t="shared" si="33"/>
        <v>7500</v>
      </c>
      <c r="BF11" s="1">
        <f t="shared" si="34"/>
        <v>7500</v>
      </c>
      <c r="BG11" s="1">
        <f t="shared" si="35"/>
        <v>7500</v>
      </c>
      <c r="BH11">
        <f t="shared" si="36"/>
        <v>5</v>
      </c>
    </row>
    <row r="12" spans="1:60" s="62" customFormat="1" x14ac:dyDescent="0.35">
      <c r="A12" s="72">
        <v>10001289</v>
      </c>
      <c r="B12" t="s">
        <v>630</v>
      </c>
      <c r="C12" t="s">
        <v>9</v>
      </c>
      <c r="D12" t="s">
        <v>9</v>
      </c>
      <c r="E12" s="72"/>
      <c r="F12" s="72" t="s">
        <v>1814</v>
      </c>
      <c r="G12" s="75" t="s">
        <v>1792</v>
      </c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3">
        <f>_xlfn.XLOOKUP(A12,Malls!B:B,Malls!G:G)</f>
        <v>42857.14</v>
      </c>
      <c r="S12" s="74"/>
      <c r="T12">
        <f>_xlfn.XLOOKUP(M12,[1]Sheet1!$A:$A,[1]Sheet1!$E:$E)</f>
        <v>0</v>
      </c>
      <c r="U12" s="74"/>
      <c r="V12" s="74"/>
      <c r="W12" s="74"/>
      <c r="X12" s="72"/>
      <c r="Z12" s="1">
        <f>_xlfn.XLOOKUP(A12,'SAP Report'!A:A,'SAP Report'!C:C)</f>
        <v>42857.14</v>
      </c>
      <c r="AA12" s="1">
        <f>HLOOKUP($A$4,$AV$6:$BG12,(2+BH11),FALSE)</f>
        <v>0</v>
      </c>
      <c r="AB12" s="1">
        <f>SUMIF('Open PR PO'!A:A,Monitoring!A12,'Open PR PO'!K:K)</f>
        <v>42857.14</v>
      </c>
      <c r="AC12" s="1">
        <f t="shared" si="37"/>
        <v>42857.14</v>
      </c>
      <c r="AD12" s="1">
        <f t="shared" si="38"/>
        <v>0</v>
      </c>
      <c r="AE12" s="1">
        <f t="shared" si="39"/>
        <v>42857.14</v>
      </c>
      <c r="AF12" s="1"/>
      <c r="AG12" s="53">
        <f>SUMIFS(Actual!$F:$F,Actual!$N:$N,Monitoring!AG$6,Actual!$A:$A,Monitoring!$A12)</f>
        <v>0</v>
      </c>
      <c r="AH12" s="53">
        <f>SUMIFS(Actual!$F:$F,Actual!$N:$N,Monitoring!AH$6,Actual!$A:$A,Monitoring!$A12)</f>
        <v>0</v>
      </c>
      <c r="AI12" s="53">
        <f>SUMIFS(Actual!$F:$F,Actual!$N:$N,Monitoring!AI$6,Actual!$A:$A,Monitoring!$A12)</f>
        <v>0</v>
      </c>
      <c r="AJ12" s="53">
        <f>SUMIFS(Actual!$F:$F,Actual!$N:$N,Monitoring!AJ$6,Actual!$A:$A,Monitoring!$A12)</f>
        <v>0</v>
      </c>
      <c r="AK12" s="53">
        <f>SUMIFS(Actual!$F:$F,Actual!$N:$N,Monitoring!AK$6,Actual!$A:$A,Monitoring!$A12)</f>
        <v>0</v>
      </c>
      <c r="AL12" s="53">
        <f>SUMIFS(Actual!$F:$F,Actual!$N:$N,Monitoring!AL$6,Actual!$A:$A,Monitoring!$A12)</f>
        <v>0</v>
      </c>
      <c r="AM12" s="53">
        <f>SUMIFS(Actual!$F:$F,Actual!$N:$N,Monitoring!AM$6,Actual!$A:$A,Monitoring!$A12)</f>
        <v>0</v>
      </c>
      <c r="AN12" s="53">
        <f>SUMIFS(Actual!$F:$F,Actual!$N:$N,Monitoring!AN$6,Actual!$A:$A,Monitoring!$A12)</f>
        <v>0</v>
      </c>
      <c r="AO12" s="53">
        <f>SUMIFS(Actual!$F:$F,Actual!$N:$N,Monitoring!AO$6,Actual!$A:$A,Monitoring!$A12)</f>
        <v>0</v>
      </c>
      <c r="AP12" s="53">
        <f t="shared" si="19"/>
        <v>42857.14</v>
      </c>
      <c r="AQ12" s="53">
        <f t="shared" si="20"/>
        <v>0</v>
      </c>
      <c r="AR12" s="53">
        <f t="shared" si="21"/>
        <v>0</v>
      </c>
      <c r="AS12" s="1">
        <f t="shared" si="22"/>
        <v>42857.14</v>
      </c>
      <c r="AT12" s="12">
        <f t="shared" si="23"/>
        <v>0</v>
      </c>
      <c r="AU12" s="1"/>
      <c r="AV12" s="53">
        <f t="shared" si="24"/>
        <v>0</v>
      </c>
      <c r="AW12" s="1">
        <f t="shared" si="25"/>
        <v>0</v>
      </c>
      <c r="AX12" s="1">
        <f t="shared" si="26"/>
        <v>0</v>
      </c>
      <c r="AY12" s="1">
        <f t="shared" si="27"/>
        <v>0</v>
      </c>
      <c r="AZ12" s="1">
        <f t="shared" si="28"/>
        <v>0</v>
      </c>
      <c r="BA12" s="1">
        <f t="shared" si="29"/>
        <v>0</v>
      </c>
      <c r="BB12" s="1">
        <f t="shared" si="30"/>
        <v>0</v>
      </c>
      <c r="BC12" s="1">
        <f t="shared" si="31"/>
        <v>0</v>
      </c>
      <c r="BD12" s="1">
        <f t="shared" si="32"/>
        <v>0</v>
      </c>
      <c r="BE12" s="1">
        <f t="shared" si="33"/>
        <v>42857.14</v>
      </c>
      <c r="BF12" s="1">
        <f t="shared" si="34"/>
        <v>42857.14</v>
      </c>
      <c r="BG12" s="1">
        <f t="shared" si="35"/>
        <v>42857.14</v>
      </c>
      <c r="BH12">
        <f t="shared" si="36"/>
        <v>6</v>
      </c>
    </row>
    <row r="13" spans="1:60" s="62" customFormat="1" x14ac:dyDescent="0.35">
      <c r="A13" s="72">
        <v>40001214</v>
      </c>
      <c r="B13" t="s">
        <v>631</v>
      </c>
      <c r="C13" t="s">
        <v>9</v>
      </c>
      <c r="D13" t="s">
        <v>9</v>
      </c>
      <c r="E13" s="72"/>
      <c r="F13" s="72" t="s">
        <v>1814</v>
      </c>
      <c r="G13" s="75" t="s">
        <v>1792</v>
      </c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3">
        <f>_xlfn.XLOOKUP(A13,Malls!B:B,Malls!G:G)</f>
        <v>46785.72</v>
      </c>
      <c r="S13" s="74"/>
      <c r="T13">
        <f>_xlfn.XLOOKUP(M13,[1]Sheet1!$A:$A,[1]Sheet1!$E:$E)</f>
        <v>0</v>
      </c>
      <c r="U13" s="74"/>
      <c r="V13" s="74"/>
      <c r="W13" s="74"/>
      <c r="X13" s="72"/>
      <c r="Z13" s="1">
        <f>_xlfn.XLOOKUP(A13,'SAP Report'!A:A,'SAP Report'!C:C)</f>
        <v>46785.72</v>
      </c>
      <c r="AA13" s="1">
        <f>HLOOKUP($A$4,$AV$6:$BG13,(2+BH12),FALSE)</f>
        <v>0</v>
      </c>
      <c r="AB13" s="1">
        <f>SUMIF('Open PR PO'!A:A,Monitoring!A13,'Open PR PO'!K:K)</f>
        <v>46785.72</v>
      </c>
      <c r="AC13" s="1">
        <f t="shared" si="37"/>
        <v>46785.72</v>
      </c>
      <c r="AD13" s="1">
        <f t="shared" si="38"/>
        <v>0</v>
      </c>
      <c r="AE13" s="1">
        <f t="shared" si="39"/>
        <v>46785.72</v>
      </c>
      <c r="AF13" s="1"/>
      <c r="AG13" s="53">
        <f>SUMIFS(Actual!$F:$F,Actual!$N:$N,Monitoring!AG$6,Actual!$A:$A,Monitoring!$A13)</f>
        <v>0</v>
      </c>
      <c r="AH13" s="53">
        <f>SUMIFS(Actual!$F:$F,Actual!$N:$N,Monitoring!AH$6,Actual!$A:$A,Monitoring!$A13)</f>
        <v>0</v>
      </c>
      <c r="AI13" s="53">
        <f>SUMIFS(Actual!$F:$F,Actual!$N:$N,Monitoring!AI$6,Actual!$A:$A,Monitoring!$A13)</f>
        <v>0</v>
      </c>
      <c r="AJ13" s="53">
        <f>SUMIFS(Actual!$F:$F,Actual!$N:$N,Monitoring!AJ$6,Actual!$A:$A,Monitoring!$A13)</f>
        <v>0</v>
      </c>
      <c r="AK13" s="53">
        <f>SUMIFS(Actual!$F:$F,Actual!$N:$N,Monitoring!AK$6,Actual!$A:$A,Monitoring!$A13)</f>
        <v>0</v>
      </c>
      <c r="AL13" s="53">
        <f>SUMIFS(Actual!$F:$F,Actual!$N:$N,Monitoring!AL$6,Actual!$A:$A,Monitoring!$A13)</f>
        <v>0</v>
      </c>
      <c r="AM13" s="53">
        <f>SUMIFS(Actual!$F:$F,Actual!$N:$N,Monitoring!AM$6,Actual!$A:$A,Monitoring!$A13)</f>
        <v>0</v>
      </c>
      <c r="AN13" s="53">
        <f>SUMIFS(Actual!$F:$F,Actual!$N:$N,Monitoring!AN$6,Actual!$A:$A,Monitoring!$A13)</f>
        <v>0</v>
      </c>
      <c r="AO13" s="53">
        <f>SUMIFS(Actual!$F:$F,Actual!$N:$N,Monitoring!AO$6,Actual!$A:$A,Monitoring!$A13)</f>
        <v>0</v>
      </c>
      <c r="AP13" s="53">
        <f t="shared" si="19"/>
        <v>46785.72</v>
      </c>
      <c r="AQ13" s="53">
        <f t="shared" si="20"/>
        <v>0</v>
      </c>
      <c r="AR13" s="53">
        <f t="shared" si="21"/>
        <v>0</v>
      </c>
      <c r="AS13" s="1">
        <f t="shared" si="22"/>
        <v>46785.72</v>
      </c>
      <c r="AT13" s="12">
        <f t="shared" si="23"/>
        <v>0</v>
      </c>
      <c r="AU13" s="1"/>
      <c r="AV13" s="53">
        <f t="shared" si="24"/>
        <v>0</v>
      </c>
      <c r="AW13" s="1">
        <f t="shared" si="25"/>
        <v>0</v>
      </c>
      <c r="AX13" s="1">
        <f t="shared" si="26"/>
        <v>0</v>
      </c>
      <c r="AY13" s="1">
        <f t="shared" si="27"/>
        <v>0</v>
      </c>
      <c r="AZ13" s="1">
        <f t="shared" si="28"/>
        <v>0</v>
      </c>
      <c r="BA13" s="1">
        <f t="shared" si="29"/>
        <v>0</v>
      </c>
      <c r="BB13" s="1">
        <f t="shared" si="30"/>
        <v>0</v>
      </c>
      <c r="BC13" s="1">
        <f t="shared" si="31"/>
        <v>0</v>
      </c>
      <c r="BD13" s="1">
        <f t="shared" si="32"/>
        <v>0</v>
      </c>
      <c r="BE13" s="1">
        <f t="shared" si="33"/>
        <v>46785.72</v>
      </c>
      <c r="BF13" s="1">
        <f t="shared" si="34"/>
        <v>46785.72</v>
      </c>
      <c r="BG13" s="1">
        <f t="shared" si="35"/>
        <v>46785.72</v>
      </c>
      <c r="BH13">
        <f t="shared" si="36"/>
        <v>7</v>
      </c>
    </row>
    <row r="14" spans="1:60" s="62" customFormat="1" x14ac:dyDescent="0.35">
      <c r="A14">
        <v>10001294</v>
      </c>
      <c r="B14" t="s">
        <v>632</v>
      </c>
      <c r="C14" t="s">
        <v>9</v>
      </c>
      <c r="D14" t="s">
        <v>9</v>
      </c>
      <c r="E14" s="72"/>
      <c r="F14" s="72" t="s">
        <v>1814</v>
      </c>
      <c r="G14" s="75" t="s">
        <v>1792</v>
      </c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3">
        <f>_xlfn.XLOOKUP(A14,Malls!B:B,Malls!G:G)+900000</f>
        <v>4560714.29</v>
      </c>
      <c r="S14" s="74"/>
      <c r="T14">
        <f>_xlfn.XLOOKUP(M14,[1]Sheet1!$A:$A,[1]Sheet1!$E:$E)</f>
        <v>0</v>
      </c>
      <c r="U14" s="74"/>
      <c r="V14" s="74"/>
      <c r="W14" s="74"/>
      <c r="X14" s="87" t="s">
        <v>2145</v>
      </c>
      <c r="Z14" s="1">
        <f>_xlfn.XLOOKUP(A14,'SAP Report'!A:A,'SAP Report'!C:C)</f>
        <v>4560714.29</v>
      </c>
      <c r="AA14" s="1">
        <f>HLOOKUP($A$4,$AV$6:$BG14,(2+BH13),FALSE)</f>
        <v>4253567.5999999996</v>
      </c>
      <c r="AB14" s="1">
        <f>SUMIF('Open PR PO'!A:A,Monitoring!A14,'Open PR PO'!K:K)</f>
        <v>0</v>
      </c>
      <c r="AC14" s="1">
        <f t="shared" si="37"/>
        <v>4253567.5999999996</v>
      </c>
      <c r="AD14" s="1">
        <f t="shared" si="38"/>
        <v>307146.69000000041</v>
      </c>
      <c r="AE14" s="1">
        <f t="shared" si="39"/>
        <v>307146.69000000041</v>
      </c>
      <c r="AF14" s="1"/>
      <c r="AG14" s="53">
        <f>SUMIFS(Actual!$F:$F,Actual!$N:$N,Monitoring!AG$6,Actual!$A:$A,Monitoring!$A14)</f>
        <v>0</v>
      </c>
      <c r="AH14" s="53">
        <f>SUMIFS(Actual!$F:$F,Actual!$N:$N,Monitoring!AH$6,Actual!$A:$A,Monitoring!$A14)</f>
        <v>0</v>
      </c>
      <c r="AI14" s="53">
        <f>SUMIFS(Actual!$F:$F,Actual!$N:$N,Monitoring!AI$6,Actual!$A:$A,Monitoring!$A14)</f>
        <v>2233035.7200000002</v>
      </c>
      <c r="AJ14" s="53">
        <f>SUMIFS(Actual!$F:$F,Actual!$N:$N,Monitoring!AJ$6,Actual!$A:$A,Monitoring!$A14)</f>
        <v>1427678.5699999996</v>
      </c>
      <c r="AK14" s="53">
        <f>SUMIFS(Actual!$F:$F,Actual!$N:$N,Monitoring!AK$6,Actual!$A:$A,Monitoring!$A14)</f>
        <v>0</v>
      </c>
      <c r="AL14" s="53">
        <f>SUMIFS(Actual!$F:$F,Actual!$N:$N,Monitoring!AL$6,Actual!$A:$A,Monitoring!$A14)</f>
        <v>0</v>
      </c>
      <c r="AM14" s="53">
        <f>SUMIFS(Actual!$F:$F,Actual!$N:$N,Monitoring!AM$6,Actual!$A:$A,Monitoring!$A14)</f>
        <v>584978.31000000006</v>
      </c>
      <c r="AN14" s="53">
        <f>SUMIFS(Actual!$F:$F,Actual!$N:$N,Monitoring!AN$6,Actual!$A:$A,Monitoring!$A14)</f>
        <v>7875</v>
      </c>
      <c r="AO14" s="53">
        <f>SUMIFS(Actual!$F:$F,Actual!$N:$N,Monitoring!AO$6,Actual!$A:$A,Monitoring!$A14)</f>
        <v>0</v>
      </c>
      <c r="AP14" s="53">
        <f t="shared" si="19"/>
        <v>0</v>
      </c>
      <c r="AQ14" s="53">
        <f t="shared" si="20"/>
        <v>153573.3450000002</v>
      </c>
      <c r="AR14" s="53">
        <f t="shared" si="21"/>
        <v>153573.3450000002</v>
      </c>
      <c r="AS14" s="1">
        <f t="shared" si="22"/>
        <v>4560714.290000001</v>
      </c>
      <c r="AT14" s="12">
        <f t="shared" si="23"/>
        <v>0</v>
      </c>
      <c r="AU14" s="1"/>
      <c r="AV14" s="53">
        <f t="shared" si="24"/>
        <v>0</v>
      </c>
      <c r="AW14" s="1">
        <f t="shared" si="25"/>
        <v>0</v>
      </c>
      <c r="AX14" s="1">
        <f t="shared" si="26"/>
        <v>2233035.7200000002</v>
      </c>
      <c r="AY14" s="1">
        <f t="shared" si="27"/>
        <v>3660714.29</v>
      </c>
      <c r="AZ14" s="1">
        <f t="shared" si="28"/>
        <v>3660714.29</v>
      </c>
      <c r="BA14" s="1">
        <f t="shared" si="29"/>
        <v>3660714.29</v>
      </c>
      <c r="BB14" s="1">
        <f t="shared" si="30"/>
        <v>4245692.5999999996</v>
      </c>
      <c r="BC14" s="1">
        <f t="shared" si="31"/>
        <v>4253567.5999999996</v>
      </c>
      <c r="BD14" s="1">
        <f t="shared" si="32"/>
        <v>4253567.5999999996</v>
      </c>
      <c r="BE14" s="1">
        <f t="shared" si="33"/>
        <v>4253567.5999999996</v>
      </c>
      <c r="BF14" s="1">
        <f t="shared" si="34"/>
        <v>4407140.9450000003</v>
      </c>
      <c r="BG14" s="1">
        <f t="shared" si="35"/>
        <v>4560714.290000001</v>
      </c>
      <c r="BH14">
        <f t="shared" si="36"/>
        <v>8</v>
      </c>
    </row>
    <row r="15" spans="1:60" s="62" customFormat="1" x14ac:dyDescent="0.35">
      <c r="A15">
        <v>10001302</v>
      </c>
      <c r="B15" t="s">
        <v>634</v>
      </c>
      <c r="C15" t="s">
        <v>9</v>
      </c>
      <c r="D15" t="s">
        <v>9</v>
      </c>
      <c r="E15" s="72"/>
      <c r="F15" s="72" t="s">
        <v>1814</v>
      </c>
      <c r="G15" s="75" t="s">
        <v>1792</v>
      </c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3">
        <f>_xlfn.XLOOKUP(A15,Malls!B:B,Malls!G:G)</f>
        <v>278743.18</v>
      </c>
      <c r="S15" s="74"/>
      <c r="T15">
        <f>_xlfn.XLOOKUP(M15,[1]Sheet1!$A:$A,[1]Sheet1!$E:$E)</f>
        <v>0</v>
      </c>
      <c r="U15" s="74"/>
      <c r="V15" s="74"/>
      <c r="W15" s="74"/>
      <c r="X15" s="72"/>
      <c r="Z15" s="1">
        <f>_xlfn.XLOOKUP(A15,'SAP Report'!A:A,'SAP Report'!C:C)</f>
        <v>278743.18</v>
      </c>
      <c r="AA15" s="1">
        <f>HLOOKUP($A$4,$AV$6:$BG15,(2+BH14),FALSE)</f>
        <v>0</v>
      </c>
      <c r="AB15" s="1">
        <f>SUMIF('Open PR PO'!A:A,Monitoring!A15,'Open PR PO'!K:K)</f>
        <v>278743.18</v>
      </c>
      <c r="AC15" s="1">
        <f t="shared" si="37"/>
        <v>278743.18</v>
      </c>
      <c r="AD15" s="1">
        <f t="shared" si="38"/>
        <v>0</v>
      </c>
      <c r="AE15" s="1">
        <f t="shared" si="39"/>
        <v>278743.18</v>
      </c>
      <c r="AF15" s="1"/>
      <c r="AG15" s="53">
        <f>SUMIFS(Actual!$F:$F,Actual!$N:$N,Monitoring!AG$6,Actual!$A:$A,Monitoring!$A15)</f>
        <v>0</v>
      </c>
      <c r="AH15" s="53">
        <f>SUMIFS(Actual!$F:$F,Actual!$N:$N,Monitoring!AH$6,Actual!$A:$A,Monitoring!$A15)</f>
        <v>0</v>
      </c>
      <c r="AI15" s="53">
        <f>SUMIFS(Actual!$F:$F,Actual!$N:$N,Monitoring!AI$6,Actual!$A:$A,Monitoring!$A15)</f>
        <v>0</v>
      </c>
      <c r="AJ15" s="53">
        <f>SUMIFS(Actual!$F:$F,Actual!$N:$N,Monitoring!AJ$6,Actual!$A:$A,Monitoring!$A15)</f>
        <v>0</v>
      </c>
      <c r="AK15" s="53">
        <f>SUMIFS(Actual!$F:$F,Actual!$N:$N,Monitoring!AK$6,Actual!$A:$A,Monitoring!$A15)</f>
        <v>0</v>
      </c>
      <c r="AL15" s="53">
        <f>SUMIFS(Actual!$F:$F,Actual!$N:$N,Monitoring!AL$6,Actual!$A:$A,Monitoring!$A15)</f>
        <v>0</v>
      </c>
      <c r="AM15" s="53">
        <f>SUMIFS(Actual!$F:$F,Actual!$N:$N,Monitoring!AM$6,Actual!$A:$A,Monitoring!$A15)</f>
        <v>0</v>
      </c>
      <c r="AN15" s="53">
        <f>SUMIFS(Actual!$F:$F,Actual!$N:$N,Monitoring!AN$6,Actual!$A:$A,Monitoring!$A15)</f>
        <v>0</v>
      </c>
      <c r="AO15" s="53">
        <f>SUMIFS(Actual!$F:$F,Actual!$N:$N,Monitoring!AO$6,Actual!$A:$A,Monitoring!$A15)</f>
        <v>0</v>
      </c>
      <c r="AP15" s="53">
        <f t="shared" si="19"/>
        <v>278743.18</v>
      </c>
      <c r="AQ15" s="53">
        <f t="shared" si="20"/>
        <v>0</v>
      </c>
      <c r="AR15" s="53">
        <f t="shared" si="21"/>
        <v>0</v>
      </c>
      <c r="AS15" s="1">
        <f t="shared" si="22"/>
        <v>278743.18</v>
      </c>
      <c r="AT15" s="12">
        <f t="shared" si="23"/>
        <v>0</v>
      </c>
      <c r="AU15" s="1"/>
      <c r="AV15" s="53">
        <f t="shared" si="24"/>
        <v>0</v>
      </c>
      <c r="AW15" s="1">
        <f t="shared" si="25"/>
        <v>0</v>
      </c>
      <c r="AX15" s="1">
        <f t="shared" si="26"/>
        <v>0</v>
      </c>
      <c r="AY15" s="1">
        <f t="shared" si="27"/>
        <v>0</v>
      </c>
      <c r="AZ15" s="1">
        <f t="shared" si="28"/>
        <v>0</v>
      </c>
      <c r="BA15" s="1">
        <f t="shared" si="29"/>
        <v>0</v>
      </c>
      <c r="BB15" s="1">
        <f t="shared" si="30"/>
        <v>0</v>
      </c>
      <c r="BC15" s="1">
        <f t="shared" si="31"/>
        <v>0</v>
      </c>
      <c r="BD15" s="1">
        <f t="shared" si="32"/>
        <v>0</v>
      </c>
      <c r="BE15" s="1">
        <f t="shared" si="33"/>
        <v>278743.18</v>
      </c>
      <c r="BF15" s="1">
        <f t="shared" si="34"/>
        <v>278743.18</v>
      </c>
      <c r="BG15" s="1">
        <f t="shared" si="35"/>
        <v>278743.18</v>
      </c>
      <c r="BH15">
        <f t="shared" si="36"/>
        <v>9</v>
      </c>
    </row>
    <row r="16" spans="1:60" s="62" customFormat="1" x14ac:dyDescent="0.35">
      <c r="A16">
        <v>10001305</v>
      </c>
      <c r="B16" t="s">
        <v>635</v>
      </c>
      <c r="C16" t="s">
        <v>9</v>
      </c>
      <c r="D16" t="s">
        <v>9</v>
      </c>
      <c r="E16" s="72"/>
      <c r="F16" s="72" t="s">
        <v>1814</v>
      </c>
      <c r="G16" s="75" t="s">
        <v>1792</v>
      </c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3">
        <f>_xlfn.XLOOKUP(A16,Malls!B:B,Malls!G:G)</f>
        <v>356250</v>
      </c>
      <c r="S16" s="74"/>
      <c r="T16">
        <f>_xlfn.XLOOKUP(M16,[1]Sheet1!$A:$A,[1]Sheet1!$E:$E)</f>
        <v>0</v>
      </c>
      <c r="U16" s="74"/>
      <c r="V16" s="74"/>
      <c r="W16" s="74"/>
      <c r="X16" s="72"/>
      <c r="Z16" s="1">
        <f>_xlfn.XLOOKUP(A16,'SAP Report'!A:A,'SAP Report'!C:C)</f>
        <v>356250</v>
      </c>
      <c r="AA16" s="1">
        <f>HLOOKUP($A$4,$AV$6:$BG16,(2+BH15),FALSE)</f>
        <v>0</v>
      </c>
      <c r="AB16" s="1">
        <f>SUMIF('Open PR PO'!A:A,Monitoring!A16,'Open PR PO'!K:K)</f>
        <v>356250</v>
      </c>
      <c r="AC16" s="1">
        <f t="shared" si="37"/>
        <v>356250</v>
      </c>
      <c r="AD16" s="1">
        <f t="shared" si="38"/>
        <v>0</v>
      </c>
      <c r="AE16" s="1">
        <f t="shared" si="39"/>
        <v>356250</v>
      </c>
      <c r="AF16" s="1"/>
      <c r="AG16" s="53">
        <f>SUMIFS(Actual!$F:$F,Actual!$N:$N,Monitoring!AG$6,Actual!$A:$A,Monitoring!$A16)</f>
        <v>0</v>
      </c>
      <c r="AH16" s="53">
        <f>SUMIFS(Actual!$F:$F,Actual!$N:$N,Monitoring!AH$6,Actual!$A:$A,Monitoring!$A16)</f>
        <v>0</v>
      </c>
      <c r="AI16" s="53">
        <f>SUMIFS(Actual!$F:$F,Actual!$N:$N,Monitoring!AI$6,Actual!$A:$A,Monitoring!$A16)</f>
        <v>0</v>
      </c>
      <c r="AJ16" s="53">
        <f>SUMIFS(Actual!$F:$F,Actual!$N:$N,Monitoring!AJ$6,Actual!$A:$A,Monitoring!$A16)</f>
        <v>0</v>
      </c>
      <c r="AK16" s="53">
        <f>SUMIFS(Actual!$F:$F,Actual!$N:$N,Monitoring!AK$6,Actual!$A:$A,Monitoring!$A16)</f>
        <v>0</v>
      </c>
      <c r="AL16" s="53">
        <f>SUMIFS(Actual!$F:$F,Actual!$N:$N,Monitoring!AL$6,Actual!$A:$A,Monitoring!$A16)</f>
        <v>0</v>
      </c>
      <c r="AM16" s="53">
        <f>SUMIFS(Actual!$F:$F,Actual!$N:$N,Monitoring!AM$6,Actual!$A:$A,Monitoring!$A16)</f>
        <v>0</v>
      </c>
      <c r="AN16" s="53">
        <f>SUMIFS(Actual!$F:$F,Actual!$N:$N,Monitoring!AN$6,Actual!$A:$A,Monitoring!$A16)</f>
        <v>0</v>
      </c>
      <c r="AO16" s="53">
        <f>SUMIFS(Actual!$F:$F,Actual!$N:$N,Monitoring!AO$6,Actual!$A:$A,Monitoring!$A16)</f>
        <v>0</v>
      </c>
      <c r="AP16" s="53">
        <f t="shared" si="19"/>
        <v>356250</v>
      </c>
      <c r="AQ16" s="53">
        <f t="shared" si="20"/>
        <v>0</v>
      </c>
      <c r="AR16" s="53">
        <f t="shared" si="21"/>
        <v>0</v>
      </c>
      <c r="AS16" s="1">
        <f t="shared" si="22"/>
        <v>356250</v>
      </c>
      <c r="AT16" s="12">
        <f t="shared" si="23"/>
        <v>0</v>
      </c>
      <c r="AU16" s="1"/>
      <c r="AV16" s="53">
        <f t="shared" si="24"/>
        <v>0</v>
      </c>
      <c r="AW16" s="1">
        <f t="shared" si="25"/>
        <v>0</v>
      </c>
      <c r="AX16" s="1">
        <f t="shared" si="26"/>
        <v>0</v>
      </c>
      <c r="AY16" s="1">
        <f t="shared" si="27"/>
        <v>0</v>
      </c>
      <c r="AZ16" s="1">
        <f t="shared" si="28"/>
        <v>0</v>
      </c>
      <c r="BA16" s="1">
        <f t="shared" si="29"/>
        <v>0</v>
      </c>
      <c r="BB16" s="1">
        <f t="shared" si="30"/>
        <v>0</v>
      </c>
      <c r="BC16" s="1">
        <f t="shared" si="31"/>
        <v>0</v>
      </c>
      <c r="BD16" s="1">
        <f t="shared" si="32"/>
        <v>0</v>
      </c>
      <c r="BE16" s="1">
        <f t="shared" si="33"/>
        <v>356250</v>
      </c>
      <c r="BF16" s="1">
        <f t="shared" si="34"/>
        <v>356250</v>
      </c>
      <c r="BG16" s="1">
        <f t="shared" si="35"/>
        <v>356250</v>
      </c>
      <c r="BH16">
        <f t="shared" si="36"/>
        <v>10</v>
      </c>
    </row>
    <row r="17" spans="1:60" s="62" customFormat="1" x14ac:dyDescent="0.35">
      <c r="A17">
        <v>10001312</v>
      </c>
      <c r="B17" t="s">
        <v>636</v>
      </c>
      <c r="C17" t="s">
        <v>9</v>
      </c>
      <c r="D17" t="s">
        <v>9</v>
      </c>
      <c r="E17" s="72"/>
      <c r="F17" s="72" t="s">
        <v>1814</v>
      </c>
      <c r="G17" s="75" t="s">
        <v>1792</v>
      </c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3">
        <f>_xlfn.XLOOKUP(A17,Malls!B:B,Malls!G:G)</f>
        <v>12232.14</v>
      </c>
      <c r="S17" s="74"/>
      <c r="T17">
        <f>_xlfn.XLOOKUP(M17,[1]Sheet1!$A:$A,[1]Sheet1!$E:$E)</f>
        <v>0</v>
      </c>
      <c r="U17" s="74"/>
      <c r="V17" s="74"/>
      <c r="W17" s="74"/>
      <c r="X17" s="72"/>
      <c r="Z17" s="1">
        <f>_xlfn.XLOOKUP(A17,'SAP Report'!A:A,'SAP Report'!C:C)</f>
        <v>12232.14</v>
      </c>
      <c r="AA17" s="1">
        <f>HLOOKUP($A$4,$AV$6:$BG17,(2+BH16),FALSE)</f>
        <v>0</v>
      </c>
      <c r="AB17" s="1">
        <f>SUMIF('Open PR PO'!A:A,Monitoring!A17,'Open PR PO'!K:K)</f>
        <v>12232.14</v>
      </c>
      <c r="AC17" s="1">
        <f t="shared" si="37"/>
        <v>12232.14</v>
      </c>
      <c r="AD17" s="1">
        <f t="shared" si="38"/>
        <v>0</v>
      </c>
      <c r="AE17" s="1">
        <f t="shared" si="39"/>
        <v>12232.14</v>
      </c>
      <c r="AF17" s="1"/>
      <c r="AG17" s="53">
        <f>SUMIFS(Actual!$F:$F,Actual!$N:$N,Monitoring!AG$6,Actual!$A:$A,Monitoring!$A17)</f>
        <v>0</v>
      </c>
      <c r="AH17" s="53">
        <f>SUMIFS(Actual!$F:$F,Actual!$N:$N,Monitoring!AH$6,Actual!$A:$A,Monitoring!$A17)</f>
        <v>0</v>
      </c>
      <c r="AI17" s="53">
        <f>SUMIFS(Actual!$F:$F,Actual!$N:$N,Monitoring!AI$6,Actual!$A:$A,Monitoring!$A17)</f>
        <v>0</v>
      </c>
      <c r="AJ17" s="53">
        <f>SUMIFS(Actual!$F:$F,Actual!$N:$N,Monitoring!AJ$6,Actual!$A:$A,Monitoring!$A17)</f>
        <v>0</v>
      </c>
      <c r="AK17" s="53">
        <f>SUMIFS(Actual!$F:$F,Actual!$N:$N,Monitoring!AK$6,Actual!$A:$A,Monitoring!$A17)</f>
        <v>0</v>
      </c>
      <c r="AL17" s="53">
        <f>SUMIFS(Actual!$F:$F,Actual!$N:$N,Monitoring!AL$6,Actual!$A:$A,Monitoring!$A17)</f>
        <v>0</v>
      </c>
      <c r="AM17" s="53">
        <f>SUMIFS(Actual!$F:$F,Actual!$N:$N,Monitoring!AM$6,Actual!$A:$A,Monitoring!$A17)</f>
        <v>0</v>
      </c>
      <c r="AN17" s="53">
        <f>SUMIFS(Actual!$F:$F,Actual!$N:$N,Monitoring!AN$6,Actual!$A:$A,Monitoring!$A17)</f>
        <v>0</v>
      </c>
      <c r="AO17" s="53">
        <f>SUMIFS(Actual!$F:$F,Actual!$N:$N,Monitoring!AO$6,Actual!$A:$A,Monitoring!$A17)</f>
        <v>0</v>
      </c>
      <c r="AP17" s="53">
        <f t="shared" si="19"/>
        <v>12232.14</v>
      </c>
      <c r="AQ17" s="53">
        <f t="shared" si="20"/>
        <v>0</v>
      </c>
      <c r="AR17" s="53">
        <f t="shared" si="21"/>
        <v>0</v>
      </c>
      <c r="AS17" s="1">
        <f t="shared" si="22"/>
        <v>12232.14</v>
      </c>
      <c r="AT17" s="12">
        <f t="shared" si="23"/>
        <v>0</v>
      </c>
      <c r="AU17" s="1"/>
      <c r="AV17" s="53">
        <f t="shared" si="24"/>
        <v>0</v>
      </c>
      <c r="AW17" s="1">
        <f t="shared" si="25"/>
        <v>0</v>
      </c>
      <c r="AX17" s="1">
        <f t="shared" si="26"/>
        <v>0</v>
      </c>
      <c r="AY17" s="1">
        <f t="shared" si="27"/>
        <v>0</v>
      </c>
      <c r="AZ17" s="1">
        <f t="shared" si="28"/>
        <v>0</v>
      </c>
      <c r="BA17" s="1">
        <f t="shared" si="29"/>
        <v>0</v>
      </c>
      <c r="BB17" s="1">
        <f t="shared" si="30"/>
        <v>0</v>
      </c>
      <c r="BC17" s="1">
        <f t="shared" si="31"/>
        <v>0</v>
      </c>
      <c r="BD17" s="1">
        <f t="shared" si="32"/>
        <v>0</v>
      </c>
      <c r="BE17" s="1">
        <f t="shared" si="33"/>
        <v>12232.14</v>
      </c>
      <c r="BF17" s="1">
        <f t="shared" si="34"/>
        <v>12232.14</v>
      </c>
      <c r="BG17" s="1">
        <f t="shared" si="35"/>
        <v>12232.14</v>
      </c>
      <c r="BH17">
        <f t="shared" si="36"/>
        <v>11</v>
      </c>
    </row>
    <row r="18" spans="1:60" s="62" customFormat="1" x14ac:dyDescent="0.35">
      <c r="A18">
        <v>10001315</v>
      </c>
      <c r="B18" t="s">
        <v>637</v>
      </c>
      <c r="C18" t="s">
        <v>9</v>
      </c>
      <c r="D18" t="s">
        <v>9</v>
      </c>
      <c r="E18" s="72"/>
      <c r="F18" s="72" t="s">
        <v>1814</v>
      </c>
      <c r="G18" s="75" t="s">
        <v>1792</v>
      </c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3">
        <f>_xlfn.XLOOKUP(A18,Malls!B:B,Malls!G:G)</f>
        <v>26321.43</v>
      </c>
      <c r="S18" s="74"/>
      <c r="T18">
        <f>_xlfn.XLOOKUP(M18,[1]Sheet1!$A:$A,[1]Sheet1!$E:$E)</f>
        <v>0</v>
      </c>
      <c r="U18" s="74"/>
      <c r="V18" s="74"/>
      <c r="W18" s="74"/>
      <c r="X18" s="72"/>
      <c r="Z18" s="1">
        <f>_xlfn.XLOOKUP(A18,'SAP Report'!A:A,'SAP Report'!C:C)</f>
        <v>26321.43</v>
      </c>
      <c r="AA18" s="1">
        <f>HLOOKUP($A$4,$AV$6:$BG18,(2+BH17),FALSE)</f>
        <v>133464.29</v>
      </c>
      <c r="AB18" s="1">
        <f>SUMIF('Open PR PO'!A:A,Monitoring!A18,'Open PR PO'!K:K)</f>
        <v>0</v>
      </c>
      <c r="AC18" s="1">
        <f t="shared" si="37"/>
        <v>133464.29</v>
      </c>
      <c r="AD18" s="1">
        <f t="shared" si="38"/>
        <v>-107142.86000000002</v>
      </c>
      <c r="AE18" s="1">
        <f t="shared" si="39"/>
        <v>-107142.86000000002</v>
      </c>
      <c r="AF18" s="1"/>
      <c r="AG18" s="53">
        <f>SUMIFS(Actual!$F:$F,Actual!$N:$N,Monitoring!AG$6,Actual!$A:$A,Monitoring!$A18)</f>
        <v>133464.29</v>
      </c>
      <c r="AH18" s="53">
        <f>SUMIFS(Actual!$F:$F,Actual!$N:$N,Monitoring!AH$6,Actual!$A:$A,Monitoring!$A18)</f>
        <v>0</v>
      </c>
      <c r="AI18" s="53">
        <f>SUMIFS(Actual!$F:$F,Actual!$N:$N,Monitoring!AI$6,Actual!$A:$A,Monitoring!$A18)</f>
        <v>0</v>
      </c>
      <c r="AJ18" s="53">
        <f>SUMIFS(Actual!$F:$F,Actual!$N:$N,Monitoring!AJ$6,Actual!$A:$A,Monitoring!$A18)</f>
        <v>0</v>
      </c>
      <c r="AK18" s="53">
        <f>SUMIFS(Actual!$F:$F,Actual!$N:$N,Monitoring!AK$6,Actual!$A:$A,Monitoring!$A18)</f>
        <v>0</v>
      </c>
      <c r="AL18" s="53">
        <f>SUMIFS(Actual!$F:$F,Actual!$N:$N,Monitoring!AL$6,Actual!$A:$A,Monitoring!$A18)</f>
        <v>0</v>
      </c>
      <c r="AM18" s="53">
        <f>SUMIFS(Actual!$F:$F,Actual!$N:$N,Monitoring!AM$6,Actual!$A:$A,Monitoring!$A18)</f>
        <v>0</v>
      </c>
      <c r="AN18" s="53">
        <f>SUMIFS(Actual!$F:$F,Actual!$N:$N,Monitoring!AN$6,Actual!$A:$A,Monitoring!$A18)</f>
        <v>0</v>
      </c>
      <c r="AO18" s="53">
        <f>SUMIFS(Actual!$F:$F,Actual!$N:$N,Monitoring!AO$6,Actual!$A:$A,Monitoring!$A18)</f>
        <v>0</v>
      </c>
      <c r="AP18" s="53">
        <f t="shared" si="19"/>
        <v>0</v>
      </c>
      <c r="AQ18" s="53">
        <f t="shared" si="20"/>
        <v>-53571.430000000008</v>
      </c>
      <c r="AR18" s="53">
        <f t="shared" si="21"/>
        <v>-53571.430000000008</v>
      </c>
      <c r="AS18" s="1">
        <f t="shared" si="22"/>
        <v>26321.429999999993</v>
      </c>
      <c r="AT18" s="12">
        <f t="shared" si="23"/>
        <v>0</v>
      </c>
      <c r="AU18" s="1"/>
      <c r="AV18" s="53">
        <f t="shared" si="24"/>
        <v>133464.29</v>
      </c>
      <c r="AW18" s="1">
        <f t="shared" si="25"/>
        <v>133464.29</v>
      </c>
      <c r="AX18" s="1">
        <f t="shared" si="26"/>
        <v>133464.29</v>
      </c>
      <c r="AY18" s="1">
        <f t="shared" si="27"/>
        <v>133464.29</v>
      </c>
      <c r="AZ18" s="1">
        <f t="shared" si="28"/>
        <v>133464.29</v>
      </c>
      <c r="BA18" s="1">
        <f t="shared" si="29"/>
        <v>133464.29</v>
      </c>
      <c r="BB18" s="1">
        <f t="shared" si="30"/>
        <v>133464.29</v>
      </c>
      <c r="BC18" s="1">
        <f t="shared" si="31"/>
        <v>133464.29</v>
      </c>
      <c r="BD18" s="1">
        <f t="shared" si="32"/>
        <v>133464.29</v>
      </c>
      <c r="BE18" s="1">
        <f t="shared" si="33"/>
        <v>133464.29</v>
      </c>
      <c r="BF18" s="1">
        <f t="shared" si="34"/>
        <v>79892.86</v>
      </c>
      <c r="BG18" s="1">
        <f t="shared" si="35"/>
        <v>26321.429999999993</v>
      </c>
      <c r="BH18">
        <f t="shared" si="36"/>
        <v>12</v>
      </c>
    </row>
    <row r="19" spans="1:60" s="62" customFormat="1" x14ac:dyDescent="0.35">
      <c r="A19">
        <v>10001342</v>
      </c>
      <c r="B19" t="s">
        <v>638</v>
      </c>
      <c r="C19" t="s">
        <v>9</v>
      </c>
      <c r="D19" t="s">
        <v>9</v>
      </c>
      <c r="E19" s="72"/>
      <c r="F19" s="72" t="s">
        <v>1814</v>
      </c>
      <c r="G19" s="75" t="s">
        <v>1792</v>
      </c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3">
        <f>_xlfn.XLOOKUP(A19,Malls!B:B,Malls!G:G)</f>
        <v>341960.05</v>
      </c>
      <c r="S19" s="74"/>
      <c r="T19">
        <f>_xlfn.XLOOKUP(M19,[1]Sheet1!$A:$A,[1]Sheet1!$E:$E)</f>
        <v>0</v>
      </c>
      <c r="U19" s="74"/>
      <c r="V19" s="74"/>
      <c r="W19" s="74"/>
      <c r="X19" s="72"/>
      <c r="Z19" s="1">
        <f>_xlfn.XLOOKUP(A19,'SAP Report'!A:A,'SAP Report'!C:C)</f>
        <v>341960.05</v>
      </c>
      <c r="AA19" s="1">
        <f>HLOOKUP($A$4,$AV$6:$BG19,(2+BH18),FALSE)</f>
        <v>208214.29</v>
      </c>
      <c r="AB19" s="1">
        <f>SUMIF('Open PR PO'!A:A,Monitoring!A19,'Open PR PO'!K:K)</f>
        <v>133745.76</v>
      </c>
      <c r="AC19" s="1">
        <f t="shared" si="37"/>
        <v>341960.05000000005</v>
      </c>
      <c r="AD19" s="1">
        <f t="shared" si="38"/>
        <v>0</v>
      </c>
      <c r="AE19" s="1">
        <f t="shared" si="39"/>
        <v>133745.75999999998</v>
      </c>
      <c r="AF19" s="1"/>
      <c r="AG19" s="53">
        <f>SUMIFS(Actual!$F:$F,Actual!$N:$N,Monitoring!AG$6,Actual!$A:$A,Monitoring!$A19)</f>
        <v>0</v>
      </c>
      <c r="AH19" s="53">
        <f>SUMIFS(Actual!$F:$F,Actual!$N:$N,Monitoring!AH$6,Actual!$A:$A,Monitoring!$A19)</f>
        <v>0</v>
      </c>
      <c r="AI19" s="53">
        <f>SUMIFS(Actual!$F:$F,Actual!$N:$N,Monitoring!AI$6,Actual!$A:$A,Monitoring!$A19)</f>
        <v>0</v>
      </c>
      <c r="AJ19" s="53">
        <f>SUMIFS(Actual!$F:$F,Actual!$N:$N,Monitoring!AJ$6,Actual!$A:$A,Monitoring!$A19)</f>
        <v>0</v>
      </c>
      <c r="AK19" s="53">
        <f>SUMIFS(Actual!$F:$F,Actual!$N:$N,Monitoring!AK$6,Actual!$A:$A,Monitoring!$A19)</f>
        <v>0</v>
      </c>
      <c r="AL19" s="53">
        <f>SUMIFS(Actual!$F:$F,Actual!$N:$N,Monitoring!AL$6,Actual!$A:$A,Monitoring!$A19)</f>
        <v>0</v>
      </c>
      <c r="AM19" s="53">
        <f>SUMIFS(Actual!$F:$F,Actual!$N:$N,Monitoring!AM$6,Actual!$A:$A,Monitoring!$A19)</f>
        <v>208214.29</v>
      </c>
      <c r="AN19" s="53">
        <f>SUMIFS(Actual!$F:$F,Actual!$N:$N,Monitoring!AN$6,Actual!$A:$A,Monitoring!$A19)</f>
        <v>0</v>
      </c>
      <c r="AO19" s="53">
        <f>SUMIFS(Actual!$F:$F,Actual!$N:$N,Monitoring!AO$6,Actual!$A:$A,Monitoring!$A19)</f>
        <v>0</v>
      </c>
      <c r="AP19" s="53">
        <f t="shared" si="19"/>
        <v>133745.76</v>
      </c>
      <c r="AQ19" s="53">
        <f t="shared" si="20"/>
        <v>0</v>
      </c>
      <c r="AR19" s="53">
        <f t="shared" si="21"/>
        <v>0</v>
      </c>
      <c r="AS19" s="1">
        <f t="shared" si="22"/>
        <v>341960.05000000005</v>
      </c>
      <c r="AT19" s="12">
        <f t="shared" si="23"/>
        <v>0</v>
      </c>
      <c r="AU19" s="1"/>
      <c r="AV19" s="53">
        <f t="shared" si="24"/>
        <v>0</v>
      </c>
      <c r="AW19" s="1">
        <f t="shared" si="25"/>
        <v>0</v>
      </c>
      <c r="AX19" s="1">
        <f t="shared" si="26"/>
        <v>0</v>
      </c>
      <c r="AY19" s="1">
        <f t="shared" si="27"/>
        <v>0</v>
      </c>
      <c r="AZ19" s="1">
        <f t="shared" si="28"/>
        <v>0</v>
      </c>
      <c r="BA19" s="1">
        <f t="shared" si="29"/>
        <v>0</v>
      </c>
      <c r="BB19" s="1">
        <f t="shared" si="30"/>
        <v>208214.29</v>
      </c>
      <c r="BC19" s="1">
        <f t="shared" si="31"/>
        <v>208214.29</v>
      </c>
      <c r="BD19" s="1">
        <f t="shared" si="32"/>
        <v>208214.29</v>
      </c>
      <c r="BE19" s="1">
        <f t="shared" si="33"/>
        <v>341960.05000000005</v>
      </c>
      <c r="BF19" s="1">
        <f t="shared" si="34"/>
        <v>341960.05000000005</v>
      </c>
      <c r="BG19" s="1">
        <f t="shared" si="35"/>
        <v>341960.05000000005</v>
      </c>
      <c r="BH19">
        <f t="shared" si="36"/>
        <v>13</v>
      </c>
    </row>
    <row r="20" spans="1:60" s="62" customFormat="1" x14ac:dyDescent="0.35">
      <c r="A20">
        <v>10001348</v>
      </c>
      <c r="B20" t="s">
        <v>639</v>
      </c>
      <c r="C20" t="s">
        <v>9</v>
      </c>
      <c r="D20" t="s">
        <v>9</v>
      </c>
      <c r="E20" s="72"/>
      <c r="F20" s="72" t="s">
        <v>1814</v>
      </c>
      <c r="G20" s="75" t="s">
        <v>1792</v>
      </c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3">
        <f>_xlfn.XLOOKUP(A20,Malls!B:B,Malls!G:G)</f>
        <v>486257.14</v>
      </c>
      <c r="S20" s="74"/>
      <c r="T20">
        <f>_xlfn.XLOOKUP(M20,[1]Sheet1!$A:$A,[1]Sheet1!$E:$E)</f>
        <v>0</v>
      </c>
      <c r="U20" s="74"/>
      <c r="V20" s="74"/>
      <c r="W20" s="74"/>
      <c r="X20" s="72"/>
      <c r="Z20" s="1">
        <f>_xlfn.XLOOKUP(A20,'SAP Report'!A:A,'SAP Report'!C:C)</f>
        <v>486257.14</v>
      </c>
      <c r="AA20" s="1">
        <f>HLOOKUP($A$4,$AV$6:$BG20,(2+BH19),FALSE)</f>
        <v>0</v>
      </c>
      <c r="AB20" s="1">
        <f>SUMIF('Open PR PO'!A:A,Monitoring!A20,'Open PR PO'!K:K)</f>
        <v>486257.14</v>
      </c>
      <c r="AC20" s="1">
        <f t="shared" si="37"/>
        <v>486257.14</v>
      </c>
      <c r="AD20" s="1">
        <f t="shared" si="38"/>
        <v>0</v>
      </c>
      <c r="AE20" s="1">
        <f t="shared" si="39"/>
        <v>486257.14</v>
      </c>
      <c r="AF20" s="1"/>
      <c r="AG20" s="53">
        <f>SUMIFS(Actual!$F:$F,Actual!$N:$N,Monitoring!AG$6,Actual!$A:$A,Monitoring!$A20)</f>
        <v>0</v>
      </c>
      <c r="AH20" s="53">
        <f>SUMIFS(Actual!$F:$F,Actual!$N:$N,Monitoring!AH$6,Actual!$A:$A,Monitoring!$A20)</f>
        <v>0</v>
      </c>
      <c r="AI20" s="53">
        <f>SUMIFS(Actual!$F:$F,Actual!$N:$N,Monitoring!AI$6,Actual!$A:$A,Monitoring!$A20)</f>
        <v>0</v>
      </c>
      <c r="AJ20" s="53">
        <f>SUMIFS(Actual!$F:$F,Actual!$N:$N,Monitoring!AJ$6,Actual!$A:$A,Monitoring!$A20)</f>
        <v>0</v>
      </c>
      <c r="AK20" s="53">
        <f>SUMIFS(Actual!$F:$F,Actual!$N:$N,Monitoring!AK$6,Actual!$A:$A,Monitoring!$A20)</f>
        <v>0</v>
      </c>
      <c r="AL20" s="53">
        <f>SUMIFS(Actual!$F:$F,Actual!$N:$N,Monitoring!AL$6,Actual!$A:$A,Monitoring!$A20)</f>
        <v>0</v>
      </c>
      <c r="AM20" s="53">
        <f>SUMIFS(Actual!$F:$F,Actual!$N:$N,Monitoring!AM$6,Actual!$A:$A,Monitoring!$A20)</f>
        <v>0</v>
      </c>
      <c r="AN20" s="53">
        <f>SUMIFS(Actual!$F:$F,Actual!$N:$N,Monitoring!AN$6,Actual!$A:$A,Monitoring!$A20)</f>
        <v>0</v>
      </c>
      <c r="AO20" s="53">
        <f>SUMIFS(Actual!$F:$F,Actual!$N:$N,Monitoring!AO$6,Actual!$A:$A,Monitoring!$A20)</f>
        <v>0</v>
      </c>
      <c r="AP20" s="53">
        <f t="shared" si="19"/>
        <v>486257.14</v>
      </c>
      <c r="AQ20" s="53">
        <f t="shared" si="20"/>
        <v>0</v>
      </c>
      <c r="AR20" s="53">
        <f t="shared" si="21"/>
        <v>0</v>
      </c>
      <c r="AS20" s="1">
        <f t="shared" si="22"/>
        <v>486257.14</v>
      </c>
      <c r="AT20" s="12">
        <f t="shared" si="23"/>
        <v>0</v>
      </c>
      <c r="AU20" s="1"/>
      <c r="AV20" s="53">
        <f t="shared" si="24"/>
        <v>0</v>
      </c>
      <c r="AW20" s="1">
        <f t="shared" si="25"/>
        <v>0</v>
      </c>
      <c r="AX20" s="1">
        <f t="shared" si="26"/>
        <v>0</v>
      </c>
      <c r="AY20" s="1">
        <f t="shared" si="27"/>
        <v>0</v>
      </c>
      <c r="AZ20" s="1">
        <f t="shared" si="28"/>
        <v>0</v>
      </c>
      <c r="BA20" s="1">
        <f t="shared" si="29"/>
        <v>0</v>
      </c>
      <c r="BB20" s="1">
        <f t="shared" si="30"/>
        <v>0</v>
      </c>
      <c r="BC20" s="1">
        <f t="shared" si="31"/>
        <v>0</v>
      </c>
      <c r="BD20" s="1">
        <f t="shared" si="32"/>
        <v>0</v>
      </c>
      <c r="BE20" s="1">
        <f t="shared" si="33"/>
        <v>486257.14</v>
      </c>
      <c r="BF20" s="1">
        <f t="shared" si="34"/>
        <v>486257.14</v>
      </c>
      <c r="BG20" s="1">
        <f t="shared" si="35"/>
        <v>486257.14</v>
      </c>
      <c r="BH20">
        <f t="shared" si="36"/>
        <v>14</v>
      </c>
    </row>
    <row r="21" spans="1:60" s="62" customFormat="1" x14ac:dyDescent="0.35">
      <c r="A21">
        <v>10001374</v>
      </c>
      <c r="B21" t="s">
        <v>640</v>
      </c>
      <c r="C21" t="s">
        <v>9</v>
      </c>
      <c r="D21" t="s">
        <v>9</v>
      </c>
      <c r="E21" s="72"/>
      <c r="F21" s="72" t="s">
        <v>1814</v>
      </c>
      <c r="G21" s="75" t="s">
        <v>1792</v>
      </c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3">
        <f>_xlfn.XLOOKUP(A21,Malls!B:B,Malls!G:G)</f>
        <v>1316964.29</v>
      </c>
      <c r="S21" s="74"/>
      <c r="T21">
        <f>_xlfn.XLOOKUP(M21,[1]Sheet1!$A:$A,[1]Sheet1!$E:$E)</f>
        <v>0</v>
      </c>
      <c r="U21" s="74"/>
      <c r="V21" s="74"/>
      <c r="W21" s="74"/>
      <c r="X21" s="72"/>
      <c r="Z21" s="1">
        <f>_xlfn.XLOOKUP(A21,'SAP Report'!A:A,'SAP Report'!C:C)</f>
        <v>1316964.29</v>
      </c>
      <c r="AA21" s="1">
        <f>HLOOKUP($A$4,$AV$6:$BG21,(2+BH20),FALSE)</f>
        <v>1316964.28</v>
      </c>
      <c r="AB21" s="1">
        <f>SUMIF('Open PR PO'!A:A,Monitoring!A21,'Open PR PO'!K:K)</f>
        <v>0</v>
      </c>
      <c r="AC21" s="1">
        <f t="shared" si="37"/>
        <v>1316964.28</v>
      </c>
      <c r="AD21" s="1">
        <f t="shared" si="38"/>
        <v>1.0000000009313226E-2</v>
      </c>
      <c r="AE21" s="1">
        <f t="shared" si="39"/>
        <v>1.0000000009313226E-2</v>
      </c>
      <c r="AF21" s="1"/>
      <c r="AG21" s="53">
        <f>SUMIFS(Actual!$F:$F,Actual!$N:$N,Monitoring!AG$6,Actual!$A:$A,Monitoring!$A21)</f>
        <v>0</v>
      </c>
      <c r="AH21" s="53">
        <f>SUMIFS(Actual!$F:$F,Actual!$N:$N,Monitoring!AH$6,Actual!$A:$A,Monitoring!$A21)</f>
        <v>363616.07</v>
      </c>
      <c r="AI21" s="53">
        <f>SUMIFS(Actual!$F:$F,Actual!$N:$N,Monitoring!AI$6,Actual!$A:$A,Monitoring!$A21)</f>
        <v>828125</v>
      </c>
      <c r="AJ21" s="53">
        <f>SUMIFS(Actual!$F:$F,Actual!$N:$N,Monitoring!AJ$6,Actual!$A:$A,Monitoring!$A21)</f>
        <v>125223.21</v>
      </c>
      <c r="AK21" s="53">
        <f>SUMIFS(Actual!$F:$F,Actual!$N:$N,Monitoring!AK$6,Actual!$A:$A,Monitoring!$A21)</f>
        <v>0</v>
      </c>
      <c r="AL21" s="53">
        <f>SUMIFS(Actual!$F:$F,Actual!$N:$N,Monitoring!AL$6,Actual!$A:$A,Monitoring!$A21)</f>
        <v>0</v>
      </c>
      <c r="AM21" s="53">
        <f>SUMIFS(Actual!$F:$F,Actual!$N:$N,Monitoring!AM$6,Actual!$A:$A,Monitoring!$A21)</f>
        <v>0</v>
      </c>
      <c r="AN21" s="53">
        <f>SUMIFS(Actual!$F:$F,Actual!$N:$N,Monitoring!AN$6,Actual!$A:$A,Monitoring!$A21)</f>
        <v>0</v>
      </c>
      <c r="AO21" s="53">
        <f>SUMIFS(Actual!$F:$F,Actual!$N:$N,Monitoring!AO$6,Actual!$A:$A,Monitoring!$A21)</f>
        <v>0</v>
      </c>
      <c r="AP21" s="53">
        <f t="shared" si="19"/>
        <v>0</v>
      </c>
      <c r="AQ21" s="53">
        <f t="shared" si="20"/>
        <v>5.0000000046566129E-3</v>
      </c>
      <c r="AR21" s="53">
        <f t="shared" si="21"/>
        <v>5.0000000046566129E-3</v>
      </c>
      <c r="AS21" s="1">
        <f t="shared" si="22"/>
        <v>1316964.29</v>
      </c>
      <c r="AT21" s="12">
        <f t="shared" si="23"/>
        <v>0</v>
      </c>
      <c r="AU21" s="1"/>
      <c r="AV21" s="53">
        <f t="shared" si="24"/>
        <v>0</v>
      </c>
      <c r="AW21" s="1">
        <f t="shared" si="25"/>
        <v>363616.07</v>
      </c>
      <c r="AX21" s="1">
        <f t="shared" si="26"/>
        <v>1191741.07</v>
      </c>
      <c r="AY21" s="1">
        <f t="shared" si="27"/>
        <v>1316964.28</v>
      </c>
      <c r="AZ21" s="1">
        <f t="shared" si="28"/>
        <v>1316964.28</v>
      </c>
      <c r="BA21" s="1">
        <f t="shared" si="29"/>
        <v>1316964.28</v>
      </c>
      <c r="BB21" s="1">
        <f t="shared" si="30"/>
        <v>1316964.28</v>
      </c>
      <c r="BC21" s="1">
        <f t="shared" si="31"/>
        <v>1316964.28</v>
      </c>
      <c r="BD21" s="1">
        <f t="shared" si="32"/>
        <v>1316964.28</v>
      </c>
      <c r="BE21" s="1">
        <f t="shared" si="33"/>
        <v>1316964.28</v>
      </c>
      <c r="BF21" s="1">
        <f t="shared" si="34"/>
        <v>1316964.2850000001</v>
      </c>
      <c r="BG21" s="1">
        <f t="shared" si="35"/>
        <v>1316964.29</v>
      </c>
      <c r="BH21">
        <f t="shared" si="36"/>
        <v>15</v>
      </c>
    </row>
    <row r="22" spans="1:60" s="62" customFormat="1" x14ac:dyDescent="0.35">
      <c r="A22">
        <v>10001298</v>
      </c>
      <c r="B22" t="s">
        <v>120</v>
      </c>
      <c r="C22" t="s">
        <v>766</v>
      </c>
      <c r="D22" t="s">
        <v>766</v>
      </c>
      <c r="E22" s="72"/>
      <c r="F22" s="72" t="s">
        <v>1814</v>
      </c>
      <c r="G22" s="75" t="s">
        <v>1792</v>
      </c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3">
        <f t="shared" ref="R22:R60" si="40">Z22</f>
        <v>7190.4</v>
      </c>
      <c r="S22" s="74"/>
      <c r="T22" s="73"/>
      <c r="U22" s="74"/>
      <c r="V22" s="74"/>
      <c r="W22" s="74"/>
      <c r="X22" s="72"/>
      <c r="Z22" s="1">
        <f>_xlfn.XLOOKUP(A22,'SAP Report'!A:A,'SAP Report'!C:C)</f>
        <v>7190.4</v>
      </c>
      <c r="AA22" s="1">
        <f>HLOOKUP($A$4,$AV$6:$BG22,(2+BH21),FALSE)</f>
        <v>-0.01</v>
      </c>
      <c r="AB22" s="1">
        <f>SUMIF('Open PR PO'!A:A,Monitoring!A22,'Open PR PO'!K:K)</f>
        <v>7190.4</v>
      </c>
      <c r="AC22" s="1">
        <f t="shared" si="37"/>
        <v>7190.3899999999994</v>
      </c>
      <c r="AD22" s="1">
        <f t="shared" si="38"/>
        <v>1.0000000000218279E-2</v>
      </c>
      <c r="AE22" s="1">
        <f t="shared" si="39"/>
        <v>7190.41</v>
      </c>
      <c r="AF22" s="1"/>
      <c r="AG22" s="53">
        <f>SUMIFS(Actual!$F:$F,Actual!$N:$N,Monitoring!AG$6,Actual!$A:$A,Monitoring!$A22)</f>
        <v>0</v>
      </c>
      <c r="AH22" s="53">
        <f>SUMIFS(Actual!$F:$F,Actual!$N:$N,Monitoring!AH$6,Actual!$A:$A,Monitoring!$A22)</f>
        <v>0</v>
      </c>
      <c r="AI22" s="53">
        <f>SUMIFS(Actual!$F:$F,Actual!$N:$N,Monitoring!AI$6,Actual!$A:$A,Monitoring!$A22)</f>
        <v>0</v>
      </c>
      <c r="AJ22" s="53">
        <f>SUMIFS(Actual!$F:$F,Actual!$N:$N,Monitoring!AJ$6,Actual!$A:$A,Monitoring!$A22)</f>
        <v>0</v>
      </c>
      <c r="AK22" s="53">
        <f>SUMIFS(Actual!$F:$F,Actual!$N:$N,Monitoring!AK$6,Actual!$A:$A,Monitoring!$A22)</f>
        <v>0</v>
      </c>
      <c r="AL22" s="53">
        <f>SUMIFS(Actual!$F:$F,Actual!$N:$N,Monitoring!AL$6,Actual!$A:$A,Monitoring!$A22)</f>
        <v>-0.01</v>
      </c>
      <c r="AM22" s="53">
        <f>SUMIFS(Actual!$F:$F,Actual!$N:$N,Monitoring!AM$6,Actual!$A:$A,Monitoring!$A22)</f>
        <v>0</v>
      </c>
      <c r="AN22" s="53">
        <f>SUMIFS(Actual!$F:$F,Actual!$N:$N,Monitoring!AN$6,Actual!$A:$A,Monitoring!$A22)</f>
        <v>0</v>
      </c>
      <c r="AO22" s="53">
        <f>SUMIFS(Actual!$F:$F,Actual!$N:$N,Monitoring!AO$6,Actual!$A:$A,Monitoring!$A22)</f>
        <v>0</v>
      </c>
      <c r="AP22" s="53">
        <f t="shared" si="19"/>
        <v>7190.4</v>
      </c>
      <c r="AQ22" s="53">
        <f t="shared" si="20"/>
        <v>5.0000000001091394E-3</v>
      </c>
      <c r="AR22" s="53">
        <f t="shared" si="21"/>
        <v>5.0000000001091394E-3</v>
      </c>
      <c r="AS22" s="1">
        <f t="shared" si="22"/>
        <v>7190.4</v>
      </c>
      <c r="AT22" s="12">
        <f t="shared" si="23"/>
        <v>0</v>
      </c>
      <c r="AU22" s="1"/>
      <c r="AV22" s="53">
        <f t="shared" si="24"/>
        <v>0</v>
      </c>
      <c r="AW22" s="1">
        <f t="shared" si="25"/>
        <v>0</v>
      </c>
      <c r="AX22" s="1">
        <f t="shared" si="26"/>
        <v>0</v>
      </c>
      <c r="AY22" s="1">
        <f t="shared" si="27"/>
        <v>0</v>
      </c>
      <c r="AZ22" s="1">
        <f t="shared" si="28"/>
        <v>0</v>
      </c>
      <c r="BA22" s="1">
        <f t="shared" si="29"/>
        <v>-0.01</v>
      </c>
      <c r="BB22" s="1">
        <f t="shared" si="30"/>
        <v>-0.01</v>
      </c>
      <c r="BC22" s="1">
        <f t="shared" si="31"/>
        <v>-0.01</v>
      </c>
      <c r="BD22" s="1">
        <f t="shared" si="32"/>
        <v>-0.01</v>
      </c>
      <c r="BE22" s="1">
        <f t="shared" si="33"/>
        <v>7190.3899999999994</v>
      </c>
      <c r="BF22" s="1">
        <f t="shared" si="34"/>
        <v>7190.3949999999995</v>
      </c>
      <c r="BG22" s="1">
        <f t="shared" si="35"/>
        <v>7190.4</v>
      </c>
      <c r="BH22">
        <f t="shared" si="36"/>
        <v>16</v>
      </c>
    </row>
    <row r="23" spans="1:60" s="62" customFormat="1" x14ac:dyDescent="0.35">
      <c r="A23">
        <v>10001322</v>
      </c>
      <c r="B23" t="s">
        <v>389</v>
      </c>
      <c r="C23" t="s">
        <v>766</v>
      </c>
      <c r="D23" t="s">
        <v>766</v>
      </c>
      <c r="E23" s="72"/>
      <c r="F23" s="72" t="s">
        <v>1814</v>
      </c>
      <c r="G23" s="75" t="s">
        <v>1792</v>
      </c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3">
        <f t="shared" si="40"/>
        <v>15000000</v>
      </c>
      <c r="S23" s="74"/>
      <c r="T23" s="73"/>
      <c r="U23" s="74"/>
      <c r="V23" s="74"/>
      <c r="W23" s="74"/>
      <c r="X23" s="72"/>
      <c r="Z23" s="1">
        <f>_xlfn.XLOOKUP(A23,'SAP Report'!A:A,'SAP Report'!C:C)</f>
        <v>15000000</v>
      </c>
      <c r="AA23" s="1">
        <f>HLOOKUP($A$4,$AV$6:$BG23,(2+BH22),FALSE)</f>
        <v>6300000</v>
      </c>
      <c r="AB23" s="1">
        <f>SUMIF('Open PR PO'!A:A,Monitoring!A23,'Open PR PO'!K:K)</f>
        <v>8700000</v>
      </c>
      <c r="AC23" s="1">
        <f t="shared" si="37"/>
        <v>15000000</v>
      </c>
      <c r="AD23" s="1">
        <f t="shared" si="38"/>
        <v>0</v>
      </c>
      <c r="AE23" s="1">
        <f t="shared" si="39"/>
        <v>8700000</v>
      </c>
      <c r="AF23" s="1"/>
      <c r="AG23" s="53">
        <f>SUMIFS(Actual!$F:$F,Actual!$N:$N,Monitoring!AG$6,Actual!$A:$A,Monitoring!$A23)</f>
        <v>0</v>
      </c>
      <c r="AH23" s="53">
        <f>SUMIFS(Actual!$F:$F,Actual!$N:$N,Monitoring!AH$6,Actual!$A:$A,Monitoring!$A23)</f>
        <v>0</v>
      </c>
      <c r="AI23" s="53">
        <f>SUMIFS(Actual!$F:$F,Actual!$N:$N,Monitoring!AI$6,Actual!$A:$A,Monitoring!$A23)</f>
        <v>0</v>
      </c>
      <c r="AJ23" s="53">
        <f>SUMIFS(Actual!$F:$F,Actual!$N:$N,Monitoring!AJ$6,Actual!$A:$A,Monitoring!$A23)</f>
        <v>0</v>
      </c>
      <c r="AK23" s="53">
        <f>SUMIFS(Actual!$F:$F,Actual!$N:$N,Monitoring!AK$6,Actual!$A:$A,Monitoring!$A23)</f>
        <v>6750000</v>
      </c>
      <c r="AL23" s="53">
        <f>SUMIFS(Actual!$F:$F,Actual!$N:$N,Monitoring!AL$6,Actual!$A:$A,Monitoring!$A23)</f>
        <v>0</v>
      </c>
      <c r="AM23" s="53">
        <f>SUMIFS(Actual!$F:$F,Actual!$N:$N,Monitoring!AM$6,Actual!$A:$A,Monitoring!$A23)</f>
        <v>-450000</v>
      </c>
      <c r="AN23" s="53">
        <f>SUMIFS(Actual!$F:$F,Actual!$N:$N,Monitoring!AN$6,Actual!$A:$A,Monitoring!$A23)</f>
        <v>0</v>
      </c>
      <c r="AO23" s="53">
        <f>SUMIFS(Actual!$F:$F,Actual!$N:$N,Monitoring!AO$6,Actual!$A:$A,Monitoring!$A23)</f>
        <v>0</v>
      </c>
      <c r="AP23" s="53">
        <f t="shared" si="19"/>
        <v>8700000</v>
      </c>
      <c r="AQ23" s="53">
        <f t="shared" si="20"/>
        <v>0</v>
      </c>
      <c r="AR23" s="53">
        <f t="shared" si="21"/>
        <v>0</v>
      </c>
      <c r="AS23" s="1">
        <f t="shared" si="22"/>
        <v>15000000</v>
      </c>
      <c r="AT23" s="12">
        <f t="shared" si="23"/>
        <v>0</v>
      </c>
      <c r="AU23" s="1"/>
      <c r="AV23" s="53">
        <f t="shared" si="24"/>
        <v>0</v>
      </c>
      <c r="AW23" s="1">
        <f t="shared" si="25"/>
        <v>0</v>
      </c>
      <c r="AX23" s="1">
        <f t="shared" si="26"/>
        <v>0</v>
      </c>
      <c r="AY23" s="1">
        <f t="shared" si="27"/>
        <v>0</v>
      </c>
      <c r="AZ23" s="1">
        <f t="shared" si="28"/>
        <v>6750000</v>
      </c>
      <c r="BA23" s="1">
        <f t="shared" si="29"/>
        <v>6750000</v>
      </c>
      <c r="BB23" s="1">
        <f t="shared" si="30"/>
        <v>6300000</v>
      </c>
      <c r="BC23" s="1">
        <f t="shared" si="31"/>
        <v>6300000</v>
      </c>
      <c r="BD23" s="1">
        <f t="shared" si="32"/>
        <v>6300000</v>
      </c>
      <c r="BE23" s="1">
        <f t="shared" si="33"/>
        <v>15000000</v>
      </c>
      <c r="BF23" s="1">
        <f t="shared" si="34"/>
        <v>15000000</v>
      </c>
      <c r="BG23" s="1">
        <f t="shared" si="35"/>
        <v>15000000</v>
      </c>
      <c r="BH23">
        <f t="shared" si="36"/>
        <v>17</v>
      </c>
    </row>
    <row r="24" spans="1:60" s="62" customFormat="1" x14ac:dyDescent="0.35">
      <c r="A24">
        <v>10001362</v>
      </c>
      <c r="B24" t="s">
        <v>122</v>
      </c>
      <c r="C24" t="s">
        <v>766</v>
      </c>
      <c r="D24" t="s">
        <v>766</v>
      </c>
      <c r="E24" s="72"/>
      <c r="F24" s="72" t="s">
        <v>1814</v>
      </c>
      <c r="G24" s="75" t="s">
        <v>1792</v>
      </c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3">
        <f t="shared" si="40"/>
        <v>366071.43</v>
      </c>
      <c r="S24" s="74"/>
      <c r="T24" s="73"/>
      <c r="U24" s="74"/>
      <c r="V24" s="74"/>
      <c r="W24" s="74"/>
      <c r="X24" s="72"/>
      <c r="Z24" s="1">
        <f>_xlfn.XLOOKUP(A24,'SAP Report'!A:A,'SAP Report'!C:C)</f>
        <v>366071.43</v>
      </c>
      <c r="AA24" s="1">
        <f>HLOOKUP($A$4,$AV$6:$BG24,(2+BH23),FALSE)</f>
        <v>366071.43</v>
      </c>
      <c r="AB24" s="1">
        <f>SUMIF('Open PR PO'!A:A,Monitoring!A24,'Open PR PO'!K:K)</f>
        <v>0</v>
      </c>
      <c r="AC24" s="1">
        <f t="shared" si="37"/>
        <v>366071.43</v>
      </c>
      <c r="AD24" s="1">
        <f t="shared" si="38"/>
        <v>0</v>
      </c>
      <c r="AE24" s="1">
        <f t="shared" si="39"/>
        <v>0</v>
      </c>
      <c r="AF24" s="1"/>
      <c r="AG24" s="53">
        <f>SUMIFS(Actual!$F:$F,Actual!$N:$N,Monitoring!AG$6,Actual!$A:$A,Monitoring!$A24)</f>
        <v>0</v>
      </c>
      <c r="AH24" s="53">
        <f>SUMIFS(Actual!$F:$F,Actual!$N:$N,Monitoring!AH$6,Actual!$A:$A,Monitoring!$A24)</f>
        <v>0</v>
      </c>
      <c r="AI24" s="53">
        <f>SUMIFS(Actual!$F:$F,Actual!$N:$N,Monitoring!AI$6,Actual!$A:$A,Monitoring!$A24)</f>
        <v>0</v>
      </c>
      <c r="AJ24" s="53">
        <f>SUMIFS(Actual!$F:$F,Actual!$N:$N,Monitoring!AJ$6,Actual!$A:$A,Monitoring!$A24)</f>
        <v>0</v>
      </c>
      <c r="AK24" s="53">
        <f>SUMIFS(Actual!$F:$F,Actual!$N:$N,Monitoring!AK$6,Actual!$A:$A,Monitoring!$A24)</f>
        <v>0</v>
      </c>
      <c r="AL24" s="53">
        <f>SUMIFS(Actual!$F:$F,Actual!$N:$N,Monitoring!AL$6,Actual!$A:$A,Monitoring!$A24)</f>
        <v>0</v>
      </c>
      <c r="AM24" s="53">
        <f>SUMIFS(Actual!$F:$F,Actual!$N:$N,Monitoring!AM$6,Actual!$A:$A,Monitoring!$A24)</f>
        <v>366071.43</v>
      </c>
      <c r="AN24" s="53">
        <f>SUMIFS(Actual!$F:$F,Actual!$N:$N,Monitoring!AN$6,Actual!$A:$A,Monitoring!$A24)</f>
        <v>0</v>
      </c>
      <c r="AO24" s="53">
        <f>SUMIFS(Actual!$F:$F,Actual!$N:$N,Monitoring!AO$6,Actual!$A:$A,Monitoring!$A24)</f>
        <v>0</v>
      </c>
      <c r="AP24" s="53">
        <f t="shared" si="19"/>
        <v>0</v>
      </c>
      <c r="AQ24" s="53">
        <f t="shared" si="20"/>
        <v>0</v>
      </c>
      <c r="AR24" s="53">
        <f t="shared" si="21"/>
        <v>0</v>
      </c>
      <c r="AS24" s="1">
        <f t="shared" si="22"/>
        <v>366071.43</v>
      </c>
      <c r="AT24" s="12">
        <f t="shared" si="23"/>
        <v>0</v>
      </c>
      <c r="AU24" s="1"/>
      <c r="AV24" s="53">
        <f t="shared" si="24"/>
        <v>0</v>
      </c>
      <c r="AW24" s="1">
        <f t="shared" si="25"/>
        <v>0</v>
      </c>
      <c r="AX24" s="1">
        <f t="shared" si="26"/>
        <v>0</v>
      </c>
      <c r="AY24" s="1">
        <f t="shared" si="27"/>
        <v>0</v>
      </c>
      <c r="AZ24" s="1">
        <f t="shared" si="28"/>
        <v>0</v>
      </c>
      <c r="BA24" s="1">
        <f t="shared" si="29"/>
        <v>0</v>
      </c>
      <c r="BB24" s="1">
        <f t="shared" si="30"/>
        <v>366071.43</v>
      </c>
      <c r="BC24" s="1">
        <f t="shared" si="31"/>
        <v>366071.43</v>
      </c>
      <c r="BD24" s="1">
        <f t="shared" si="32"/>
        <v>366071.43</v>
      </c>
      <c r="BE24" s="1">
        <f t="shared" si="33"/>
        <v>366071.43</v>
      </c>
      <c r="BF24" s="1">
        <f t="shared" si="34"/>
        <v>366071.43</v>
      </c>
      <c r="BG24" s="1">
        <f t="shared" si="35"/>
        <v>366071.43</v>
      </c>
      <c r="BH24">
        <f t="shared" si="36"/>
        <v>18</v>
      </c>
    </row>
    <row r="25" spans="1:60" s="62" customFormat="1" x14ac:dyDescent="0.35">
      <c r="A25">
        <v>10001372</v>
      </c>
      <c r="B25" t="s">
        <v>123</v>
      </c>
      <c r="C25" t="s">
        <v>766</v>
      </c>
      <c r="D25" t="s">
        <v>766</v>
      </c>
      <c r="E25" s="72"/>
      <c r="F25" s="72" t="s">
        <v>1814</v>
      </c>
      <c r="G25" s="75" t="s">
        <v>1792</v>
      </c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3">
        <f t="shared" si="40"/>
        <v>321428.57</v>
      </c>
      <c r="S25" s="74"/>
      <c r="T25" s="73"/>
      <c r="U25" s="74"/>
      <c r="V25" s="74"/>
      <c r="W25" s="74"/>
      <c r="X25" s="72"/>
      <c r="Z25" s="1">
        <f>_xlfn.XLOOKUP(A25,'SAP Report'!A:A,'SAP Report'!C:C)</f>
        <v>321428.57</v>
      </c>
      <c r="AA25" s="1">
        <f>HLOOKUP($A$4,$AV$6:$BG25,(2+BH24),FALSE)</f>
        <v>0</v>
      </c>
      <c r="AB25" s="1">
        <f>SUMIF('Open PR PO'!A:A,Monitoring!A25,'Open PR PO'!K:K)</f>
        <v>321428.57</v>
      </c>
      <c r="AC25" s="1">
        <f t="shared" si="37"/>
        <v>321428.57</v>
      </c>
      <c r="AD25" s="1">
        <f t="shared" si="38"/>
        <v>0</v>
      </c>
      <c r="AE25" s="1">
        <f t="shared" si="39"/>
        <v>321428.57</v>
      </c>
      <c r="AF25" s="1"/>
      <c r="AG25" s="53">
        <f>SUMIFS(Actual!$F:$F,Actual!$N:$N,Monitoring!AG$6,Actual!$A:$A,Monitoring!$A25)</f>
        <v>0</v>
      </c>
      <c r="AH25" s="53">
        <f>SUMIFS(Actual!$F:$F,Actual!$N:$N,Monitoring!AH$6,Actual!$A:$A,Monitoring!$A25)</f>
        <v>0</v>
      </c>
      <c r="AI25" s="53">
        <f>SUMIFS(Actual!$F:$F,Actual!$N:$N,Monitoring!AI$6,Actual!$A:$A,Monitoring!$A25)</f>
        <v>0</v>
      </c>
      <c r="AJ25" s="53">
        <f>SUMIFS(Actual!$F:$F,Actual!$N:$N,Monitoring!AJ$6,Actual!$A:$A,Monitoring!$A25)</f>
        <v>0</v>
      </c>
      <c r="AK25" s="53">
        <f>SUMIFS(Actual!$F:$F,Actual!$N:$N,Monitoring!AK$6,Actual!$A:$A,Monitoring!$A25)</f>
        <v>0</v>
      </c>
      <c r="AL25" s="53">
        <f>SUMIFS(Actual!$F:$F,Actual!$N:$N,Monitoring!AL$6,Actual!$A:$A,Monitoring!$A25)</f>
        <v>0</v>
      </c>
      <c r="AM25" s="53">
        <f>SUMIFS(Actual!$F:$F,Actual!$N:$N,Monitoring!AM$6,Actual!$A:$A,Monitoring!$A25)</f>
        <v>0</v>
      </c>
      <c r="AN25" s="53">
        <f>SUMIFS(Actual!$F:$F,Actual!$N:$N,Monitoring!AN$6,Actual!$A:$A,Monitoring!$A25)</f>
        <v>0</v>
      </c>
      <c r="AO25" s="53">
        <f>SUMIFS(Actual!$F:$F,Actual!$N:$N,Monitoring!AO$6,Actual!$A:$A,Monitoring!$A25)</f>
        <v>0</v>
      </c>
      <c r="AP25" s="53">
        <f t="shared" si="19"/>
        <v>321428.57</v>
      </c>
      <c r="AQ25" s="53">
        <f t="shared" si="20"/>
        <v>0</v>
      </c>
      <c r="AR25" s="53">
        <f t="shared" si="21"/>
        <v>0</v>
      </c>
      <c r="AS25" s="1">
        <f t="shared" si="22"/>
        <v>321428.57</v>
      </c>
      <c r="AT25" s="12">
        <f t="shared" si="23"/>
        <v>0</v>
      </c>
      <c r="AU25" s="1"/>
      <c r="AV25" s="53">
        <f t="shared" si="24"/>
        <v>0</v>
      </c>
      <c r="AW25" s="1">
        <f t="shared" si="25"/>
        <v>0</v>
      </c>
      <c r="AX25" s="1">
        <f t="shared" si="26"/>
        <v>0</v>
      </c>
      <c r="AY25" s="1">
        <f t="shared" si="27"/>
        <v>0</v>
      </c>
      <c r="AZ25" s="1">
        <f t="shared" si="28"/>
        <v>0</v>
      </c>
      <c r="BA25" s="1">
        <f t="shared" si="29"/>
        <v>0</v>
      </c>
      <c r="BB25" s="1">
        <f t="shared" si="30"/>
        <v>0</v>
      </c>
      <c r="BC25" s="1">
        <f t="shared" si="31"/>
        <v>0</v>
      </c>
      <c r="BD25" s="1">
        <f t="shared" si="32"/>
        <v>0</v>
      </c>
      <c r="BE25" s="1">
        <f t="shared" si="33"/>
        <v>321428.57</v>
      </c>
      <c r="BF25" s="1">
        <f t="shared" si="34"/>
        <v>321428.57</v>
      </c>
      <c r="BG25" s="1">
        <f t="shared" si="35"/>
        <v>321428.57</v>
      </c>
      <c r="BH25">
        <f t="shared" si="36"/>
        <v>19</v>
      </c>
    </row>
    <row r="26" spans="1:60" s="62" customFormat="1" x14ac:dyDescent="0.35">
      <c r="A26">
        <v>10001320</v>
      </c>
      <c r="B26" t="s">
        <v>121</v>
      </c>
      <c r="C26" t="s">
        <v>766</v>
      </c>
      <c r="D26" t="s">
        <v>766</v>
      </c>
      <c r="E26" s="72"/>
      <c r="F26" s="72" t="s">
        <v>1814</v>
      </c>
      <c r="G26" s="75" t="s">
        <v>1792</v>
      </c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3">
        <f t="shared" si="40"/>
        <v>875000</v>
      </c>
      <c r="S26" s="74"/>
      <c r="T26" s="73"/>
      <c r="U26" s="74"/>
      <c r="V26" s="74"/>
      <c r="W26" s="74"/>
      <c r="X26" s="72"/>
      <c r="Z26" s="1">
        <f>_xlfn.XLOOKUP(A26,'SAP Report'!A:A,'SAP Report'!C:C)</f>
        <v>875000</v>
      </c>
      <c r="AA26" s="1">
        <f>HLOOKUP($A$4,$AV$6:$BG26,(2+BH25),FALSE)</f>
        <v>0</v>
      </c>
      <c r="AB26" s="1">
        <f>SUMIF('Open PR PO'!A:A,Monitoring!A26,'Open PR PO'!K:K)</f>
        <v>875000</v>
      </c>
      <c r="AC26" s="1">
        <f t="shared" si="37"/>
        <v>875000</v>
      </c>
      <c r="AD26" s="1">
        <f t="shared" si="38"/>
        <v>0</v>
      </c>
      <c r="AE26" s="1">
        <f t="shared" si="39"/>
        <v>875000</v>
      </c>
      <c r="AF26" s="1"/>
      <c r="AG26" s="53">
        <f>SUMIFS(Actual!$F:$F,Actual!$N:$N,Monitoring!AG$6,Actual!$A:$A,Monitoring!$A26)</f>
        <v>0</v>
      </c>
      <c r="AH26" s="53">
        <f>SUMIFS(Actual!$F:$F,Actual!$N:$N,Monitoring!AH$6,Actual!$A:$A,Monitoring!$A26)</f>
        <v>0</v>
      </c>
      <c r="AI26" s="53">
        <f>SUMIFS(Actual!$F:$F,Actual!$N:$N,Monitoring!AI$6,Actual!$A:$A,Monitoring!$A26)</f>
        <v>0</v>
      </c>
      <c r="AJ26" s="53">
        <f>SUMIFS(Actual!$F:$F,Actual!$N:$N,Monitoring!AJ$6,Actual!$A:$A,Monitoring!$A26)</f>
        <v>0</v>
      </c>
      <c r="AK26" s="53">
        <f>SUMIFS(Actual!$F:$F,Actual!$N:$N,Monitoring!AK$6,Actual!$A:$A,Monitoring!$A26)</f>
        <v>0</v>
      </c>
      <c r="AL26" s="53">
        <f>SUMIFS(Actual!$F:$F,Actual!$N:$N,Monitoring!AL$6,Actual!$A:$A,Monitoring!$A26)</f>
        <v>0</v>
      </c>
      <c r="AM26" s="53">
        <f>SUMIFS(Actual!$F:$F,Actual!$N:$N,Monitoring!AM$6,Actual!$A:$A,Monitoring!$A26)</f>
        <v>0</v>
      </c>
      <c r="AN26" s="53">
        <f>SUMIFS(Actual!$F:$F,Actual!$N:$N,Monitoring!AN$6,Actual!$A:$A,Monitoring!$A26)</f>
        <v>0</v>
      </c>
      <c r="AO26" s="53">
        <f>SUMIFS(Actual!$F:$F,Actual!$N:$N,Monitoring!AO$6,Actual!$A:$A,Monitoring!$A26)</f>
        <v>0</v>
      </c>
      <c r="AP26" s="53">
        <f t="shared" si="19"/>
        <v>875000</v>
      </c>
      <c r="AQ26" s="53">
        <f t="shared" si="20"/>
        <v>0</v>
      </c>
      <c r="AR26" s="53">
        <f t="shared" si="21"/>
        <v>0</v>
      </c>
      <c r="AS26" s="1">
        <f t="shared" si="22"/>
        <v>875000</v>
      </c>
      <c r="AT26" s="12">
        <f t="shared" si="23"/>
        <v>0</v>
      </c>
      <c r="AU26" s="1"/>
      <c r="AV26" s="53">
        <f t="shared" si="24"/>
        <v>0</v>
      </c>
      <c r="AW26" s="1">
        <f t="shared" si="25"/>
        <v>0</v>
      </c>
      <c r="AX26" s="1">
        <f t="shared" si="26"/>
        <v>0</v>
      </c>
      <c r="AY26" s="1">
        <f t="shared" si="27"/>
        <v>0</v>
      </c>
      <c r="AZ26" s="1">
        <f t="shared" si="28"/>
        <v>0</v>
      </c>
      <c r="BA26" s="1">
        <f t="shared" si="29"/>
        <v>0</v>
      </c>
      <c r="BB26" s="1">
        <f t="shared" si="30"/>
        <v>0</v>
      </c>
      <c r="BC26" s="1">
        <f t="shared" si="31"/>
        <v>0</v>
      </c>
      <c r="BD26" s="1">
        <f t="shared" si="32"/>
        <v>0</v>
      </c>
      <c r="BE26" s="1">
        <f t="shared" si="33"/>
        <v>875000</v>
      </c>
      <c r="BF26" s="1">
        <f t="shared" si="34"/>
        <v>875000</v>
      </c>
      <c r="BG26" s="1">
        <f t="shared" si="35"/>
        <v>875000</v>
      </c>
      <c r="BH26">
        <f t="shared" si="36"/>
        <v>20</v>
      </c>
    </row>
    <row r="27" spans="1:60" s="62" customFormat="1" x14ac:dyDescent="0.35">
      <c r="A27">
        <v>10001378</v>
      </c>
      <c r="B27" t="s">
        <v>124</v>
      </c>
      <c r="C27" t="s">
        <v>766</v>
      </c>
      <c r="D27" t="s">
        <v>766</v>
      </c>
      <c r="E27" s="72"/>
      <c r="F27" s="72" t="s">
        <v>1814</v>
      </c>
      <c r="G27" s="75" t="s">
        <v>1792</v>
      </c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3">
        <f t="shared" si="40"/>
        <v>1178571.43</v>
      </c>
      <c r="S27" s="74"/>
      <c r="T27" s="73"/>
      <c r="U27" s="74"/>
      <c r="V27" s="74"/>
      <c r="W27" s="74"/>
      <c r="X27" s="72"/>
      <c r="Z27" s="1">
        <f>_xlfn.XLOOKUP(A27,'SAP Report'!A:A,'SAP Report'!C:C)</f>
        <v>1178571.43</v>
      </c>
      <c r="AA27" s="1">
        <f>HLOOKUP($A$4,$AV$6:$BG27,(2+BH26),FALSE)</f>
        <v>346071.43</v>
      </c>
      <c r="AB27" s="1">
        <f>SUMIF('Open PR PO'!A:A,Monitoring!A27,'Open PR PO'!K:K)</f>
        <v>832500</v>
      </c>
      <c r="AC27" s="1">
        <f t="shared" si="37"/>
        <v>1178571.43</v>
      </c>
      <c r="AD27" s="1">
        <f t="shared" si="38"/>
        <v>0</v>
      </c>
      <c r="AE27" s="1">
        <f t="shared" si="39"/>
        <v>832500</v>
      </c>
      <c r="AF27" s="1"/>
      <c r="AG27" s="53">
        <f>SUMIFS(Actual!$F:$F,Actual!$N:$N,Monitoring!AG$6,Actual!$A:$A,Monitoring!$A27)</f>
        <v>0</v>
      </c>
      <c r="AH27" s="53">
        <f>SUMIFS(Actual!$F:$F,Actual!$N:$N,Monitoring!AH$6,Actual!$A:$A,Monitoring!$A27)</f>
        <v>0</v>
      </c>
      <c r="AI27" s="53">
        <f>SUMIFS(Actual!$F:$F,Actual!$N:$N,Monitoring!AI$6,Actual!$A:$A,Monitoring!$A27)</f>
        <v>0</v>
      </c>
      <c r="AJ27" s="53">
        <f>SUMIFS(Actual!$F:$F,Actual!$N:$N,Monitoring!AJ$6,Actual!$A:$A,Monitoring!$A27)</f>
        <v>0</v>
      </c>
      <c r="AK27" s="53">
        <f>SUMIFS(Actual!$F:$F,Actual!$N:$N,Monitoring!AK$6,Actual!$A:$A,Monitoring!$A27)</f>
        <v>346071.43</v>
      </c>
      <c r="AL27" s="53">
        <f>SUMIFS(Actual!$F:$F,Actual!$N:$N,Monitoring!AL$6,Actual!$A:$A,Monitoring!$A27)</f>
        <v>0</v>
      </c>
      <c r="AM27" s="53">
        <f>SUMIFS(Actual!$F:$F,Actual!$N:$N,Monitoring!AM$6,Actual!$A:$A,Monitoring!$A27)</f>
        <v>0</v>
      </c>
      <c r="AN27" s="53">
        <f>SUMIFS(Actual!$F:$F,Actual!$N:$N,Monitoring!AN$6,Actual!$A:$A,Monitoring!$A27)</f>
        <v>0</v>
      </c>
      <c r="AO27" s="53">
        <f>SUMIFS(Actual!$F:$F,Actual!$N:$N,Monitoring!AO$6,Actual!$A:$A,Monitoring!$A27)</f>
        <v>0</v>
      </c>
      <c r="AP27" s="53">
        <f t="shared" si="19"/>
        <v>832500</v>
      </c>
      <c r="AQ27" s="53">
        <f t="shared" si="20"/>
        <v>0</v>
      </c>
      <c r="AR27" s="53">
        <f t="shared" si="21"/>
        <v>0</v>
      </c>
      <c r="AS27" s="1">
        <f t="shared" si="22"/>
        <v>1178571.43</v>
      </c>
      <c r="AT27" s="12">
        <f t="shared" si="23"/>
        <v>0</v>
      </c>
      <c r="AU27" s="1"/>
      <c r="AV27" s="53">
        <f t="shared" si="24"/>
        <v>0</v>
      </c>
      <c r="AW27" s="1">
        <f t="shared" si="25"/>
        <v>0</v>
      </c>
      <c r="AX27" s="1">
        <f t="shared" si="26"/>
        <v>0</v>
      </c>
      <c r="AY27" s="1">
        <f t="shared" si="27"/>
        <v>0</v>
      </c>
      <c r="AZ27" s="1">
        <f t="shared" si="28"/>
        <v>346071.43</v>
      </c>
      <c r="BA27" s="1">
        <f t="shared" si="29"/>
        <v>346071.43</v>
      </c>
      <c r="BB27" s="1">
        <f t="shared" si="30"/>
        <v>346071.43</v>
      </c>
      <c r="BC27" s="1">
        <f t="shared" si="31"/>
        <v>346071.43</v>
      </c>
      <c r="BD27" s="1">
        <f t="shared" si="32"/>
        <v>346071.43</v>
      </c>
      <c r="BE27" s="1">
        <f t="shared" si="33"/>
        <v>1178571.43</v>
      </c>
      <c r="BF27" s="1">
        <f t="shared" si="34"/>
        <v>1178571.43</v>
      </c>
      <c r="BG27" s="1">
        <f t="shared" si="35"/>
        <v>1178571.43</v>
      </c>
      <c r="BH27">
        <f t="shared" si="36"/>
        <v>21</v>
      </c>
    </row>
    <row r="28" spans="1:60" s="62" customFormat="1" x14ac:dyDescent="0.35">
      <c r="A28">
        <v>10001308</v>
      </c>
      <c r="B28" t="s">
        <v>113</v>
      </c>
      <c r="C28" t="s">
        <v>766</v>
      </c>
      <c r="D28" t="s">
        <v>766</v>
      </c>
      <c r="E28" s="72"/>
      <c r="F28" s="72" t="s">
        <v>1813</v>
      </c>
      <c r="G28" s="75" t="s">
        <v>1792</v>
      </c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3">
        <f t="shared" si="40"/>
        <v>25714285.710000001</v>
      </c>
      <c r="S28" s="74"/>
      <c r="T28" s="73"/>
      <c r="U28" s="74"/>
      <c r="V28" s="74"/>
      <c r="W28" s="74"/>
      <c r="X28" s="72"/>
      <c r="Z28" s="1">
        <f>_xlfn.XLOOKUP(A28,'SAP Report'!A:A,'SAP Report'!C:C)</f>
        <v>25714285.710000001</v>
      </c>
      <c r="AA28" s="1">
        <f>HLOOKUP($A$4,$AV$6:$BG28,(2+BH27),FALSE)</f>
        <v>0</v>
      </c>
      <c r="AB28" s="1">
        <f>SUMIF('Open PR PO'!A:A,Monitoring!A28,'Open PR PO'!K:K)</f>
        <v>0</v>
      </c>
      <c r="AC28" s="1">
        <f t="shared" si="37"/>
        <v>0</v>
      </c>
      <c r="AD28" s="1">
        <f t="shared" si="38"/>
        <v>25714285.710000001</v>
      </c>
      <c r="AE28" s="1">
        <f t="shared" si="39"/>
        <v>25714285.710000001</v>
      </c>
      <c r="AF28" s="1"/>
      <c r="AG28" s="53">
        <f>SUMIFS(Actual!$F:$F,Actual!$N:$N,Monitoring!AG$6,Actual!$A:$A,Monitoring!$A28)</f>
        <v>0</v>
      </c>
      <c r="AH28" s="53">
        <f>SUMIFS(Actual!$F:$F,Actual!$N:$N,Monitoring!AH$6,Actual!$A:$A,Monitoring!$A28)</f>
        <v>0</v>
      </c>
      <c r="AI28" s="53">
        <f>SUMIFS(Actual!$F:$F,Actual!$N:$N,Monitoring!AI$6,Actual!$A:$A,Monitoring!$A28)</f>
        <v>0</v>
      </c>
      <c r="AJ28" s="53">
        <f>SUMIFS(Actual!$F:$F,Actual!$N:$N,Monitoring!AJ$6,Actual!$A:$A,Monitoring!$A28)</f>
        <v>0</v>
      </c>
      <c r="AK28" s="53">
        <f>SUMIFS(Actual!$F:$F,Actual!$N:$N,Monitoring!AK$6,Actual!$A:$A,Monitoring!$A28)</f>
        <v>0</v>
      </c>
      <c r="AL28" s="53">
        <f>SUMIFS(Actual!$F:$F,Actual!$N:$N,Monitoring!AL$6,Actual!$A:$A,Monitoring!$A28)</f>
        <v>0</v>
      </c>
      <c r="AM28" s="53">
        <f>SUMIFS(Actual!$F:$F,Actual!$N:$N,Monitoring!AM$6,Actual!$A:$A,Monitoring!$A28)</f>
        <v>0</v>
      </c>
      <c r="AN28" s="53">
        <f>SUMIFS(Actual!$F:$F,Actual!$N:$N,Monitoring!AN$6,Actual!$A:$A,Monitoring!$A28)</f>
        <v>0</v>
      </c>
      <c r="AO28" s="53">
        <f>SUMIFS(Actual!$F:$F,Actual!$N:$N,Monitoring!AO$6,Actual!$A:$A,Monitoring!$A28)</f>
        <v>0</v>
      </c>
      <c r="AP28" s="53">
        <f t="shared" si="19"/>
        <v>0</v>
      </c>
      <c r="AQ28" s="53">
        <f t="shared" si="20"/>
        <v>12857142.855</v>
      </c>
      <c r="AR28" s="53">
        <f t="shared" si="21"/>
        <v>12857142.855</v>
      </c>
      <c r="AS28" s="1">
        <f t="shared" si="22"/>
        <v>25714285.710000001</v>
      </c>
      <c r="AT28" s="12">
        <f t="shared" si="23"/>
        <v>0</v>
      </c>
      <c r="AU28" s="1"/>
      <c r="AV28" s="53">
        <f t="shared" si="24"/>
        <v>0</v>
      </c>
      <c r="AW28" s="1">
        <f t="shared" si="25"/>
        <v>0</v>
      </c>
      <c r="AX28" s="1">
        <f t="shared" si="26"/>
        <v>0</v>
      </c>
      <c r="AY28" s="1">
        <f t="shared" si="27"/>
        <v>0</v>
      </c>
      <c r="AZ28" s="1">
        <f t="shared" si="28"/>
        <v>0</v>
      </c>
      <c r="BA28" s="1">
        <f t="shared" si="29"/>
        <v>0</v>
      </c>
      <c r="BB28" s="1">
        <f t="shared" si="30"/>
        <v>0</v>
      </c>
      <c r="BC28" s="1">
        <f t="shared" si="31"/>
        <v>0</v>
      </c>
      <c r="BD28" s="1">
        <f t="shared" si="32"/>
        <v>0</v>
      </c>
      <c r="BE28" s="1">
        <f t="shared" si="33"/>
        <v>0</v>
      </c>
      <c r="BF28" s="1">
        <f t="shared" si="34"/>
        <v>12857142.855</v>
      </c>
      <c r="BG28" s="1">
        <f t="shared" si="35"/>
        <v>25714285.710000001</v>
      </c>
      <c r="BH28">
        <f t="shared" si="36"/>
        <v>22</v>
      </c>
    </row>
    <row r="29" spans="1:60" s="62" customFormat="1" x14ac:dyDescent="0.35">
      <c r="A29">
        <v>10001341</v>
      </c>
      <c r="B29" t="s">
        <v>114</v>
      </c>
      <c r="C29" t="s">
        <v>766</v>
      </c>
      <c r="D29" t="s">
        <v>766</v>
      </c>
      <c r="E29" s="72"/>
      <c r="F29" s="72" t="s">
        <v>1813</v>
      </c>
      <c r="G29" s="75" t="s">
        <v>1792</v>
      </c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3">
        <f t="shared" si="40"/>
        <v>50718877.850000001</v>
      </c>
      <c r="S29" s="74"/>
      <c r="T29" s="73"/>
      <c r="U29" s="74"/>
      <c r="V29" s="74"/>
      <c r="W29" s="74"/>
      <c r="X29" s="72"/>
      <c r="Z29" s="1">
        <f>_xlfn.XLOOKUP(A29,'SAP Report'!A:A,'SAP Report'!C:C)</f>
        <v>50718877.850000001</v>
      </c>
      <c r="AA29" s="1">
        <f>HLOOKUP($A$4,$AV$6:$BG29,(2+BH28),FALSE)</f>
        <v>24715944.249999996</v>
      </c>
      <c r="AB29" s="1">
        <f>SUMIF('Open PR PO'!A:A,Monitoring!A29,'Open PR PO'!K:K)</f>
        <v>20320127.41</v>
      </c>
      <c r="AC29" s="1">
        <f t="shared" si="37"/>
        <v>45036071.659999996</v>
      </c>
      <c r="AD29" s="1">
        <f t="shared" si="38"/>
        <v>5682806.1900000051</v>
      </c>
      <c r="AE29" s="1">
        <f t="shared" si="39"/>
        <v>26002933.600000005</v>
      </c>
      <c r="AF29" s="1"/>
      <c r="AG29" s="53">
        <f>SUMIFS(Actual!$F:$F,Actual!$N:$N,Monitoring!AG$6,Actual!$A:$A,Monitoring!$A29)</f>
        <v>54884.549999999996</v>
      </c>
      <c r="AH29" s="53">
        <f>SUMIFS(Actual!$F:$F,Actual!$N:$N,Monitoring!AH$6,Actual!$A:$A,Monitoring!$A29)</f>
        <v>274</v>
      </c>
      <c r="AI29" s="53">
        <f>SUMIFS(Actual!$F:$F,Actual!$N:$N,Monitoring!AI$6,Actual!$A:$A,Monitoring!$A29)</f>
        <v>1555428.5599999998</v>
      </c>
      <c r="AJ29" s="53">
        <f>SUMIFS(Actual!$F:$F,Actual!$N:$N,Monitoring!AJ$6,Actual!$A:$A,Monitoring!$A29)</f>
        <v>3596250</v>
      </c>
      <c r="AK29" s="53">
        <f>SUMIFS(Actual!$F:$F,Actual!$N:$N,Monitoring!AK$6,Actual!$A:$A,Monitoring!$A29)</f>
        <v>0</v>
      </c>
      <c r="AL29" s="53">
        <f>SUMIFS(Actual!$F:$F,Actual!$N:$N,Monitoring!AL$6,Actual!$A:$A,Monitoring!$A29)</f>
        <v>2611607.14</v>
      </c>
      <c r="AM29" s="53">
        <f>SUMIFS(Actual!$F:$F,Actual!$N:$N,Monitoring!AM$6,Actual!$A:$A,Monitoring!$A29)</f>
        <v>11514285.720000001</v>
      </c>
      <c r="AN29" s="53">
        <f>SUMIFS(Actual!$F:$F,Actual!$N:$N,Monitoring!AN$6,Actual!$A:$A,Monitoring!$A29)</f>
        <v>3669866.06</v>
      </c>
      <c r="AO29" s="53">
        <f>SUMIFS(Actual!$F:$F,Actual!$N:$N,Monitoring!AO$6,Actual!$A:$A,Monitoring!$A29)</f>
        <v>1713348.2200000002</v>
      </c>
      <c r="AP29" s="53">
        <f t="shared" si="19"/>
        <v>20320127.41</v>
      </c>
      <c r="AQ29" s="53">
        <f t="shared" si="20"/>
        <v>2841403.0950000025</v>
      </c>
      <c r="AR29" s="53">
        <f t="shared" si="21"/>
        <v>2841403.0950000025</v>
      </c>
      <c r="AS29" s="1">
        <f t="shared" si="22"/>
        <v>50718877.849999994</v>
      </c>
      <c r="AT29" s="12">
        <f t="shared" si="23"/>
        <v>0</v>
      </c>
      <c r="AU29" s="1"/>
      <c r="AV29" s="53">
        <f t="shared" si="24"/>
        <v>54884.549999999996</v>
      </c>
      <c r="AW29" s="1">
        <f t="shared" si="25"/>
        <v>55158.549999999996</v>
      </c>
      <c r="AX29" s="1">
        <f t="shared" si="26"/>
        <v>1610587.1099999999</v>
      </c>
      <c r="AY29" s="1">
        <f t="shared" si="27"/>
        <v>5206837.1099999994</v>
      </c>
      <c r="AZ29" s="1">
        <f t="shared" si="28"/>
        <v>5206837.1099999994</v>
      </c>
      <c r="BA29" s="1">
        <f t="shared" si="29"/>
        <v>7818444.25</v>
      </c>
      <c r="BB29" s="1">
        <f t="shared" si="30"/>
        <v>19332729.969999999</v>
      </c>
      <c r="BC29" s="1">
        <f t="shared" si="31"/>
        <v>23002596.029999997</v>
      </c>
      <c r="BD29" s="1">
        <f t="shared" si="32"/>
        <v>24715944.249999996</v>
      </c>
      <c r="BE29" s="1">
        <f t="shared" si="33"/>
        <v>45036071.659999996</v>
      </c>
      <c r="BF29" s="1">
        <f t="shared" si="34"/>
        <v>47877474.754999995</v>
      </c>
      <c r="BG29" s="1">
        <f t="shared" si="35"/>
        <v>50718877.849999994</v>
      </c>
      <c r="BH29">
        <f t="shared" si="36"/>
        <v>23</v>
      </c>
    </row>
    <row r="30" spans="1:60" s="62" customFormat="1" x14ac:dyDescent="0.35">
      <c r="A30">
        <v>10001350</v>
      </c>
      <c r="B30" t="s">
        <v>115</v>
      </c>
      <c r="C30" t="s">
        <v>766</v>
      </c>
      <c r="D30" t="s">
        <v>766</v>
      </c>
      <c r="E30" s="72"/>
      <c r="F30" s="72" t="s">
        <v>1813</v>
      </c>
      <c r="G30" s="75" t="s">
        <v>1792</v>
      </c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3">
        <f t="shared" si="40"/>
        <v>20168928.579999998</v>
      </c>
      <c r="S30" s="74"/>
      <c r="T30" s="73"/>
      <c r="U30" s="74"/>
      <c r="V30" s="74"/>
      <c r="W30" s="74"/>
      <c r="X30" s="72"/>
      <c r="Z30" s="1">
        <f>_xlfn.XLOOKUP(A30,'SAP Report'!A:A,'SAP Report'!C:C)</f>
        <v>20168928.579999998</v>
      </c>
      <c r="AA30" s="1">
        <f>HLOOKUP($A$4,$AV$6:$BG30,(2+BH29),FALSE)</f>
        <v>11986160.700000003</v>
      </c>
      <c r="AB30" s="1">
        <f>SUMIF('Open PR PO'!A:A,Monitoring!A30,'Open PR PO'!K:K)</f>
        <v>3966040.3799999994</v>
      </c>
      <c r="AC30" s="1">
        <f t="shared" si="37"/>
        <v>15952201.080000002</v>
      </c>
      <c r="AD30" s="1">
        <f t="shared" si="38"/>
        <v>4216727.4999999963</v>
      </c>
      <c r="AE30" s="1">
        <f t="shared" si="39"/>
        <v>8182767.8799999952</v>
      </c>
      <c r="AF30" s="1"/>
      <c r="AG30" s="53">
        <f>SUMIFS(Actual!$F:$F,Actual!$N:$N,Monitoring!AG$6,Actual!$A:$A,Monitoring!$A30)</f>
        <v>4134285.71</v>
      </c>
      <c r="AH30" s="53">
        <f>SUMIFS(Actual!$F:$F,Actual!$N:$N,Monitoring!AH$6,Actual!$A:$A,Monitoring!$A30)</f>
        <v>0</v>
      </c>
      <c r="AI30" s="53">
        <f>SUMIFS(Actual!$F:$F,Actual!$N:$N,Monitoring!AI$6,Actual!$A:$A,Monitoring!$A30)</f>
        <v>6914375</v>
      </c>
      <c r="AJ30" s="53">
        <f>SUMIFS(Actual!$F:$F,Actual!$N:$N,Monitoring!AJ$6,Actual!$A:$A,Monitoring!$A30)</f>
        <v>142857.14000000001</v>
      </c>
      <c r="AK30" s="53">
        <f>SUMIFS(Actual!$F:$F,Actual!$N:$N,Monitoring!AK$6,Actual!$A:$A,Monitoring!$A30)</f>
        <v>0</v>
      </c>
      <c r="AL30" s="53">
        <f>SUMIFS(Actual!$F:$F,Actual!$N:$N,Monitoring!AL$6,Actual!$A:$A,Monitoring!$A30)</f>
        <v>80357.14</v>
      </c>
      <c r="AM30" s="53">
        <f>SUMIFS(Actual!$F:$F,Actual!$N:$N,Monitoring!AM$6,Actual!$A:$A,Monitoring!$A30)</f>
        <v>714285.71</v>
      </c>
      <c r="AN30" s="53">
        <f>SUMIFS(Actual!$F:$F,Actual!$N:$N,Monitoring!AN$6,Actual!$A:$A,Monitoring!$A30)</f>
        <v>0</v>
      </c>
      <c r="AO30" s="53">
        <f>SUMIFS(Actual!$F:$F,Actual!$N:$N,Monitoring!AO$6,Actual!$A:$A,Monitoring!$A30)</f>
        <v>0</v>
      </c>
      <c r="AP30" s="53">
        <f t="shared" si="19"/>
        <v>3966040.3799999994</v>
      </c>
      <c r="AQ30" s="53">
        <f t="shared" si="20"/>
        <v>2108363.7499999981</v>
      </c>
      <c r="AR30" s="53">
        <f t="shared" si="21"/>
        <v>2108363.7499999981</v>
      </c>
      <c r="AS30" s="1">
        <f t="shared" si="22"/>
        <v>20168928.579999998</v>
      </c>
      <c r="AT30" s="12">
        <f t="shared" si="23"/>
        <v>0</v>
      </c>
      <c r="AU30" s="1"/>
      <c r="AV30" s="53">
        <f t="shared" si="24"/>
        <v>4134285.71</v>
      </c>
      <c r="AW30" s="1">
        <f t="shared" si="25"/>
        <v>4134285.71</v>
      </c>
      <c r="AX30" s="1">
        <f t="shared" si="26"/>
        <v>11048660.710000001</v>
      </c>
      <c r="AY30" s="1">
        <f t="shared" si="27"/>
        <v>11191517.850000001</v>
      </c>
      <c r="AZ30" s="1">
        <f t="shared" si="28"/>
        <v>11191517.850000001</v>
      </c>
      <c r="BA30" s="1">
        <f t="shared" si="29"/>
        <v>11271874.990000002</v>
      </c>
      <c r="BB30" s="1">
        <f t="shared" si="30"/>
        <v>11986160.700000003</v>
      </c>
      <c r="BC30" s="1">
        <f t="shared" si="31"/>
        <v>11986160.700000003</v>
      </c>
      <c r="BD30" s="1">
        <f t="shared" si="32"/>
        <v>11986160.700000003</v>
      </c>
      <c r="BE30" s="1">
        <f t="shared" si="33"/>
        <v>15952201.080000002</v>
      </c>
      <c r="BF30" s="1">
        <f t="shared" si="34"/>
        <v>18060564.829999998</v>
      </c>
      <c r="BG30" s="1">
        <f t="shared" si="35"/>
        <v>20168928.579999998</v>
      </c>
      <c r="BH30">
        <f t="shared" si="36"/>
        <v>24</v>
      </c>
    </row>
    <row r="31" spans="1:60" s="62" customFormat="1" x14ac:dyDescent="0.35">
      <c r="A31">
        <v>10001220</v>
      </c>
      <c r="B31" t="s">
        <v>119</v>
      </c>
      <c r="C31" t="s">
        <v>766</v>
      </c>
      <c r="D31" t="s">
        <v>766</v>
      </c>
      <c r="E31" s="72"/>
      <c r="F31" s="72" t="s">
        <v>1813</v>
      </c>
      <c r="G31" s="75" t="s">
        <v>1792</v>
      </c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3">
        <f t="shared" si="40"/>
        <v>99196.43</v>
      </c>
      <c r="S31" s="74"/>
      <c r="T31" s="73"/>
      <c r="U31" s="74"/>
      <c r="V31" s="74"/>
      <c r="W31" s="74"/>
      <c r="X31" s="72"/>
      <c r="Z31" s="1">
        <f>_xlfn.XLOOKUP(A31,'SAP Report'!A:A,'SAP Report'!C:C)</f>
        <v>99196.43</v>
      </c>
      <c r="AA31" s="1">
        <f>HLOOKUP($A$4,$AV$6:$BG31,(2+BH30),FALSE)</f>
        <v>0</v>
      </c>
      <c r="AB31" s="1">
        <f>SUMIF('Open PR PO'!A:A,Monitoring!A31,'Open PR PO'!K:K)</f>
        <v>99196.43</v>
      </c>
      <c r="AC31" s="1">
        <f t="shared" si="37"/>
        <v>99196.43</v>
      </c>
      <c r="AD31" s="1">
        <f t="shared" si="38"/>
        <v>0</v>
      </c>
      <c r="AE31" s="1">
        <f t="shared" si="39"/>
        <v>99196.43</v>
      </c>
      <c r="AF31" s="1"/>
      <c r="AG31" s="53">
        <f>SUMIFS(Actual!$F:$F,Actual!$N:$N,Monitoring!AG$6,Actual!$A:$A,Monitoring!$A31)</f>
        <v>0</v>
      </c>
      <c r="AH31" s="53">
        <f>SUMIFS(Actual!$F:$F,Actual!$N:$N,Monitoring!AH$6,Actual!$A:$A,Monitoring!$A31)</f>
        <v>0</v>
      </c>
      <c r="AI31" s="53">
        <f>SUMIFS(Actual!$F:$F,Actual!$N:$N,Monitoring!AI$6,Actual!$A:$A,Monitoring!$A31)</f>
        <v>0</v>
      </c>
      <c r="AJ31" s="53">
        <f>SUMIFS(Actual!$F:$F,Actual!$N:$N,Monitoring!AJ$6,Actual!$A:$A,Monitoring!$A31)</f>
        <v>0</v>
      </c>
      <c r="AK31" s="53">
        <f>SUMIFS(Actual!$F:$F,Actual!$N:$N,Monitoring!AK$6,Actual!$A:$A,Monitoring!$A31)</f>
        <v>0</v>
      </c>
      <c r="AL31" s="53">
        <f>SUMIFS(Actual!$F:$F,Actual!$N:$N,Monitoring!AL$6,Actual!$A:$A,Monitoring!$A31)</f>
        <v>0</v>
      </c>
      <c r="AM31" s="53">
        <f>SUMIFS(Actual!$F:$F,Actual!$N:$N,Monitoring!AM$6,Actual!$A:$A,Monitoring!$A31)</f>
        <v>0</v>
      </c>
      <c r="AN31" s="53">
        <f>SUMIFS(Actual!$F:$F,Actual!$N:$N,Monitoring!AN$6,Actual!$A:$A,Monitoring!$A31)</f>
        <v>0</v>
      </c>
      <c r="AO31" s="53">
        <f>SUMIFS(Actual!$F:$F,Actual!$N:$N,Monitoring!AO$6,Actual!$A:$A,Monitoring!$A31)</f>
        <v>0</v>
      </c>
      <c r="AP31" s="53">
        <f t="shared" si="19"/>
        <v>99196.43</v>
      </c>
      <c r="AQ31" s="53">
        <f t="shared" si="20"/>
        <v>0</v>
      </c>
      <c r="AR31" s="53">
        <f t="shared" si="21"/>
        <v>0</v>
      </c>
      <c r="AS31" s="1">
        <f t="shared" si="22"/>
        <v>99196.43</v>
      </c>
      <c r="AT31" s="12">
        <f t="shared" si="23"/>
        <v>0</v>
      </c>
      <c r="AU31" s="1"/>
      <c r="AV31" s="53">
        <f t="shared" si="24"/>
        <v>0</v>
      </c>
      <c r="AW31" s="1">
        <f t="shared" si="25"/>
        <v>0</v>
      </c>
      <c r="AX31" s="1">
        <f t="shared" si="26"/>
        <v>0</v>
      </c>
      <c r="AY31" s="1">
        <f t="shared" si="27"/>
        <v>0</v>
      </c>
      <c r="AZ31" s="1">
        <f t="shared" si="28"/>
        <v>0</v>
      </c>
      <c r="BA31" s="1">
        <f t="shared" si="29"/>
        <v>0</v>
      </c>
      <c r="BB31" s="1">
        <f t="shared" si="30"/>
        <v>0</v>
      </c>
      <c r="BC31" s="1">
        <f t="shared" si="31"/>
        <v>0</v>
      </c>
      <c r="BD31" s="1">
        <f t="shared" si="32"/>
        <v>0</v>
      </c>
      <c r="BE31" s="1">
        <f t="shared" si="33"/>
        <v>99196.43</v>
      </c>
      <c r="BF31" s="1">
        <f t="shared" si="34"/>
        <v>99196.43</v>
      </c>
      <c r="BG31" s="1">
        <f t="shared" si="35"/>
        <v>99196.43</v>
      </c>
      <c r="BH31">
        <f t="shared" si="36"/>
        <v>25</v>
      </c>
    </row>
    <row r="32" spans="1:60" s="62" customFormat="1" x14ac:dyDescent="0.35">
      <c r="A32">
        <v>10000820</v>
      </c>
      <c r="B32" t="s">
        <v>117</v>
      </c>
      <c r="C32" t="s">
        <v>766</v>
      </c>
      <c r="D32" t="s">
        <v>766</v>
      </c>
      <c r="E32" s="72"/>
      <c r="F32" s="72" t="s">
        <v>1813</v>
      </c>
      <c r="G32" s="75" t="s">
        <v>1792</v>
      </c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3">
        <f t="shared" si="40"/>
        <v>278125</v>
      </c>
      <c r="S32" s="74"/>
      <c r="T32" s="73"/>
      <c r="U32" s="74"/>
      <c r="V32" s="74"/>
      <c r="W32" s="74"/>
      <c r="X32" s="72"/>
      <c r="Z32" s="1">
        <f>_xlfn.XLOOKUP(A32,'SAP Report'!A:A,'SAP Report'!C:C)</f>
        <v>278125</v>
      </c>
      <c r="AA32" s="1">
        <f>HLOOKUP($A$4,$AV$6:$BG32,(2+BH31),FALSE)</f>
        <v>0</v>
      </c>
      <c r="AB32" s="1">
        <f>SUMIF('Open PR PO'!A:A,Monitoring!A32,'Open PR PO'!K:K)</f>
        <v>278125</v>
      </c>
      <c r="AC32" s="1">
        <f t="shared" si="37"/>
        <v>278125</v>
      </c>
      <c r="AD32" s="1">
        <f t="shared" si="38"/>
        <v>0</v>
      </c>
      <c r="AE32" s="1">
        <f t="shared" si="39"/>
        <v>278125</v>
      </c>
      <c r="AF32" s="1"/>
      <c r="AG32" s="53">
        <f>SUMIFS(Actual!$F:$F,Actual!$N:$N,Monitoring!AG$6,Actual!$A:$A,Monitoring!$A32)</f>
        <v>0</v>
      </c>
      <c r="AH32" s="53">
        <f>SUMIFS(Actual!$F:$F,Actual!$N:$N,Monitoring!AH$6,Actual!$A:$A,Monitoring!$A32)</f>
        <v>0</v>
      </c>
      <c r="AI32" s="53">
        <f>SUMIFS(Actual!$F:$F,Actual!$N:$N,Monitoring!AI$6,Actual!$A:$A,Monitoring!$A32)</f>
        <v>0</v>
      </c>
      <c r="AJ32" s="53">
        <f>SUMIFS(Actual!$F:$F,Actual!$N:$N,Monitoring!AJ$6,Actual!$A:$A,Monitoring!$A32)</f>
        <v>0</v>
      </c>
      <c r="AK32" s="53">
        <f>SUMIFS(Actual!$F:$F,Actual!$N:$N,Monitoring!AK$6,Actual!$A:$A,Monitoring!$A32)</f>
        <v>0</v>
      </c>
      <c r="AL32" s="53">
        <f>SUMIFS(Actual!$F:$F,Actual!$N:$N,Monitoring!AL$6,Actual!$A:$A,Monitoring!$A32)</f>
        <v>0</v>
      </c>
      <c r="AM32" s="53">
        <f>SUMIFS(Actual!$F:$F,Actual!$N:$N,Monitoring!AM$6,Actual!$A:$A,Monitoring!$A32)</f>
        <v>0</v>
      </c>
      <c r="AN32" s="53">
        <f>SUMIFS(Actual!$F:$F,Actual!$N:$N,Monitoring!AN$6,Actual!$A:$A,Monitoring!$A32)</f>
        <v>0</v>
      </c>
      <c r="AO32" s="53">
        <f>SUMIFS(Actual!$F:$F,Actual!$N:$N,Monitoring!AO$6,Actual!$A:$A,Monitoring!$A32)</f>
        <v>0</v>
      </c>
      <c r="AP32" s="53">
        <f t="shared" si="19"/>
        <v>278125</v>
      </c>
      <c r="AQ32" s="53">
        <f t="shared" si="20"/>
        <v>0</v>
      </c>
      <c r="AR32" s="53">
        <f t="shared" si="21"/>
        <v>0</v>
      </c>
      <c r="AS32" s="1">
        <f t="shared" si="22"/>
        <v>278125</v>
      </c>
      <c r="AT32" s="12">
        <f t="shared" si="23"/>
        <v>0</v>
      </c>
      <c r="AU32" s="1"/>
      <c r="AV32" s="53">
        <f t="shared" si="24"/>
        <v>0</v>
      </c>
      <c r="AW32" s="1">
        <f t="shared" si="25"/>
        <v>0</v>
      </c>
      <c r="AX32" s="1">
        <f t="shared" si="26"/>
        <v>0</v>
      </c>
      <c r="AY32" s="1">
        <f t="shared" si="27"/>
        <v>0</v>
      </c>
      <c r="AZ32" s="1">
        <f t="shared" si="28"/>
        <v>0</v>
      </c>
      <c r="BA32" s="1">
        <f t="shared" si="29"/>
        <v>0</v>
      </c>
      <c r="BB32" s="1">
        <f t="shared" si="30"/>
        <v>0</v>
      </c>
      <c r="BC32" s="1">
        <f t="shared" si="31"/>
        <v>0</v>
      </c>
      <c r="BD32" s="1">
        <f t="shared" si="32"/>
        <v>0</v>
      </c>
      <c r="BE32" s="1">
        <f t="shared" si="33"/>
        <v>278125</v>
      </c>
      <c r="BF32" s="1">
        <f t="shared" si="34"/>
        <v>278125</v>
      </c>
      <c r="BG32" s="1">
        <f t="shared" si="35"/>
        <v>278125</v>
      </c>
      <c r="BH32">
        <f t="shared" si="36"/>
        <v>26</v>
      </c>
    </row>
    <row r="33" spans="1:60" s="62" customFormat="1" x14ac:dyDescent="0.35">
      <c r="A33">
        <v>10001021</v>
      </c>
      <c r="B33" t="s">
        <v>118</v>
      </c>
      <c r="C33" t="s">
        <v>766</v>
      </c>
      <c r="D33" t="s">
        <v>766</v>
      </c>
      <c r="E33" s="72"/>
      <c r="F33" s="72" t="s">
        <v>1813</v>
      </c>
      <c r="G33" s="75" t="s">
        <v>1792</v>
      </c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3">
        <f t="shared" si="40"/>
        <v>4855625.01</v>
      </c>
      <c r="S33" s="74"/>
      <c r="T33" s="73"/>
      <c r="U33" s="74"/>
      <c r="V33" s="74"/>
      <c r="W33" s="74"/>
      <c r="X33" s="72"/>
      <c r="Z33" s="1">
        <f>_xlfn.XLOOKUP(A33,'SAP Report'!A:A,'SAP Report'!C:C)</f>
        <v>4855625.01</v>
      </c>
      <c r="AA33" s="1">
        <f>HLOOKUP($A$4,$AV$6:$BG33,(2+BH32),FALSE)</f>
        <v>0</v>
      </c>
      <c r="AB33" s="1">
        <f>SUMIF('Open PR PO'!A:A,Monitoring!A33,'Open PR PO'!K:K)</f>
        <v>4855625.01</v>
      </c>
      <c r="AC33" s="1">
        <f t="shared" si="37"/>
        <v>4855625.01</v>
      </c>
      <c r="AD33" s="1">
        <f t="shared" si="38"/>
        <v>0</v>
      </c>
      <c r="AE33" s="1">
        <f t="shared" si="39"/>
        <v>4855625.01</v>
      </c>
      <c r="AF33" s="1"/>
      <c r="AG33" s="53">
        <f>SUMIFS(Actual!$F:$F,Actual!$N:$N,Monitoring!AG$6,Actual!$A:$A,Monitoring!$A33)</f>
        <v>0</v>
      </c>
      <c r="AH33" s="53">
        <f>SUMIFS(Actual!$F:$F,Actual!$N:$N,Monitoring!AH$6,Actual!$A:$A,Monitoring!$A33)</f>
        <v>0</v>
      </c>
      <c r="AI33" s="53">
        <f>SUMIFS(Actual!$F:$F,Actual!$N:$N,Monitoring!AI$6,Actual!$A:$A,Monitoring!$A33)</f>
        <v>0</v>
      </c>
      <c r="AJ33" s="53">
        <f>SUMIFS(Actual!$F:$F,Actual!$N:$N,Monitoring!AJ$6,Actual!$A:$A,Monitoring!$A33)</f>
        <v>0</v>
      </c>
      <c r="AK33" s="53">
        <f>SUMIFS(Actual!$F:$F,Actual!$N:$N,Monitoring!AK$6,Actual!$A:$A,Monitoring!$A33)</f>
        <v>0</v>
      </c>
      <c r="AL33" s="53">
        <f>SUMIFS(Actual!$F:$F,Actual!$N:$N,Monitoring!AL$6,Actual!$A:$A,Monitoring!$A33)</f>
        <v>0</v>
      </c>
      <c r="AM33" s="53">
        <f>SUMIFS(Actual!$F:$F,Actual!$N:$N,Monitoring!AM$6,Actual!$A:$A,Monitoring!$A33)</f>
        <v>0</v>
      </c>
      <c r="AN33" s="53">
        <f>SUMIFS(Actual!$F:$F,Actual!$N:$N,Monitoring!AN$6,Actual!$A:$A,Monitoring!$A33)</f>
        <v>0</v>
      </c>
      <c r="AO33" s="53">
        <f>SUMIFS(Actual!$F:$F,Actual!$N:$N,Monitoring!AO$6,Actual!$A:$A,Monitoring!$A33)</f>
        <v>0</v>
      </c>
      <c r="AP33" s="53">
        <f t="shared" si="19"/>
        <v>4855625.01</v>
      </c>
      <c r="AQ33" s="53">
        <f t="shared" si="20"/>
        <v>0</v>
      </c>
      <c r="AR33" s="53">
        <f t="shared" si="21"/>
        <v>0</v>
      </c>
      <c r="AS33" s="1">
        <f t="shared" si="22"/>
        <v>4855625.01</v>
      </c>
      <c r="AT33" s="12">
        <f t="shared" si="23"/>
        <v>0</v>
      </c>
      <c r="AU33" s="1"/>
      <c r="AV33" s="53">
        <f t="shared" si="24"/>
        <v>0</v>
      </c>
      <c r="AW33" s="1">
        <f t="shared" si="25"/>
        <v>0</v>
      </c>
      <c r="AX33" s="1">
        <f t="shared" si="26"/>
        <v>0</v>
      </c>
      <c r="AY33" s="1">
        <f t="shared" si="27"/>
        <v>0</v>
      </c>
      <c r="AZ33" s="1">
        <f t="shared" si="28"/>
        <v>0</v>
      </c>
      <c r="BA33" s="1">
        <f t="shared" si="29"/>
        <v>0</v>
      </c>
      <c r="BB33" s="1">
        <f t="shared" si="30"/>
        <v>0</v>
      </c>
      <c r="BC33" s="1">
        <f t="shared" si="31"/>
        <v>0</v>
      </c>
      <c r="BD33" s="1">
        <f t="shared" si="32"/>
        <v>0</v>
      </c>
      <c r="BE33" s="1">
        <f t="shared" si="33"/>
        <v>4855625.01</v>
      </c>
      <c r="BF33" s="1">
        <f t="shared" si="34"/>
        <v>4855625.01</v>
      </c>
      <c r="BG33" s="1">
        <f t="shared" si="35"/>
        <v>4855625.01</v>
      </c>
      <c r="BH33">
        <f t="shared" si="36"/>
        <v>27</v>
      </c>
    </row>
    <row r="34" spans="1:60" s="62" customFormat="1" x14ac:dyDescent="0.35">
      <c r="A34">
        <v>10001190</v>
      </c>
      <c r="B34" t="s">
        <v>140</v>
      </c>
      <c r="C34" t="s">
        <v>93</v>
      </c>
      <c r="D34" t="s">
        <v>93</v>
      </c>
      <c r="E34" s="72"/>
      <c r="F34" s="72" t="s">
        <v>1814</v>
      </c>
      <c r="G34" s="75" t="s">
        <v>1792</v>
      </c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3">
        <f t="shared" si="40"/>
        <v>2400000</v>
      </c>
      <c r="S34" s="74"/>
      <c r="T34" s="73"/>
      <c r="U34" s="74"/>
      <c r="V34" s="74"/>
      <c r="W34" s="74"/>
      <c r="X34" s="72"/>
      <c r="Z34" s="1">
        <f>_xlfn.XLOOKUP(A34,'SAP Report'!A:A,'SAP Report'!C:C)</f>
        <v>2400000</v>
      </c>
      <c r="AA34" s="1">
        <f>HLOOKUP($A$4,$AV$6:$BG34,(2+BH33),FALSE)</f>
        <v>2400000</v>
      </c>
      <c r="AB34" s="1">
        <f>SUMIF('Open PR PO'!A:A,Monitoring!A34,'Open PR PO'!K:K)</f>
        <v>0</v>
      </c>
      <c r="AC34" s="1">
        <f t="shared" si="37"/>
        <v>2400000</v>
      </c>
      <c r="AD34" s="1">
        <f t="shared" si="38"/>
        <v>0</v>
      </c>
      <c r="AE34" s="1">
        <f t="shared" si="39"/>
        <v>0</v>
      </c>
      <c r="AF34" s="1"/>
      <c r="AG34" s="53">
        <f>SUMIFS(Actual!$F:$F,Actual!$N:$N,Monitoring!AG$6,Actual!$A:$A,Monitoring!$A34)</f>
        <v>0</v>
      </c>
      <c r="AH34" s="53">
        <f>SUMIFS(Actual!$F:$F,Actual!$N:$N,Monitoring!AH$6,Actual!$A:$A,Monitoring!$A34)</f>
        <v>0</v>
      </c>
      <c r="AI34" s="53">
        <f>SUMIFS(Actual!$F:$F,Actual!$N:$N,Monitoring!AI$6,Actual!$A:$A,Monitoring!$A34)</f>
        <v>0</v>
      </c>
      <c r="AJ34" s="53">
        <f>SUMIFS(Actual!$F:$F,Actual!$N:$N,Monitoring!AJ$6,Actual!$A:$A,Monitoring!$A34)</f>
        <v>2400000</v>
      </c>
      <c r="AK34" s="53">
        <f>SUMIFS(Actual!$F:$F,Actual!$N:$N,Monitoring!AK$6,Actual!$A:$A,Monitoring!$A34)</f>
        <v>0</v>
      </c>
      <c r="AL34" s="53">
        <f>SUMIFS(Actual!$F:$F,Actual!$N:$N,Monitoring!AL$6,Actual!$A:$A,Monitoring!$A34)</f>
        <v>0</v>
      </c>
      <c r="AM34" s="53">
        <f>SUMIFS(Actual!$F:$F,Actual!$N:$N,Monitoring!AM$6,Actual!$A:$A,Monitoring!$A34)</f>
        <v>0</v>
      </c>
      <c r="AN34" s="53">
        <f>SUMIFS(Actual!$F:$F,Actual!$N:$N,Monitoring!AN$6,Actual!$A:$A,Monitoring!$A34)</f>
        <v>0</v>
      </c>
      <c r="AO34" s="53">
        <f>SUMIFS(Actual!$F:$F,Actual!$N:$N,Monitoring!AO$6,Actual!$A:$A,Monitoring!$A34)</f>
        <v>0</v>
      </c>
      <c r="AP34" s="53">
        <f t="shared" si="19"/>
        <v>0</v>
      </c>
      <c r="AQ34" s="53">
        <f t="shared" si="20"/>
        <v>0</v>
      </c>
      <c r="AR34" s="53">
        <f t="shared" si="21"/>
        <v>0</v>
      </c>
      <c r="AS34" s="1">
        <f t="shared" si="22"/>
        <v>2400000</v>
      </c>
      <c r="AT34" s="12">
        <f t="shared" si="23"/>
        <v>0</v>
      </c>
      <c r="AU34" s="1"/>
      <c r="AV34" s="53">
        <f t="shared" si="24"/>
        <v>0</v>
      </c>
      <c r="AW34" s="1">
        <f t="shared" si="25"/>
        <v>0</v>
      </c>
      <c r="AX34" s="1">
        <f t="shared" si="26"/>
        <v>0</v>
      </c>
      <c r="AY34" s="1">
        <f t="shared" si="27"/>
        <v>2400000</v>
      </c>
      <c r="AZ34" s="1">
        <f t="shared" si="28"/>
        <v>2400000</v>
      </c>
      <c r="BA34" s="1">
        <f t="shared" si="29"/>
        <v>2400000</v>
      </c>
      <c r="BB34" s="1">
        <f t="shared" si="30"/>
        <v>2400000</v>
      </c>
      <c r="BC34" s="1">
        <f t="shared" si="31"/>
        <v>2400000</v>
      </c>
      <c r="BD34" s="1">
        <f t="shared" si="32"/>
        <v>2400000</v>
      </c>
      <c r="BE34" s="1">
        <f t="shared" si="33"/>
        <v>2400000</v>
      </c>
      <c r="BF34" s="1">
        <f t="shared" si="34"/>
        <v>2400000</v>
      </c>
      <c r="BG34" s="1">
        <f t="shared" si="35"/>
        <v>2400000</v>
      </c>
      <c r="BH34">
        <f t="shared" si="36"/>
        <v>28</v>
      </c>
    </row>
    <row r="35" spans="1:60" s="62" customFormat="1" x14ac:dyDescent="0.35">
      <c r="A35">
        <v>10001269</v>
      </c>
      <c r="B35" t="s">
        <v>152</v>
      </c>
      <c r="C35" t="s">
        <v>93</v>
      </c>
      <c r="D35" t="s">
        <v>93</v>
      </c>
      <c r="E35" s="72"/>
      <c r="F35" s="72" t="s">
        <v>1814</v>
      </c>
      <c r="G35" s="75" t="s">
        <v>1792</v>
      </c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3">
        <f t="shared" si="40"/>
        <v>560714.29</v>
      </c>
      <c r="S35" s="74"/>
      <c r="T35" s="73"/>
      <c r="U35" s="74"/>
      <c r="V35" s="74"/>
      <c r="W35" s="74"/>
      <c r="X35" s="72"/>
      <c r="Z35" s="1">
        <f>_xlfn.XLOOKUP(A35,'SAP Report'!A:A,'SAP Report'!C:C)</f>
        <v>560714.29</v>
      </c>
      <c r="AA35" s="1">
        <f>HLOOKUP($A$4,$AV$6:$BG35,(2+BH34),FALSE)</f>
        <v>560714.29</v>
      </c>
      <c r="AB35" s="1">
        <f>SUMIF('Open PR PO'!A:A,Monitoring!A35,'Open PR PO'!K:K)</f>
        <v>0</v>
      </c>
      <c r="AC35" s="1">
        <f t="shared" si="37"/>
        <v>560714.29</v>
      </c>
      <c r="AD35" s="1">
        <f t="shared" si="38"/>
        <v>0</v>
      </c>
      <c r="AE35" s="1">
        <f t="shared" si="39"/>
        <v>0</v>
      </c>
      <c r="AF35" s="1"/>
      <c r="AG35" s="53">
        <f>SUMIFS(Actual!$F:$F,Actual!$N:$N,Monitoring!AG$6,Actual!$A:$A,Monitoring!$A35)</f>
        <v>0</v>
      </c>
      <c r="AH35" s="53">
        <f>SUMIFS(Actual!$F:$F,Actual!$N:$N,Monitoring!AH$6,Actual!$A:$A,Monitoring!$A35)</f>
        <v>0</v>
      </c>
      <c r="AI35" s="53">
        <f>SUMIFS(Actual!$F:$F,Actual!$N:$N,Monitoring!AI$6,Actual!$A:$A,Monitoring!$A35)</f>
        <v>0</v>
      </c>
      <c r="AJ35" s="53">
        <f>SUMIFS(Actual!$F:$F,Actual!$N:$N,Monitoring!AJ$6,Actual!$A:$A,Monitoring!$A35)</f>
        <v>560714.29</v>
      </c>
      <c r="AK35" s="53">
        <f>SUMIFS(Actual!$F:$F,Actual!$N:$N,Monitoring!AK$6,Actual!$A:$A,Monitoring!$A35)</f>
        <v>0</v>
      </c>
      <c r="AL35" s="53">
        <f>SUMIFS(Actual!$F:$F,Actual!$N:$N,Monitoring!AL$6,Actual!$A:$A,Monitoring!$A35)</f>
        <v>0</v>
      </c>
      <c r="AM35" s="53">
        <f>SUMIFS(Actual!$F:$F,Actual!$N:$N,Monitoring!AM$6,Actual!$A:$A,Monitoring!$A35)</f>
        <v>0</v>
      </c>
      <c r="AN35" s="53">
        <f>SUMIFS(Actual!$F:$F,Actual!$N:$N,Monitoring!AN$6,Actual!$A:$A,Monitoring!$A35)</f>
        <v>0</v>
      </c>
      <c r="AO35" s="53">
        <f>SUMIFS(Actual!$F:$F,Actual!$N:$N,Monitoring!AO$6,Actual!$A:$A,Monitoring!$A35)</f>
        <v>0</v>
      </c>
      <c r="AP35" s="53">
        <f t="shared" si="19"/>
        <v>0</v>
      </c>
      <c r="AQ35" s="53">
        <f t="shared" si="20"/>
        <v>0</v>
      </c>
      <c r="AR35" s="53">
        <f t="shared" si="21"/>
        <v>0</v>
      </c>
      <c r="AS35" s="1">
        <f t="shared" si="22"/>
        <v>560714.29</v>
      </c>
      <c r="AT35" s="12">
        <f t="shared" si="23"/>
        <v>0</v>
      </c>
      <c r="AU35" s="1"/>
      <c r="AV35" s="53">
        <f t="shared" si="24"/>
        <v>0</v>
      </c>
      <c r="AW35" s="1">
        <f t="shared" si="25"/>
        <v>0</v>
      </c>
      <c r="AX35" s="1">
        <f t="shared" si="26"/>
        <v>0</v>
      </c>
      <c r="AY35" s="1">
        <f t="shared" si="27"/>
        <v>560714.29</v>
      </c>
      <c r="AZ35" s="1">
        <f t="shared" si="28"/>
        <v>560714.29</v>
      </c>
      <c r="BA35" s="1">
        <f t="shared" si="29"/>
        <v>560714.29</v>
      </c>
      <c r="BB35" s="1">
        <f t="shared" si="30"/>
        <v>560714.29</v>
      </c>
      <c r="BC35" s="1">
        <f t="shared" si="31"/>
        <v>560714.29</v>
      </c>
      <c r="BD35" s="1">
        <f t="shared" si="32"/>
        <v>560714.29</v>
      </c>
      <c r="BE35" s="1">
        <f t="shared" si="33"/>
        <v>560714.29</v>
      </c>
      <c r="BF35" s="1">
        <f t="shared" si="34"/>
        <v>560714.29</v>
      </c>
      <c r="BG35" s="1">
        <f t="shared" si="35"/>
        <v>560714.29</v>
      </c>
      <c r="BH35">
        <f t="shared" si="36"/>
        <v>29</v>
      </c>
    </row>
    <row r="36" spans="1:60" s="62" customFormat="1" x14ac:dyDescent="0.35">
      <c r="A36">
        <v>10001270</v>
      </c>
      <c r="B36" t="s">
        <v>156</v>
      </c>
      <c r="C36" t="s">
        <v>93</v>
      </c>
      <c r="D36" t="s">
        <v>93</v>
      </c>
      <c r="E36" s="72"/>
      <c r="F36" s="72" t="s">
        <v>1814</v>
      </c>
      <c r="G36" s="75" t="s">
        <v>1792</v>
      </c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3">
        <f t="shared" si="40"/>
        <v>437500</v>
      </c>
      <c r="S36" s="74"/>
      <c r="T36" s="73"/>
      <c r="U36" s="74"/>
      <c r="V36" s="74"/>
      <c r="W36" s="74"/>
      <c r="X36" s="72"/>
      <c r="Z36" s="1">
        <f>_xlfn.XLOOKUP(A36,'SAP Report'!A:A,'SAP Report'!C:C)</f>
        <v>437500</v>
      </c>
      <c r="AA36" s="1">
        <f>HLOOKUP($A$4,$AV$6:$BG36,(2+BH35),FALSE)</f>
        <v>437500</v>
      </c>
      <c r="AB36" s="1">
        <f>SUMIF('Open PR PO'!A:A,Monitoring!A36,'Open PR PO'!K:K)</f>
        <v>0</v>
      </c>
      <c r="AC36" s="1">
        <f t="shared" si="37"/>
        <v>437500</v>
      </c>
      <c r="AD36" s="1">
        <f t="shared" si="38"/>
        <v>0</v>
      </c>
      <c r="AE36" s="1">
        <f t="shared" si="39"/>
        <v>0</v>
      </c>
      <c r="AF36" s="1"/>
      <c r="AG36" s="53">
        <f>SUMIFS(Actual!$F:$F,Actual!$N:$N,Monitoring!AG$6,Actual!$A:$A,Monitoring!$A36)</f>
        <v>0</v>
      </c>
      <c r="AH36" s="53">
        <f>SUMIFS(Actual!$F:$F,Actual!$N:$N,Monitoring!AH$6,Actual!$A:$A,Monitoring!$A36)</f>
        <v>0</v>
      </c>
      <c r="AI36" s="53">
        <f>SUMIFS(Actual!$F:$F,Actual!$N:$N,Monitoring!AI$6,Actual!$A:$A,Monitoring!$A36)</f>
        <v>0</v>
      </c>
      <c r="AJ36" s="53">
        <f>SUMIFS(Actual!$F:$F,Actual!$N:$N,Monitoring!AJ$6,Actual!$A:$A,Monitoring!$A36)</f>
        <v>437500</v>
      </c>
      <c r="AK36" s="53">
        <f>SUMIFS(Actual!$F:$F,Actual!$N:$N,Monitoring!AK$6,Actual!$A:$A,Monitoring!$A36)</f>
        <v>0</v>
      </c>
      <c r="AL36" s="53">
        <f>SUMIFS(Actual!$F:$F,Actual!$N:$N,Monitoring!AL$6,Actual!$A:$A,Monitoring!$A36)</f>
        <v>0</v>
      </c>
      <c r="AM36" s="53">
        <f>SUMIFS(Actual!$F:$F,Actual!$N:$N,Monitoring!AM$6,Actual!$A:$A,Monitoring!$A36)</f>
        <v>0</v>
      </c>
      <c r="AN36" s="53">
        <f>SUMIFS(Actual!$F:$F,Actual!$N:$N,Monitoring!AN$6,Actual!$A:$A,Monitoring!$A36)</f>
        <v>0</v>
      </c>
      <c r="AO36" s="53">
        <f>SUMIFS(Actual!$F:$F,Actual!$N:$N,Monitoring!AO$6,Actual!$A:$A,Monitoring!$A36)</f>
        <v>0</v>
      </c>
      <c r="AP36" s="53">
        <f t="shared" si="19"/>
        <v>0</v>
      </c>
      <c r="AQ36" s="53">
        <f t="shared" si="20"/>
        <v>0</v>
      </c>
      <c r="AR36" s="53">
        <f t="shared" si="21"/>
        <v>0</v>
      </c>
      <c r="AS36" s="1">
        <f t="shared" si="22"/>
        <v>437500</v>
      </c>
      <c r="AT36" s="12">
        <f t="shared" si="23"/>
        <v>0</v>
      </c>
      <c r="AU36" s="1"/>
      <c r="AV36" s="53">
        <f t="shared" si="24"/>
        <v>0</v>
      </c>
      <c r="AW36" s="1">
        <f t="shared" si="25"/>
        <v>0</v>
      </c>
      <c r="AX36" s="1">
        <f t="shared" si="26"/>
        <v>0</v>
      </c>
      <c r="AY36" s="1">
        <f t="shared" si="27"/>
        <v>437500</v>
      </c>
      <c r="AZ36" s="1">
        <f t="shared" si="28"/>
        <v>437500</v>
      </c>
      <c r="BA36" s="1">
        <f t="shared" si="29"/>
        <v>437500</v>
      </c>
      <c r="BB36" s="1">
        <f t="shared" si="30"/>
        <v>437500</v>
      </c>
      <c r="BC36" s="1">
        <f t="shared" si="31"/>
        <v>437500</v>
      </c>
      <c r="BD36" s="1">
        <f t="shared" si="32"/>
        <v>437500</v>
      </c>
      <c r="BE36" s="1">
        <f t="shared" si="33"/>
        <v>437500</v>
      </c>
      <c r="BF36" s="1">
        <f t="shared" si="34"/>
        <v>437500</v>
      </c>
      <c r="BG36" s="1">
        <f t="shared" si="35"/>
        <v>437500</v>
      </c>
      <c r="BH36">
        <f t="shared" si="36"/>
        <v>30</v>
      </c>
    </row>
    <row r="37" spans="1:60" s="62" customFormat="1" x14ac:dyDescent="0.35">
      <c r="A37">
        <v>10001281</v>
      </c>
      <c r="B37" t="s">
        <v>159</v>
      </c>
      <c r="C37" t="s">
        <v>93</v>
      </c>
      <c r="D37" t="s">
        <v>93</v>
      </c>
      <c r="E37" s="72"/>
      <c r="F37" s="72" t="s">
        <v>1814</v>
      </c>
      <c r="G37" s="75" t="s">
        <v>1792</v>
      </c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3">
        <f t="shared" si="40"/>
        <v>3004771.45</v>
      </c>
      <c r="S37" s="74"/>
      <c r="T37" s="73"/>
      <c r="U37" s="74"/>
      <c r="V37" s="74"/>
      <c r="W37" s="74"/>
      <c r="X37" s="72"/>
      <c r="Z37" s="1">
        <f>_xlfn.XLOOKUP(A37,'SAP Report'!A:A,'SAP Report'!C:C)</f>
        <v>3004771.45</v>
      </c>
      <c r="AA37" s="1">
        <f>HLOOKUP($A$4,$AV$6:$BG37,(2+BH36),FALSE)</f>
        <v>1973033.93</v>
      </c>
      <c r="AB37" s="1">
        <f>SUMIF('Open PR PO'!A:A,Monitoring!A37,'Open PR PO'!K:K)</f>
        <v>1031737.52</v>
      </c>
      <c r="AC37" s="1">
        <f t="shared" si="37"/>
        <v>3004771.45</v>
      </c>
      <c r="AD37" s="1">
        <f t="shared" si="38"/>
        <v>0</v>
      </c>
      <c r="AE37" s="1">
        <f t="shared" si="39"/>
        <v>1031737.5200000003</v>
      </c>
      <c r="AF37" s="1"/>
      <c r="AG37" s="53">
        <f>SUMIFS(Actual!$F:$F,Actual!$N:$N,Monitoring!AG$6,Actual!$A:$A,Monitoring!$A37)</f>
        <v>0</v>
      </c>
      <c r="AH37" s="53">
        <f>SUMIFS(Actual!$F:$F,Actual!$N:$N,Monitoring!AH$6,Actual!$A:$A,Monitoring!$A37)</f>
        <v>1473910.74</v>
      </c>
      <c r="AI37" s="53">
        <f>SUMIFS(Actual!$F:$F,Actual!$N:$N,Monitoring!AI$6,Actual!$A:$A,Monitoring!$A37)</f>
        <v>499123.19</v>
      </c>
      <c r="AJ37" s="53">
        <f>SUMIFS(Actual!$F:$F,Actual!$N:$N,Monitoring!AJ$6,Actual!$A:$A,Monitoring!$A37)</f>
        <v>0</v>
      </c>
      <c r="AK37" s="53">
        <f>SUMIFS(Actual!$F:$F,Actual!$N:$N,Monitoring!AK$6,Actual!$A:$A,Monitoring!$A37)</f>
        <v>0</v>
      </c>
      <c r="AL37" s="53">
        <f>SUMIFS(Actual!$F:$F,Actual!$N:$N,Monitoring!AL$6,Actual!$A:$A,Monitoring!$A37)</f>
        <v>0</v>
      </c>
      <c r="AM37" s="53">
        <f>SUMIFS(Actual!$F:$F,Actual!$N:$N,Monitoring!AM$6,Actual!$A:$A,Monitoring!$A37)</f>
        <v>0</v>
      </c>
      <c r="AN37" s="53">
        <f>SUMIFS(Actual!$F:$F,Actual!$N:$N,Monitoring!AN$6,Actual!$A:$A,Monitoring!$A37)</f>
        <v>0</v>
      </c>
      <c r="AO37" s="53">
        <f>SUMIFS(Actual!$F:$F,Actual!$N:$N,Monitoring!AO$6,Actual!$A:$A,Monitoring!$A37)</f>
        <v>0</v>
      </c>
      <c r="AP37" s="53">
        <f t="shared" si="19"/>
        <v>1031737.52</v>
      </c>
      <c r="AQ37" s="53">
        <f t="shared" si="20"/>
        <v>0</v>
      </c>
      <c r="AR37" s="53">
        <f t="shared" si="21"/>
        <v>0</v>
      </c>
      <c r="AS37" s="1">
        <f t="shared" si="22"/>
        <v>3004771.45</v>
      </c>
      <c r="AT37" s="12">
        <f t="shared" si="23"/>
        <v>0</v>
      </c>
      <c r="AU37" s="1"/>
      <c r="AV37" s="53">
        <f t="shared" si="24"/>
        <v>0</v>
      </c>
      <c r="AW37" s="1">
        <f t="shared" si="25"/>
        <v>1473910.74</v>
      </c>
      <c r="AX37" s="1">
        <f t="shared" si="26"/>
        <v>1973033.93</v>
      </c>
      <c r="AY37" s="1">
        <f t="shared" si="27"/>
        <v>1973033.93</v>
      </c>
      <c r="AZ37" s="1">
        <f t="shared" si="28"/>
        <v>1973033.93</v>
      </c>
      <c r="BA37" s="1">
        <f t="shared" si="29"/>
        <v>1973033.93</v>
      </c>
      <c r="BB37" s="1">
        <f t="shared" si="30"/>
        <v>1973033.93</v>
      </c>
      <c r="BC37" s="1">
        <f t="shared" si="31"/>
        <v>1973033.93</v>
      </c>
      <c r="BD37" s="1">
        <f t="shared" si="32"/>
        <v>1973033.93</v>
      </c>
      <c r="BE37" s="1">
        <f t="shared" si="33"/>
        <v>3004771.45</v>
      </c>
      <c r="BF37" s="1">
        <f t="shared" si="34"/>
        <v>3004771.45</v>
      </c>
      <c r="BG37" s="1">
        <f t="shared" si="35"/>
        <v>3004771.45</v>
      </c>
      <c r="BH37">
        <f t="shared" si="36"/>
        <v>31</v>
      </c>
    </row>
    <row r="38" spans="1:60" s="62" customFormat="1" x14ac:dyDescent="0.35">
      <c r="A38">
        <v>10001311</v>
      </c>
      <c r="B38" t="s">
        <v>163</v>
      </c>
      <c r="C38" t="s">
        <v>93</v>
      </c>
      <c r="D38" t="s">
        <v>93</v>
      </c>
      <c r="E38" s="72"/>
      <c r="F38" s="72" t="s">
        <v>1814</v>
      </c>
      <c r="G38" s="75" t="s">
        <v>1792</v>
      </c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3">
        <f t="shared" si="40"/>
        <v>3660714.29</v>
      </c>
      <c r="S38" s="74"/>
      <c r="T38" s="73"/>
      <c r="U38" s="74"/>
      <c r="V38" s="74"/>
      <c r="W38" s="74"/>
      <c r="X38" s="72"/>
      <c r="Z38" s="1">
        <f>_xlfn.XLOOKUP(A38,'SAP Report'!A:A,'SAP Report'!C:C)</f>
        <v>3660714.29</v>
      </c>
      <c r="AA38" s="1">
        <f>HLOOKUP($A$4,$AV$6:$BG38,(2+BH37),FALSE)</f>
        <v>3161591.1</v>
      </c>
      <c r="AB38" s="1">
        <f>SUMIF('Open PR PO'!A:A,Monitoring!A38,'Open PR PO'!K:K)</f>
        <v>499123.19</v>
      </c>
      <c r="AC38" s="1">
        <f t="shared" si="37"/>
        <v>3660714.29</v>
      </c>
      <c r="AD38" s="1">
        <f t="shared" si="38"/>
        <v>0</v>
      </c>
      <c r="AE38" s="1">
        <f t="shared" si="39"/>
        <v>499123.18999999994</v>
      </c>
      <c r="AF38" s="1"/>
      <c r="AG38" s="53">
        <f>SUMIFS(Actual!$F:$F,Actual!$N:$N,Monitoring!AG$6,Actual!$A:$A,Monitoring!$A38)</f>
        <v>0</v>
      </c>
      <c r="AH38" s="53">
        <f>SUMIFS(Actual!$F:$F,Actual!$N:$N,Monitoring!AH$6,Actual!$A:$A,Monitoring!$A38)</f>
        <v>0</v>
      </c>
      <c r="AI38" s="53">
        <f>SUMIFS(Actual!$F:$F,Actual!$N:$N,Monitoring!AI$6,Actual!$A:$A,Monitoring!$A38)</f>
        <v>3161591.1</v>
      </c>
      <c r="AJ38" s="53">
        <f>SUMIFS(Actual!$F:$F,Actual!$N:$N,Monitoring!AJ$6,Actual!$A:$A,Monitoring!$A38)</f>
        <v>0</v>
      </c>
      <c r="AK38" s="53">
        <f>SUMIFS(Actual!$F:$F,Actual!$N:$N,Monitoring!AK$6,Actual!$A:$A,Monitoring!$A38)</f>
        <v>0</v>
      </c>
      <c r="AL38" s="53">
        <f>SUMIFS(Actual!$F:$F,Actual!$N:$N,Monitoring!AL$6,Actual!$A:$A,Monitoring!$A38)</f>
        <v>0</v>
      </c>
      <c r="AM38" s="53">
        <f>SUMIFS(Actual!$F:$F,Actual!$N:$N,Monitoring!AM$6,Actual!$A:$A,Monitoring!$A38)</f>
        <v>0</v>
      </c>
      <c r="AN38" s="53">
        <f>SUMIFS(Actual!$F:$F,Actual!$N:$N,Monitoring!AN$6,Actual!$A:$A,Monitoring!$A38)</f>
        <v>0</v>
      </c>
      <c r="AO38" s="53">
        <f>SUMIFS(Actual!$F:$F,Actual!$N:$N,Monitoring!AO$6,Actual!$A:$A,Monitoring!$A38)</f>
        <v>0</v>
      </c>
      <c r="AP38" s="53">
        <f t="shared" si="19"/>
        <v>499123.19</v>
      </c>
      <c r="AQ38" s="53">
        <f t="shared" si="20"/>
        <v>0</v>
      </c>
      <c r="AR38" s="53">
        <f t="shared" si="21"/>
        <v>0</v>
      </c>
      <c r="AS38" s="1">
        <f t="shared" si="22"/>
        <v>3660714.29</v>
      </c>
      <c r="AT38" s="12">
        <f t="shared" si="23"/>
        <v>0</v>
      </c>
      <c r="AU38" s="1"/>
      <c r="AV38" s="53">
        <f t="shared" si="24"/>
        <v>0</v>
      </c>
      <c r="AW38" s="1">
        <f t="shared" si="25"/>
        <v>0</v>
      </c>
      <c r="AX38" s="1">
        <f t="shared" si="26"/>
        <v>3161591.1</v>
      </c>
      <c r="AY38" s="1">
        <f t="shared" si="27"/>
        <v>3161591.1</v>
      </c>
      <c r="AZ38" s="1">
        <f t="shared" si="28"/>
        <v>3161591.1</v>
      </c>
      <c r="BA38" s="1">
        <f t="shared" si="29"/>
        <v>3161591.1</v>
      </c>
      <c r="BB38" s="1">
        <f t="shared" si="30"/>
        <v>3161591.1</v>
      </c>
      <c r="BC38" s="1">
        <f t="shared" si="31"/>
        <v>3161591.1</v>
      </c>
      <c r="BD38" s="1">
        <f t="shared" si="32"/>
        <v>3161591.1</v>
      </c>
      <c r="BE38" s="1">
        <f t="shared" si="33"/>
        <v>3660714.29</v>
      </c>
      <c r="BF38" s="1">
        <f t="shared" si="34"/>
        <v>3660714.29</v>
      </c>
      <c r="BG38" s="1">
        <f t="shared" si="35"/>
        <v>3660714.29</v>
      </c>
      <c r="BH38">
        <f t="shared" si="36"/>
        <v>32</v>
      </c>
    </row>
    <row r="39" spans="1:60" s="62" customFormat="1" x14ac:dyDescent="0.35">
      <c r="A39">
        <v>10001314</v>
      </c>
      <c r="B39" t="s">
        <v>167</v>
      </c>
      <c r="C39" t="s">
        <v>93</v>
      </c>
      <c r="D39" t="s">
        <v>93</v>
      </c>
      <c r="E39" s="72"/>
      <c r="F39" s="72" t="s">
        <v>1813</v>
      </c>
      <c r="G39" s="75" t="s">
        <v>1792</v>
      </c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3">
        <f>Z39-1397102.59</f>
        <v>8820595.0700000003</v>
      </c>
      <c r="S39" s="74"/>
      <c r="T39" s="73"/>
      <c r="U39" s="74"/>
      <c r="V39" s="74"/>
      <c r="W39" s="74"/>
      <c r="X39" s="85" t="s">
        <v>2120</v>
      </c>
      <c r="Z39" s="1">
        <f>_xlfn.XLOOKUP(A39,'SAP Report'!A:A,'SAP Report'!C:C)</f>
        <v>10217697.66</v>
      </c>
      <c r="AA39" s="1">
        <f>HLOOKUP($A$4,$AV$6:$BG39,(2+BH38),FALSE)</f>
        <v>8096919.0999999987</v>
      </c>
      <c r="AB39" s="1">
        <f>SUMIF('Open PR PO'!A:A,Monitoring!A39,'Open PR PO'!K:K)</f>
        <v>1429857.1500000001</v>
      </c>
      <c r="AC39" s="1">
        <f t="shared" si="37"/>
        <v>9526776.2499999981</v>
      </c>
      <c r="AD39" s="1">
        <f t="shared" si="38"/>
        <v>690921.41000000201</v>
      </c>
      <c r="AE39" s="1">
        <f t="shared" si="39"/>
        <v>2120778.5600000015</v>
      </c>
      <c r="AF39" s="1"/>
      <c r="AG39" s="53">
        <f>SUMIFS(Actual!$F:$F,Actual!$N:$N,Monitoring!AG$6,Actual!$A:$A,Monitoring!$A39)</f>
        <v>136104.46000000002</v>
      </c>
      <c r="AH39" s="53">
        <f>SUMIFS(Actual!$F:$F,Actual!$N:$N,Monitoring!AH$6,Actual!$A:$A,Monitoring!$A39)</f>
        <v>3091517.6699999995</v>
      </c>
      <c r="AI39" s="53">
        <f>SUMIFS(Actual!$F:$F,Actual!$N:$N,Monitoring!AI$6,Actual!$A:$A,Monitoring!$A39)</f>
        <v>1251288.1700000004</v>
      </c>
      <c r="AJ39" s="53">
        <f>SUMIFS(Actual!$F:$F,Actual!$N:$N,Monitoring!AJ$6,Actual!$A:$A,Monitoring!$A39)</f>
        <v>3505591.4299999988</v>
      </c>
      <c r="AK39" s="53">
        <f>SUMIFS(Actual!$F:$F,Actual!$N:$N,Monitoring!AK$6,Actual!$A:$A,Monitoring!$A39)</f>
        <v>0</v>
      </c>
      <c r="AL39" s="53">
        <f>SUMIFS(Actual!$F:$F,Actual!$N:$N,Monitoring!AL$6,Actual!$A:$A,Monitoring!$A39)</f>
        <v>0</v>
      </c>
      <c r="AM39" s="53">
        <f>SUMIFS(Actual!$F:$F,Actual!$N:$N,Monitoring!AM$6,Actual!$A:$A,Monitoring!$A39)</f>
        <v>53571.43</v>
      </c>
      <c r="AN39" s="53">
        <f>SUMIFS(Actual!$F:$F,Actual!$N:$N,Monitoring!AN$6,Actual!$A:$A,Monitoring!$A39)</f>
        <v>58845.94</v>
      </c>
      <c r="AO39" s="53">
        <f>SUMIFS(Actual!$F:$F,Actual!$N:$N,Monitoring!AO$6,Actual!$A:$A,Monitoring!$A39)</f>
        <v>0</v>
      </c>
      <c r="AP39" s="53">
        <f t="shared" si="19"/>
        <v>1429857.1500000001</v>
      </c>
      <c r="AQ39" s="53">
        <f t="shared" si="20"/>
        <v>345460.70500000101</v>
      </c>
      <c r="AR39" s="53">
        <f t="shared" si="21"/>
        <v>345460.70500000101</v>
      </c>
      <c r="AS39" s="1">
        <f t="shared" si="22"/>
        <v>10217697.66</v>
      </c>
      <c r="AT39" s="12">
        <f t="shared" si="23"/>
        <v>0</v>
      </c>
      <c r="AU39" s="1"/>
      <c r="AV39" s="53">
        <f t="shared" si="24"/>
        <v>136104.46000000002</v>
      </c>
      <c r="AW39" s="1">
        <f t="shared" si="25"/>
        <v>3227622.1299999994</v>
      </c>
      <c r="AX39" s="1">
        <f t="shared" si="26"/>
        <v>4478910.3</v>
      </c>
      <c r="AY39" s="1">
        <f t="shared" si="27"/>
        <v>7984501.7299999986</v>
      </c>
      <c r="AZ39" s="1">
        <f t="shared" si="28"/>
        <v>7984501.7299999986</v>
      </c>
      <c r="BA39" s="1">
        <f t="shared" si="29"/>
        <v>7984501.7299999986</v>
      </c>
      <c r="BB39" s="1">
        <f t="shared" si="30"/>
        <v>8038073.1599999983</v>
      </c>
      <c r="BC39" s="1">
        <f t="shared" si="31"/>
        <v>8096919.0999999987</v>
      </c>
      <c r="BD39" s="1">
        <f t="shared" si="32"/>
        <v>8096919.0999999987</v>
      </c>
      <c r="BE39" s="1">
        <f t="shared" si="33"/>
        <v>9526776.2499999981</v>
      </c>
      <c r="BF39" s="1">
        <f t="shared" si="34"/>
        <v>9872236.9549999982</v>
      </c>
      <c r="BG39" s="1">
        <f t="shared" si="35"/>
        <v>10217697.66</v>
      </c>
      <c r="BH39">
        <f t="shared" si="36"/>
        <v>33</v>
      </c>
    </row>
    <row r="40" spans="1:60" s="62" customFormat="1" x14ac:dyDescent="0.35">
      <c r="A40">
        <v>10001340</v>
      </c>
      <c r="B40" t="s">
        <v>174</v>
      </c>
      <c r="C40" t="s">
        <v>93</v>
      </c>
      <c r="D40" t="s">
        <v>93</v>
      </c>
      <c r="E40" s="72"/>
      <c r="F40" s="72" t="s">
        <v>1814</v>
      </c>
      <c r="G40" s="75" t="s">
        <v>1792</v>
      </c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3">
        <f t="shared" si="40"/>
        <v>285714.28999999998</v>
      </c>
      <c r="S40" s="74"/>
      <c r="T40" s="73"/>
      <c r="U40" s="74"/>
      <c r="V40" s="74"/>
      <c r="W40" s="74"/>
      <c r="X40" s="72"/>
      <c r="Z40" s="1">
        <f>_xlfn.XLOOKUP(A40,'SAP Report'!A:A,'SAP Report'!C:C)</f>
        <v>285714.28999999998</v>
      </c>
      <c r="AA40" s="1">
        <f>HLOOKUP($A$4,$AV$6:$BG40,(2+BH39),FALSE)</f>
        <v>285714.28999999998</v>
      </c>
      <c r="AB40" s="1">
        <f>SUMIF('Open PR PO'!A:A,Monitoring!A40,'Open PR PO'!K:K)</f>
        <v>0</v>
      </c>
      <c r="AC40" s="1">
        <f t="shared" si="37"/>
        <v>285714.28999999998</v>
      </c>
      <c r="AD40" s="1">
        <f t="shared" si="38"/>
        <v>0</v>
      </c>
      <c r="AE40" s="1">
        <f t="shared" si="39"/>
        <v>0</v>
      </c>
      <c r="AF40" s="1"/>
      <c r="AG40" s="53">
        <f>SUMIFS(Actual!$F:$F,Actual!$N:$N,Monitoring!AG$6,Actual!$A:$A,Monitoring!$A40)</f>
        <v>0</v>
      </c>
      <c r="AH40" s="53">
        <f>SUMIFS(Actual!$F:$F,Actual!$N:$N,Monitoring!AH$6,Actual!$A:$A,Monitoring!$A40)</f>
        <v>0</v>
      </c>
      <c r="AI40" s="53">
        <f>SUMIFS(Actual!$F:$F,Actual!$N:$N,Monitoring!AI$6,Actual!$A:$A,Monitoring!$A40)</f>
        <v>285714.28999999998</v>
      </c>
      <c r="AJ40" s="53">
        <f>SUMIFS(Actual!$F:$F,Actual!$N:$N,Monitoring!AJ$6,Actual!$A:$A,Monitoring!$A40)</f>
        <v>0</v>
      </c>
      <c r="AK40" s="53">
        <f>SUMIFS(Actual!$F:$F,Actual!$N:$N,Monitoring!AK$6,Actual!$A:$A,Monitoring!$A40)</f>
        <v>0</v>
      </c>
      <c r="AL40" s="53">
        <f>SUMIFS(Actual!$F:$F,Actual!$N:$N,Monitoring!AL$6,Actual!$A:$A,Monitoring!$A40)</f>
        <v>0</v>
      </c>
      <c r="AM40" s="53">
        <f>SUMIFS(Actual!$F:$F,Actual!$N:$N,Monitoring!AM$6,Actual!$A:$A,Monitoring!$A40)</f>
        <v>0</v>
      </c>
      <c r="AN40" s="53">
        <f>SUMIFS(Actual!$F:$F,Actual!$N:$N,Monitoring!AN$6,Actual!$A:$A,Monitoring!$A40)</f>
        <v>0</v>
      </c>
      <c r="AO40" s="53">
        <f>SUMIFS(Actual!$F:$F,Actual!$N:$N,Monitoring!AO$6,Actual!$A:$A,Monitoring!$A40)</f>
        <v>0</v>
      </c>
      <c r="AP40" s="53">
        <f t="shared" si="19"/>
        <v>0</v>
      </c>
      <c r="AQ40" s="53">
        <f t="shared" si="20"/>
        <v>0</v>
      </c>
      <c r="AR40" s="53">
        <f t="shared" si="21"/>
        <v>0</v>
      </c>
      <c r="AS40" s="1">
        <f t="shared" si="22"/>
        <v>285714.28999999998</v>
      </c>
      <c r="AT40" s="12">
        <f t="shared" si="23"/>
        <v>0</v>
      </c>
      <c r="AU40" s="1"/>
      <c r="AV40" s="53">
        <f t="shared" si="24"/>
        <v>0</v>
      </c>
      <c r="AW40" s="1">
        <f t="shared" si="25"/>
        <v>0</v>
      </c>
      <c r="AX40" s="1">
        <f t="shared" si="26"/>
        <v>285714.28999999998</v>
      </c>
      <c r="AY40" s="1">
        <f t="shared" si="27"/>
        <v>285714.28999999998</v>
      </c>
      <c r="AZ40" s="1">
        <f t="shared" si="28"/>
        <v>285714.28999999998</v>
      </c>
      <c r="BA40" s="1">
        <f t="shared" si="29"/>
        <v>285714.28999999998</v>
      </c>
      <c r="BB40" s="1">
        <f t="shared" si="30"/>
        <v>285714.28999999998</v>
      </c>
      <c r="BC40" s="1">
        <f t="shared" si="31"/>
        <v>285714.28999999998</v>
      </c>
      <c r="BD40" s="1">
        <f t="shared" si="32"/>
        <v>285714.28999999998</v>
      </c>
      <c r="BE40" s="1">
        <f t="shared" si="33"/>
        <v>285714.28999999998</v>
      </c>
      <c r="BF40" s="1">
        <f t="shared" si="34"/>
        <v>285714.28999999998</v>
      </c>
      <c r="BG40" s="1">
        <f t="shared" si="35"/>
        <v>285714.28999999998</v>
      </c>
      <c r="BH40">
        <f t="shared" si="36"/>
        <v>34</v>
      </c>
    </row>
    <row r="41" spans="1:60" s="62" customFormat="1" x14ac:dyDescent="0.35">
      <c r="A41">
        <v>10001360</v>
      </c>
      <c r="B41" t="s">
        <v>177</v>
      </c>
      <c r="C41" t="s">
        <v>93</v>
      </c>
      <c r="D41" t="s">
        <v>93</v>
      </c>
      <c r="E41" s="72"/>
      <c r="F41" s="72" t="s">
        <v>1814</v>
      </c>
      <c r="G41" s="75" t="s">
        <v>1792</v>
      </c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3">
        <f t="shared" si="40"/>
        <v>2437500</v>
      </c>
      <c r="S41" s="74"/>
      <c r="T41" s="73"/>
      <c r="U41" s="74"/>
      <c r="V41" s="74"/>
      <c r="W41" s="74"/>
      <c r="X41" s="72"/>
      <c r="Z41" s="1">
        <f>_xlfn.XLOOKUP(A41,'SAP Report'!A:A,'SAP Report'!C:C)</f>
        <v>2437500</v>
      </c>
      <c r="AA41" s="1">
        <f>HLOOKUP($A$4,$AV$6:$BG41,(2+BH40),FALSE)</f>
        <v>2437500</v>
      </c>
      <c r="AB41" s="1">
        <f>SUMIF('Open PR PO'!A:A,Monitoring!A41,'Open PR PO'!K:K)</f>
        <v>0</v>
      </c>
      <c r="AC41" s="1">
        <f t="shared" si="37"/>
        <v>2437500</v>
      </c>
      <c r="AD41" s="1">
        <f t="shared" si="38"/>
        <v>0</v>
      </c>
      <c r="AE41" s="1">
        <f t="shared" si="39"/>
        <v>0</v>
      </c>
      <c r="AF41" s="1"/>
      <c r="AG41" s="53">
        <f>SUMIFS(Actual!$F:$F,Actual!$N:$N,Monitoring!AG$6,Actual!$A:$A,Monitoring!$A41)</f>
        <v>0</v>
      </c>
      <c r="AH41" s="53">
        <f>SUMIFS(Actual!$F:$F,Actual!$N:$N,Monitoring!AH$6,Actual!$A:$A,Monitoring!$A41)</f>
        <v>0</v>
      </c>
      <c r="AI41" s="53">
        <f>SUMIFS(Actual!$F:$F,Actual!$N:$N,Monitoring!AI$6,Actual!$A:$A,Monitoring!$A41)</f>
        <v>2437500</v>
      </c>
      <c r="AJ41" s="53">
        <f>SUMIFS(Actual!$F:$F,Actual!$N:$N,Monitoring!AJ$6,Actual!$A:$A,Monitoring!$A41)</f>
        <v>0</v>
      </c>
      <c r="AK41" s="53">
        <f>SUMIFS(Actual!$F:$F,Actual!$N:$N,Monitoring!AK$6,Actual!$A:$A,Monitoring!$A41)</f>
        <v>0</v>
      </c>
      <c r="AL41" s="53">
        <f>SUMIFS(Actual!$F:$F,Actual!$N:$N,Monitoring!AL$6,Actual!$A:$A,Monitoring!$A41)</f>
        <v>0</v>
      </c>
      <c r="AM41" s="53">
        <f>SUMIFS(Actual!$F:$F,Actual!$N:$N,Monitoring!AM$6,Actual!$A:$A,Monitoring!$A41)</f>
        <v>0</v>
      </c>
      <c r="AN41" s="53">
        <f>SUMIFS(Actual!$F:$F,Actual!$N:$N,Monitoring!AN$6,Actual!$A:$A,Monitoring!$A41)</f>
        <v>0</v>
      </c>
      <c r="AO41" s="53">
        <f>SUMIFS(Actual!$F:$F,Actual!$N:$N,Monitoring!AO$6,Actual!$A:$A,Monitoring!$A41)</f>
        <v>0</v>
      </c>
      <c r="AP41" s="53">
        <f t="shared" si="19"/>
        <v>0</v>
      </c>
      <c r="AQ41" s="53">
        <f t="shared" si="20"/>
        <v>0</v>
      </c>
      <c r="AR41" s="53">
        <f t="shared" si="21"/>
        <v>0</v>
      </c>
      <c r="AS41" s="1">
        <f t="shared" si="22"/>
        <v>2437500</v>
      </c>
      <c r="AT41" s="12">
        <f t="shared" si="23"/>
        <v>0</v>
      </c>
      <c r="AU41" s="1"/>
      <c r="AV41" s="53">
        <f t="shared" si="24"/>
        <v>0</v>
      </c>
      <c r="AW41" s="1">
        <f t="shared" si="25"/>
        <v>0</v>
      </c>
      <c r="AX41" s="1">
        <f t="shared" si="26"/>
        <v>2437500</v>
      </c>
      <c r="AY41" s="1">
        <f t="shared" si="27"/>
        <v>2437500</v>
      </c>
      <c r="AZ41" s="1">
        <f t="shared" si="28"/>
        <v>2437500</v>
      </c>
      <c r="BA41" s="1">
        <f t="shared" si="29"/>
        <v>2437500</v>
      </c>
      <c r="BB41" s="1">
        <f t="shared" si="30"/>
        <v>2437500</v>
      </c>
      <c r="BC41" s="1">
        <f t="shared" si="31"/>
        <v>2437500</v>
      </c>
      <c r="BD41" s="1">
        <f t="shared" si="32"/>
        <v>2437500</v>
      </c>
      <c r="BE41" s="1">
        <f t="shared" si="33"/>
        <v>2437500</v>
      </c>
      <c r="BF41" s="1">
        <f t="shared" si="34"/>
        <v>2437500</v>
      </c>
      <c r="BG41" s="1">
        <f t="shared" si="35"/>
        <v>2437500</v>
      </c>
      <c r="BH41">
        <f t="shared" si="36"/>
        <v>35</v>
      </c>
    </row>
    <row r="42" spans="1:60" s="62" customFormat="1" x14ac:dyDescent="0.35">
      <c r="A42">
        <v>10001361</v>
      </c>
      <c r="B42" t="s">
        <v>180</v>
      </c>
      <c r="C42" t="s">
        <v>93</v>
      </c>
      <c r="D42" t="s">
        <v>93</v>
      </c>
      <c r="E42" s="72"/>
      <c r="F42" s="72" t="s">
        <v>1814</v>
      </c>
      <c r="G42" s="75" t="s">
        <v>1792</v>
      </c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3">
        <f t="shared" si="40"/>
        <v>2901785.71</v>
      </c>
      <c r="S42" s="74"/>
      <c r="T42" s="73"/>
      <c r="U42" s="74"/>
      <c r="V42" s="74"/>
      <c r="W42" s="74"/>
      <c r="X42" s="72"/>
      <c r="Z42" s="1">
        <f>_xlfn.XLOOKUP(A42,'SAP Report'!A:A,'SAP Report'!C:C)</f>
        <v>2901785.71</v>
      </c>
      <c r="AA42" s="1">
        <f>HLOOKUP($A$4,$AV$6:$BG42,(2+BH41),FALSE)</f>
        <v>2901785.71</v>
      </c>
      <c r="AB42" s="1">
        <f>SUMIF('Open PR PO'!A:A,Monitoring!A42,'Open PR PO'!K:K)</f>
        <v>0</v>
      </c>
      <c r="AC42" s="1">
        <f t="shared" si="37"/>
        <v>2901785.71</v>
      </c>
      <c r="AD42" s="1">
        <f t="shared" si="38"/>
        <v>0</v>
      </c>
      <c r="AE42" s="1">
        <f t="shared" si="39"/>
        <v>0</v>
      </c>
      <c r="AF42" s="1"/>
      <c r="AG42" s="53">
        <f>SUMIFS(Actual!$F:$F,Actual!$N:$N,Monitoring!AG$6,Actual!$A:$A,Monitoring!$A42)</f>
        <v>0</v>
      </c>
      <c r="AH42" s="53">
        <f>SUMIFS(Actual!$F:$F,Actual!$N:$N,Monitoring!AH$6,Actual!$A:$A,Monitoring!$A42)</f>
        <v>2089285.71</v>
      </c>
      <c r="AI42" s="53">
        <f>SUMIFS(Actual!$F:$F,Actual!$N:$N,Monitoring!AI$6,Actual!$A:$A,Monitoring!$A42)</f>
        <v>0</v>
      </c>
      <c r="AJ42" s="53">
        <f>SUMIFS(Actual!$F:$F,Actual!$N:$N,Monitoring!AJ$6,Actual!$A:$A,Monitoring!$A42)</f>
        <v>812500</v>
      </c>
      <c r="AK42" s="53">
        <f>SUMIFS(Actual!$F:$F,Actual!$N:$N,Monitoring!AK$6,Actual!$A:$A,Monitoring!$A42)</f>
        <v>0</v>
      </c>
      <c r="AL42" s="53">
        <f>SUMIFS(Actual!$F:$F,Actual!$N:$N,Monitoring!AL$6,Actual!$A:$A,Monitoring!$A42)</f>
        <v>0</v>
      </c>
      <c r="AM42" s="53">
        <f>SUMIFS(Actual!$F:$F,Actual!$N:$N,Monitoring!AM$6,Actual!$A:$A,Monitoring!$A42)</f>
        <v>0</v>
      </c>
      <c r="AN42" s="53">
        <f>SUMIFS(Actual!$F:$F,Actual!$N:$N,Monitoring!AN$6,Actual!$A:$A,Monitoring!$A42)</f>
        <v>0</v>
      </c>
      <c r="AO42" s="53">
        <f>SUMIFS(Actual!$F:$F,Actual!$N:$N,Monitoring!AO$6,Actual!$A:$A,Monitoring!$A42)</f>
        <v>0</v>
      </c>
      <c r="AP42" s="53">
        <f t="shared" si="19"/>
        <v>0</v>
      </c>
      <c r="AQ42" s="53">
        <f t="shared" si="20"/>
        <v>0</v>
      </c>
      <c r="AR42" s="53">
        <f t="shared" si="21"/>
        <v>0</v>
      </c>
      <c r="AS42" s="1">
        <f t="shared" si="22"/>
        <v>2901785.71</v>
      </c>
      <c r="AT42" s="12">
        <f t="shared" si="23"/>
        <v>0</v>
      </c>
      <c r="AU42" s="1"/>
      <c r="AV42" s="53">
        <f t="shared" si="24"/>
        <v>0</v>
      </c>
      <c r="AW42" s="1">
        <f t="shared" si="25"/>
        <v>2089285.71</v>
      </c>
      <c r="AX42" s="1">
        <f t="shared" si="26"/>
        <v>2089285.71</v>
      </c>
      <c r="AY42" s="1">
        <f t="shared" si="27"/>
        <v>2901785.71</v>
      </c>
      <c r="AZ42" s="1">
        <f t="shared" si="28"/>
        <v>2901785.71</v>
      </c>
      <c r="BA42" s="1">
        <f t="shared" si="29"/>
        <v>2901785.71</v>
      </c>
      <c r="BB42" s="1">
        <f t="shared" si="30"/>
        <v>2901785.71</v>
      </c>
      <c r="BC42" s="1">
        <f t="shared" si="31"/>
        <v>2901785.71</v>
      </c>
      <c r="BD42" s="1">
        <f t="shared" si="32"/>
        <v>2901785.71</v>
      </c>
      <c r="BE42" s="1">
        <f t="shared" si="33"/>
        <v>2901785.71</v>
      </c>
      <c r="BF42" s="1">
        <f t="shared" si="34"/>
        <v>2901785.71</v>
      </c>
      <c r="BG42" s="1">
        <f t="shared" si="35"/>
        <v>2901785.71</v>
      </c>
      <c r="BH42">
        <f t="shared" si="36"/>
        <v>36</v>
      </c>
    </row>
    <row r="43" spans="1:60" s="62" customFormat="1" x14ac:dyDescent="0.35">
      <c r="A43">
        <v>10001363</v>
      </c>
      <c r="B43" t="s">
        <v>183</v>
      </c>
      <c r="C43" t="s">
        <v>93</v>
      </c>
      <c r="D43" t="s">
        <v>93</v>
      </c>
      <c r="E43" s="72"/>
      <c r="F43" s="72" t="s">
        <v>1814</v>
      </c>
      <c r="G43" s="75" t="s">
        <v>1792</v>
      </c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3">
        <f t="shared" si="40"/>
        <v>714285.71</v>
      </c>
      <c r="S43" s="74"/>
      <c r="T43" s="73"/>
      <c r="U43" s="74"/>
      <c r="V43" s="74"/>
      <c r="W43" s="74"/>
      <c r="X43" s="72"/>
      <c r="Z43" s="1">
        <f>_xlfn.XLOOKUP(A43,'SAP Report'!A:A,'SAP Report'!C:C)</f>
        <v>714285.71</v>
      </c>
      <c r="AA43" s="1">
        <f>HLOOKUP($A$4,$AV$6:$BG43,(2+BH42),FALSE)</f>
        <v>714285.71</v>
      </c>
      <c r="AB43" s="1">
        <f>SUMIF('Open PR PO'!A:A,Monitoring!A43,'Open PR PO'!K:K)</f>
        <v>0</v>
      </c>
      <c r="AC43" s="1">
        <f t="shared" si="37"/>
        <v>714285.71</v>
      </c>
      <c r="AD43" s="1">
        <f t="shared" si="38"/>
        <v>0</v>
      </c>
      <c r="AE43" s="1">
        <f t="shared" si="39"/>
        <v>0</v>
      </c>
      <c r="AF43" s="1"/>
      <c r="AG43" s="53">
        <f>SUMIFS(Actual!$F:$F,Actual!$N:$N,Monitoring!AG$6,Actual!$A:$A,Monitoring!$A43)</f>
        <v>0</v>
      </c>
      <c r="AH43" s="53">
        <f>SUMIFS(Actual!$F:$F,Actual!$N:$N,Monitoring!AH$6,Actual!$A:$A,Monitoring!$A43)</f>
        <v>0</v>
      </c>
      <c r="AI43" s="53">
        <f>SUMIFS(Actual!$F:$F,Actual!$N:$N,Monitoring!AI$6,Actual!$A:$A,Monitoring!$A43)</f>
        <v>0</v>
      </c>
      <c r="AJ43" s="53">
        <f>SUMIFS(Actual!$F:$F,Actual!$N:$N,Monitoring!AJ$6,Actual!$A:$A,Monitoring!$A43)</f>
        <v>714285.71</v>
      </c>
      <c r="AK43" s="53">
        <f>SUMIFS(Actual!$F:$F,Actual!$N:$N,Monitoring!AK$6,Actual!$A:$A,Monitoring!$A43)</f>
        <v>0</v>
      </c>
      <c r="AL43" s="53">
        <f>SUMIFS(Actual!$F:$F,Actual!$N:$N,Monitoring!AL$6,Actual!$A:$A,Monitoring!$A43)</f>
        <v>0</v>
      </c>
      <c r="AM43" s="53">
        <f>SUMIFS(Actual!$F:$F,Actual!$N:$N,Monitoring!AM$6,Actual!$A:$A,Monitoring!$A43)</f>
        <v>0</v>
      </c>
      <c r="AN43" s="53">
        <f>SUMIFS(Actual!$F:$F,Actual!$N:$N,Monitoring!AN$6,Actual!$A:$A,Monitoring!$A43)</f>
        <v>0</v>
      </c>
      <c r="AO43" s="53">
        <f>SUMIFS(Actual!$F:$F,Actual!$N:$N,Monitoring!AO$6,Actual!$A:$A,Monitoring!$A43)</f>
        <v>0</v>
      </c>
      <c r="AP43" s="53">
        <f t="shared" si="19"/>
        <v>0</v>
      </c>
      <c r="AQ43" s="53">
        <f t="shared" si="20"/>
        <v>0</v>
      </c>
      <c r="AR43" s="53">
        <f t="shared" si="21"/>
        <v>0</v>
      </c>
      <c r="AS43" s="1">
        <f t="shared" si="22"/>
        <v>714285.71</v>
      </c>
      <c r="AT43" s="12">
        <f t="shared" si="23"/>
        <v>0</v>
      </c>
      <c r="AU43" s="1"/>
      <c r="AV43" s="53">
        <f t="shared" si="24"/>
        <v>0</v>
      </c>
      <c r="AW43" s="1">
        <f t="shared" si="25"/>
        <v>0</v>
      </c>
      <c r="AX43" s="1">
        <f t="shared" si="26"/>
        <v>0</v>
      </c>
      <c r="AY43" s="1">
        <f t="shared" si="27"/>
        <v>714285.71</v>
      </c>
      <c r="AZ43" s="1">
        <f t="shared" si="28"/>
        <v>714285.71</v>
      </c>
      <c r="BA43" s="1">
        <f t="shared" si="29"/>
        <v>714285.71</v>
      </c>
      <c r="BB43" s="1">
        <f t="shared" si="30"/>
        <v>714285.71</v>
      </c>
      <c r="BC43" s="1">
        <f t="shared" si="31"/>
        <v>714285.71</v>
      </c>
      <c r="BD43" s="1">
        <f t="shared" si="32"/>
        <v>714285.71</v>
      </c>
      <c r="BE43" s="1">
        <f t="shared" si="33"/>
        <v>714285.71</v>
      </c>
      <c r="BF43" s="1">
        <f t="shared" si="34"/>
        <v>714285.71</v>
      </c>
      <c r="BG43" s="1">
        <f t="shared" si="35"/>
        <v>714285.71</v>
      </c>
      <c r="BH43">
        <f t="shared" si="36"/>
        <v>37</v>
      </c>
    </row>
    <row r="44" spans="1:60" s="62" customFormat="1" x14ac:dyDescent="0.35">
      <c r="A44">
        <v>10001381</v>
      </c>
      <c r="B44" t="s">
        <v>195</v>
      </c>
      <c r="C44" t="s">
        <v>93</v>
      </c>
      <c r="D44" t="s">
        <v>93</v>
      </c>
      <c r="E44" s="72"/>
      <c r="F44" s="72" t="s">
        <v>1814</v>
      </c>
      <c r="G44" s="75" t="s">
        <v>1792</v>
      </c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3">
        <f t="shared" si="40"/>
        <v>968800</v>
      </c>
      <c r="S44" s="74"/>
      <c r="T44" s="73"/>
      <c r="U44" s="74"/>
      <c r="V44" s="74"/>
      <c r="W44" s="74"/>
      <c r="X44" s="72"/>
      <c r="Z44" s="1">
        <f>_xlfn.XLOOKUP(A44,'SAP Report'!A:A,'SAP Report'!C:C)</f>
        <v>968800</v>
      </c>
      <c r="AA44" s="1">
        <f>HLOOKUP($A$4,$AV$6:$BG44,(2+BH43),FALSE)</f>
        <v>625000</v>
      </c>
      <c r="AB44" s="1">
        <f>SUMIF('Open PR PO'!A:A,Monitoring!A44,'Open PR PO'!K:K)</f>
        <v>0</v>
      </c>
      <c r="AC44" s="1">
        <f t="shared" si="37"/>
        <v>625000</v>
      </c>
      <c r="AD44" s="1">
        <f t="shared" si="38"/>
        <v>343800</v>
      </c>
      <c r="AE44" s="1">
        <f t="shared" si="39"/>
        <v>343800</v>
      </c>
      <c r="AF44" s="1"/>
      <c r="AG44" s="53">
        <f>SUMIFS(Actual!$F:$F,Actual!$N:$N,Monitoring!AG$6,Actual!$A:$A,Monitoring!$A44)</f>
        <v>0</v>
      </c>
      <c r="AH44" s="53">
        <f>SUMIFS(Actual!$F:$F,Actual!$N:$N,Monitoring!AH$6,Actual!$A:$A,Monitoring!$A44)</f>
        <v>0</v>
      </c>
      <c r="AI44" s="53">
        <f>SUMIFS(Actual!$F:$F,Actual!$N:$N,Monitoring!AI$6,Actual!$A:$A,Monitoring!$A44)</f>
        <v>0</v>
      </c>
      <c r="AJ44" s="53">
        <f>SUMIFS(Actual!$F:$F,Actual!$N:$N,Monitoring!AJ$6,Actual!$A:$A,Monitoring!$A44)</f>
        <v>625000</v>
      </c>
      <c r="AK44" s="53">
        <f>SUMIFS(Actual!$F:$F,Actual!$N:$N,Monitoring!AK$6,Actual!$A:$A,Monitoring!$A44)</f>
        <v>0</v>
      </c>
      <c r="AL44" s="53">
        <f>SUMIFS(Actual!$F:$F,Actual!$N:$N,Monitoring!AL$6,Actual!$A:$A,Monitoring!$A44)</f>
        <v>0</v>
      </c>
      <c r="AM44" s="53">
        <f>SUMIFS(Actual!$F:$F,Actual!$N:$N,Monitoring!AM$6,Actual!$A:$A,Monitoring!$A44)</f>
        <v>0</v>
      </c>
      <c r="AN44" s="53">
        <f>SUMIFS(Actual!$F:$F,Actual!$N:$N,Monitoring!AN$6,Actual!$A:$A,Monitoring!$A44)</f>
        <v>0</v>
      </c>
      <c r="AO44" s="53">
        <f>SUMIFS(Actual!$F:$F,Actual!$N:$N,Monitoring!AO$6,Actual!$A:$A,Monitoring!$A44)</f>
        <v>0</v>
      </c>
      <c r="AP44" s="53">
        <f t="shared" si="19"/>
        <v>0</v>
      </c>
      <c r="AQ44" s="53">
        <f t="shared" si="20"/>
        <v>171900</v>
      </c>
      <c r="AR44" s="53">
        <f t="shared" si="21"/>
        <v>171900</v>
      </c>
      <c r="AS44" s="1">
        <f t="shared" si="22"/>
        <v>968800</v>
      </c>
      <c r="AT44" s="12">
        <f t="shared" si="23"/>
        <v>0</v>
      </c>
      <c r="AU44" s="1"/>
      <c r="AV44" s="53">
        <f t="shared" si="24"/>
        <v>0</v>
      </c>
      <c r="AW44" s="1">
        <f t="shared" si="25"/>
        <v>0</v>
      </c>
      <c r="AX44" s="1">
        <f t="shared" si="26"/>
        <v>0</v>
      </c>
      <c r="AY44" s="1">
        <f t="shared" si="27"/>
        <v>625000</v>
      </c>
      <c r="AZ44" s="1">
        <f t="shared" si="28"/>
        <v>625000</v>
      </c>
      <c r="BA44" s="1">
        <f t="shared" si="29"/>
        <v>625000</v>
      </c>
      <c r="BB44" s="1">
        <f t="shared" si="30"/>
        <v>625000</v>
      </c>
      <c r="BC44" s="1">
        <f t="shared" si="31"/>
        <v>625000</v>
      </c>
      <c r="BD44" s="1">
        <f t="shared" si="32"/>
        <v>625000</v>
      </c>
      <c r="BE44" s="1">
        <f t="shared" si="33"/>
        <v>625000</v>
      </c>
      <c r="BF44" s="1">
        <f t="shared" si="34"/>
        <v>796900</v>
      </c>
      <c r="BG44" s="1">
        <f t="shared" si="35"/>
        <v>968800</v>
      </c>
      <c r="BH44">
        <f t="shared" si="36"/>
        <v>38</v>
      </c>
    </row>
    <row r="45" spans="1:60" s="62" customFormat="1" x14ac:dyDescent="0.35">
      <c r="A45">
        <v>40001062</v>
      </c>
      <c r="B45" t="s">
        <v>960</v>
      </c>
      <c r="C45" t="s">
        <v>85</v>
      </c>
      <c r="D45" t="s">
        <v>797</v>
      </c>
      <c r="E45" s="72"/>
      <c r="F45" s="72" t="s">
        <v>1814</v>
      </c>
      <c r="G45" s="75" t="s">
        <v>1792</v>
      </c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3">
        <f t="shared" si="40"/>
        <v>250000</v>
      </c>
      <c r="S45" s="74"/>
      <c r="T45" s="73"/>
      <c r="U45" s="74"/>
      <c r="V45" s="74"/>
      <c r="W45" s="74"/>
      <c r="X45" s="72"/>
      <c r="Z45" s="1">
        <f>_xlfn.XLOOKUP(A45,'SAP Report'!A:A,'SAP Report'!C:C)</f>
        <v>250000</v>
      </c>
      <c r="AA45" s="1">
        <f>HLOOKUP($A$4,$AV$6:$BG45,(2+BH44),FALSE)</f>
        <v>250000</v>
      </c>
      <c r="AB45" s="1">
        <f>SUMIF('Open PR PO'!A:A,Monitoring!A45,'Open PR PO'!K:K)</f>
        <v>0</v>
      </c>
      <c r="AC45" s="1">
        <f t="shared" si="37"/>
        <v>250000</v>
      </c>
      <c r="AD45" s="1">
        <f t="shared" si="38"/>
        <v>0</v>
      </c>
      <c r="AE45" s="1">
        <f t="shared" si="39"/>
        <v>0</v>
      </c>
      <c r="AF45" s="1"/>
      <c r="AG45" s="53">
        <f>SUMIFS(Actual!$F:$F,Actual!$N:$N,Monitoring!AG$6,Actual!$A:$A,Monitoring!$A45)</f>
        <v>250000</v>
      </c>
      <c r="AH45" s="53">
        <f>SUMIFS(Actual!$F:$F,Actual!$N:$N,Monitoring!AH$6,Actual!$A:$A,Monitoring!$A45)</f>
        <v>0</v>
      </c>
      <c r="AI45" s="53">
        <f>SUMIFS(Actual!$F:$F,Actual!$N:$N,Monitoring!AI$6,Actual!$A:$A,Monitoring!$A45)</f>
        <v>0</v>
      </c>
      <c r="AJ45" s="53">
        <f>SUMIFS(Actual!$F:$F,Actual!$N:$N,Monitoring!AJ$6,Actual!$A:$A,Monitoring!$A45)</f>
        <v>0</v>
      </c>
      <c r="AK45" s="53">
        <f>SUMIFS(Actual!$F:$F,Actual!$N:$N,Monitoring!AK$6,Actual!$A:$A,Monitoring!$A45)</f>
        <v>0</v>
      </c>
      <c r="AL45" s="53">
        <f>SUMIFS(Actual!$F:$F,Actual!$N:$N,Monitoring!AL$6,Actual!$A:$A,Monitoring!$A45)</f>
        <v>0</v>
      </c>
      <c r="AM45" s="53">
        <f>SUMIFS(Actual!$F:$F,Actual!$N:$N,Monitoring!AM$6,Actual!$A:$A,Monitoring!$A45)</f>
        <v>0</v>
      </c>
      <c r="AN45" s="53">
        <f>SUMIFS(Actual!$F:$F,Actual!$N:$N,Monitoring!AN$6,Actual!$A:$A,Monitoring!$A45)</f>
        <v>0</v>
      </c>
      <c r="AO45" s="53">
        <f>SUMIFS(Actual!$F:$F,Actual!$N:$N,Monitoring!AO$6,Actual!$A:$A,Monitoring!$A45)</f>
        <v>0</v>
      </c>
      <c r="AP45" s="53">
        <f t="shared" si="19"/>
        <v>0</v>
      </c>
      <c r="AQ45" s="53">
        <f t="shared" si="20"/>
        <v>0</v>
      </c>
      <c r="AR45" s="53">
        <f t="shared" si="21"/>
        <v>0</v>
      </c>
      <c r="AS45" s="1">
        <f t="shared" si="22"/>
        <v>250000</v>
      </c>
      <c r="AT45" s="12">
        <f t="shared" si="23"/>
        <v>0</v>
      </c>
      <c r="AU45" s="1"/>
      <c r="AV45" s="53">
        <f t="shared" si="24"/>
        <v>250000</v>
      </c>
      <c r="AW45" s="1">
        <f t="shared" si="25"/>
        <v>250000</v>
      </c>
      <c r="AX45" s="1">
        <f t="shared" si="26"/>
        <v>250000</v>
      </c>
      <c r="AY45" s="1">
        <f t="shared" si="27"/>
        <v>250000</v>
      </c>
      <c r="AZ45" s="1">
        <f t="shared" si="28"/>
        <v>250000</v>
      </c>
      <c r="BA45" s="1">
        <f t="shared" si="29"/>
        <v>250000</v>
      </c>
      <c r="BB45" s="1">
        <f t="shared" si="30"/>
        <v>250000</v>
      </c>
      <c r="BC45" s="1">
        <f t="shared" si="31"/>
        <v>250000</v>
      </c>
      <c r="BD45" s="1">
        <f t="shared" si="32"/>
        <v>250000</v>
      </c>
      <c r="BE45" s="1">
        <f t="shared" si="33"/>
        <v>250000</v>
      </c>
      <c r="BF45" s="1">
        <f t="shared" si="34"/>
        <v>250000</v>
      </c>
      <c r="BG45" s="1">
        <f t="shared" si="35"/>
        <v>250000</v>
      </c>
      <c r="BH45">
        <f t="shared" si="36"/>
        <v>39</v>
      </c>
    </row>
    <row r="46" spans="1:60" s="62" customFormat="1" x14ac:dyDescent="0.35">
      <c r="A46">
        <v>40001209</v>
      </c>
      <c r="B46" t="s">
        <v>966</v>
      </c>
      <c r="C46" t="s">
        <v>85</v>
      </c>
      <c r="D46" t="s">
        <v>797</v>
      </c>
      <c r="E46" s="72"/>
      <c r="F46" s="72" t="s">
        <v>1814</v>
      </c>
      <c r="G46" s="75" t="s">
        <v>1792</v>
      </c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3">
        <f t="shared" si="40"/>
        <v>459375</v>
      </c>
      <c r="S46" s="74"/>
      <c r="T46" s="73"/>
      <c r="U46" s="74"/>
      <c r="V46" s="74"/>
      <c r="W46" s="74"/>
      <c r="X46" s="72"/>
      <c r="Z46" s="1">
        <f>_xlfn.XLOOKUP(A46,'SAP Report'!A:A,'SAP Report'!C:C)</f>
        <v>459375</v>
      </c>
      <c r="AA46" s="1">
        <f>HLOOKUP($A$4,$AV$6:$BG46,(2+BH45),FALSE)</f>
        <v>100000</v>
      </c>
      <c r="AB46" s="1">
        <f>SUMIF('Open PR PO'!A:A,Monitoring!A46,'Open PR PO'!K:K)</f>
        <v>0</v>
      </c>
      <c r="AC46" s="1">
        <f t="shared" si="37"/>
        <v>100000</v>
      </c>
      <c r="AD46" s="1">
        <f t="shared" si="38"/>
        <v>359375</v>
      </c>
      <c r="AE46" s="1">
        <f t="shared" si="39"/>
        <v>359375</v>
      </c>
      <c r="AF46" s="1"/>
      <c r="AG46" s="53">
        <f>SUMIFS(Actual!$F:$F,Actual!$N:$N,Monitoring!AG$6,Actual!$A:$A,Monitoring!$A46)</f>
        <v>100000</v>
      </c>
      <c r="AH46" s="53">
        <f>SUMIFS(Actual!$F:$F,Actual!$N:$N,Monitoring!AH$6,Actual!$A:$A,Monitoring!$A46)</f>
        <v>0</v>
      </c>
      <c r="AI46" s="53">
        <f>SUMIFS(Actual!$F:$F,Actual!$N:$N,Monitoring!AI$6,Actual!$A:$A,Monitoring!$A46)</f>
        <v>0</v>
      </c>
      <c r="AJ46" s="53">
        <f>SUMIFS(Actual!$F:$F,Actual!$N:$N,Monitoring!AJ$6,Actual!$A:$A,Monitoring!$A46)</f>
        <v>0</v>
      </c>
      <c r="AK46" s="53">
        <f>SUMIFS(Actual!$F:$F,Actual!$N:$N,Monitoring!AK$6,Actual!$A:$A,Monitoring!$A46)</f>
        <v>0</v>
      </c>
      <c r="AL46" s="53">
        <f>SUMIFS(Actual!$F:$F,Actual!$N:$N,Monitoring!AL$6,Actual!$A:$A,Monitoring!$A46)</f>
        <v>0</v>
      </c>
      <c r="AM46" s="53">
        <f>SUMIFS(Actual!$F:$F,Actual!$N:$N,Monitoring!AM$6,Actual!$A:$A,Monitoring!$A46)</f>
        <v>0</v>
      </c>
      <c r="AN46" s="53">
        <f>SUMIFS(Actual!$F:$F,Actual!$N:$N,Monitoring!AN$6,Actual!$A:$A,Monitoring!$A46)</f>
        <v>0</v>
      </c>
      <c r="AO46" s="53">
        <f>SUMIFS(Actual!$F:$F,Actual!$N:$N,Monitoring!AO$6,Actual!$A:$A,Monitoring!$A46)</f>
        <v>0</v>
      </c>
      <c r="AP46" s="53">
        <f t="shared" si="19"/>
        <v>0</v>
      </c>
      <c r="AQ46" s="53">
        <f t="shared" si="20"/>
        <v>179687.5</v>
      </c>
      <c r="AR46" s="53">
        <f t="shared" si="21"/>
        <v>179687.5</v>
      </c>
      <c r="AS46" s="1">
        <f t="shared" si="22"/>
        <v>459375</v>
      </c>
      <c r="AT46" s="12">
        <f t="shared" si="23"/>
        <v>0</v>
      </c>
      <c r="AU46" s="1"/>
      <c r="AV46" s="53">
        <f t="shared" si="24"/>
        <v>100000</v>
      </c>
      <c r="AW46" s="1">
        <f t="shared" si="25"/>
        <v>100000</v>
      </c>
      <c r="AX46" s="1">
        <f t="shared" si="26"/>
        <v>100000</v>
      </c>
      <c r="AY46" s="1">
        <f t="shared" si="27"/>
        <v>100000</v>
      </c>
      <c r="AZ46" s="1">
        <f t="shared" si="28"/>
        <v>100000</v>
      </c>
      <c r="BA46" s="1">
        <f t="shared" si="29"/>
        <v>100000</v>
      </c>
      <c r="BB46" s="1">
        <f t="shared" si="30"/>
        <v>100000</v>
      </c>
      <c r="BC46" s="1">
        <f t="shared" si="31"/>
        <v>100000</v>
      </c>
      <c r="BD46" s="1">
        <f t="shared" si="32"/>
        <v>100000</v>
      </c>
      <c r="BE46" s="1">
        <f t="shared" si="33"/>
        <v>100000</v>
      </c>
      <c r="BF46" s="1">
        <f t="shared" si="34"/>
        <v>279687.5</v>
      </c>
      <c r="BG46" s="1">
        <f t="shared" si="35"/>
        <v>459375</v>
      </c>
      <c r="BH46">
        <f t="shared" si="36"/>
        <v>40</v>
      </c>
    </row>
    <row r="47" spans="1:60" s="62" customFormat="1" x14ac:dyDescent="0.35">
      <c r="A47">
        <v>40001210</v>
      </c>
      <c r="B47" t="s">
        <v>1793</v>
      </c>
      <c r="C47" t="s">
        <v>85</v>
      </c>
      <c r="D47" t="s">
        <v>797</v>
      </c>
      <c r="E47" s="72"/>
      <c r="F47" s="72" t="s">
        <v>1814</v>
      </c>
      <c r="G47" s="75" t="s">
        <v>1792</v>
      </c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3">
        <f t="shared" si="40"/>
        <v>253125</v>
      </c>
      <c r="S47" s="74"/>
      <c r="T47" s="73"/>
      <c r="U47" s="74"/>
      <c r="V47" s="74"/>
      <c r="W47" s="74"/>
      <c r="X47" s="72"/>
      <c r="Z47" s="1">
        <f>_xlfn.XLOOKUP(A47,'SAP Report'!A:A,'SAP Report'!C:C)</f>
        <v>253125</v>
      </c>
      <c r="AA47" s="1">
        <f>HLOOKUP($A$4,$AV$6:$BG47,(2+BH46),FALSE)</f>
        <v>0</v>
      </c>
      <c r="AB47" s="1">
        <f>SUMIF('Open PR PO'!A:A,Monitoring!A47,'Open PR PO'!K:K)</f>
        <v>0</v>
      </c>
      <c r="AC47" s="1">
        <f t="shared" si="37"/>
        <v>0</v>
      </c>
      <c r="AD47" s="1">
        <f t="shared" si="38"/>
        <v>253125</v>
      </c>
      <c r="AE47" s="1">
        <f t="shared" si="39"/>
        <v>253125</v>
      </c>
      <c r="AF47" s="1"/>
      <c r="AG47" s="53">
        <f>SUMIFS(Actual!$F:$F,Actual!$N:$N,Monitoring!AG$6,Actual!$A:$A,Monitoring!$A47)</f>
        <v>0</v>
      </c>
      <c r="AH47" s="53">
        <f>SUMIFS(Actual!$F:$F,Actual!$N:$N,Monitoring!AH$6,Actual!$A:$A,Monitoring!$A47)</f>
        <v>0</v>
      </c>
      <c r="AI47" s="53">
        <f>SUMIFS(Actual!$F:$F,Actual!$N:$N,Monitoring!AI$6,Actual!$A:$A,Monitoring!$A47)</f>
        <v>0</v>
      </c>
      <c r="AJ47" s="53">
        <f>SUMIFS(Actual!$F:$F,Actual!$N:$N,Monitoring!AJ$6,Actual!$A:$A,Monitoring!$A47)</f>
        <v>0</v>
      </c>
      <c r="AK47" s="53">
        <f>SUMIFS(Actual!$F:$F,Actual!$N:$N,Monitoring!AK$6,Actual!$A:$A,Monitoring!$A47)</f>
        <v>0</v>
      </c>
      <c r="AL47" s="53">
        <f>SUMIFS(Actual!$F:$F,Actual!$N:$N,Monitoring!AL$6,Actual!$A:$A,Monitoring!$A47)</f>
        <v>0</v>
      </c>
      <c r="AM47" s="53">
        <f>SUMIFS(Actual!$F:$F,Actual!$N:$N,Monitoring!AM$6,Actual!$A:$A,Monitoring!$A47)</f>
        <v>0</v>
      </c>
      <c r="AN47" s="53">
        <f>SUMIFS(Actual!$F:$F,Actual!$N:$N,Monitoring!AN$6,Actual!$A:$A,Monitoring!$A47)</f>
        <v>0</v>
      </c>
      <c r="AO47" s="53">
        <f>SUMIFS(Actual!$F:$F,Actual!$N:$N,Monitoring!AO$6,Actual!$A:$A,Monitoring!$A47)</f>
        <v>0</v>
      </c>
      <c r="AP47" s="53">
        <f t="shared" si="19"/>
        <v>0</v>
      </c>
      <c r="AQ47" s="53">
        <f t="shared" si="20"/>
        <v>126562.5</v>
      </c>
      <c r="AR47" s="53">
        <f t="shared" si="21"/>
        <v>126562.5</v>
      </c>
      <c r="AS47" s="1">
        <f t="shared" si="22"/>
        <v>253125</v>
      </c>
      <c r="AT47" s="12">
        <f t="shared" si="23"/>
        <v>0</v>
      </c>
      <c r="AU47" s="1"/>
      <c r="AV47" s="53">
        <f t="shared" si="24"/>
        <v>0</v>
      </c>
      <c r="AW47" s="1">
        <f t="shared" si="25"/>
        <v>0</v>
      </c>
      <c r="AX47" s="1">
        <f t="shared" si="26"/>
        <v>0</v>
      </c>
      <c r="AY47" s="1">
        <f t="shared" si="27"/>
        <v>0</v>
      </c>
      <c r="AZ47" s="1">
        <f t="shared" si="28"/>
        <v>0</v>
      </c>
      <c r="BA47" s="1">
        <f t="shared" si="29"/>
        <v>0</v>
      </c>
      <c r="BB47" s="1">
        <f t="shared" si="30"/>
        <v>0</v>
      </c>
      <c r="BC47" s="1">
        <f t="shared" si="31"/>
        <v>0</v>
      </c>
      <c r="BD47" s="1">
        <f t="shared" si="32"/>
        <v>0</v>
      </c>
      <c r="BE47" s="1">
        <f t="shared" si="33"/>
        <v>0</v>
      </c>
      <c r="BF47" s="1">
        <f t="shared" si="34"/>
        <v>126562.5</v>
      </c>
      <c r="BG47" s="1">
        <f t="shared" si="35"/>
        <v>253125</v>
      </c>
      <c r="BH47">
        <f t="shared" si="36"/>
        <v>41</v>
      </c>
    </row>
    <row r="48" spans="1:60" s="62" customFormat="1" x14ac:dyDescent="0.35">
      <c r="A48">
        <v>40001232</v>
      </c>
      <c r="B48" t="s">
        <v>966</v>
      </c>
      <c r="C48" t="s">
        <v>85</v>
      </c>
      <c r="D48" t="s">
        <v>797</v>
      </c>
      <c r="E48" s="72"/>
      <c r="F48" s="72" t="s">
        <v>1814</v>
      </c>
      <c r="G48" s="75" t="s">
        <v>1792</v>
      </c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3">
        <f t="shared" si="40"/>
        <v>937500</v>
      </c>
      <c r="S48" s="74"/>
      <c r="T48" s="73"/>
      <c r="U48" s="74"/>
      <c r="V48" s="74"/>
      <c r="W48" s="74"/>
      <c r="X48" s="72"/>
      <c r="Z48" s="1">
        <f>_xlfn.XLOOKUP(A48,'SAP Report'!A:A,'SAP Report'!C:C)</f>
        <v>937500</v>
      </c>
      <c r="AA48" s="1">
        <f>HLOOKUP($A$4,$AV$6:$BG48,(2+BH47),FALSE)</f>
        <v>0</v>
      </c>
      <c r="AB48" s="1">
        <f>SUMIF('Open PR PO'!A:A,Monitoring!A48,'Open PR PO'!K:K)</f>
        <v>937500</v>
      </c>
      <c r="AC48" s="1">
        <f t="shared" si="37"/>
        <v>937500</v>
      </c>
      <c r="AD48" s="1">
        <f t="shared" si="38"/>
        <v>0</v>
      </c>
      <c r="AE48" s="1">
        <f t="shared" si="39"/>
        <v>937500</v>
      </c>
      <c r="AF48" s="1"/>
      <c r="AG48" s="53">
        <f>SUMIFS(Actual!$F:$F,Actual!$N:$N,Monitoring!AG$6,Actual!$A:$A,Monitoring!$A48)</f>
        <v>0</v>
      </c>
      <c r="AH48" s="53">
        <f>SUMIFS(Actual!$F:$F,Actual!$N:$N,Monitoring!AH$6,Actual!$A:$A,Monitoring!$A48)</f>
        <v>0</v>
      </c>
      <c r="AI48" s="53">
        <f>SUMIFS(Actual!$F:$F,Actual!$N:$N,Monitoring!AI$6,Actual!$A:$A,Monitoring!$A48)</f>
        <v>0</v>
      </c>
      <c r="AJ48" s="53">
        <f>SUMIFS(Actual!$F:$F,Actual!$N:$N,Monitoring!AJ$6,Actual!$A:$A,Monitoring!$A48)</f>
        <v>0</v>
      </c>
      <c r="AK48" s="53">
        <f>SUMIFS(Actual!$F:$F,Actual!$N:$N,Monitoring!AK$6,Actual!$A:$A,Monitoring!$A48)</f>
        <v>0</v>
      </c>
      <c r="AL48" s="53">
        <f>SUMIFS(Actual!$F:$F,Actual!$N:$N,Monitoring!AL$6,Actual!$A:$A,Monitoring!$A48)</f>
        <v>0</v>
      </c>
      <c r="AM48" s="53">
        <f>SUMIFS(Actual!$F:$F,Actual!$N:$N,Monitoring!AM$6,Actual!$A:$A,Monitoring!$A48)</f>
        <v>0</v>
      </c>
      <c r="AN48" s="53">
        <f>SUMIFS(Actual!$F:$F,Actual!$N:$N,Monitoring!AN$6,Actual!$A:$A,Monitoring!$A48)</f>
        <v>0</v>
      </c>
      <c r="AO48" s="53">
        <f>SUMIFS(Actual!$F:$F,Actual!$N:$N,Monitoring!AO$6,Actual!$A:$A,Monitoring!$A48)</f>
        <v>0</v>
      </c>
      <c r="AP48" s="53">
        <f t="shared" si="19"/>
        <v>937500</v>
      </c>
      <c r="AQ48" s="53">
        <f t="shared" si="20"/>
        <v>0</v>
      </c>
      <c r="AR48" s="53">
        <f t="shared" si="21"/>
        <v>0</v>
      </c>
      <c r="AS48" s="1">
        <f t="shared" si="22"/>
        <v>937500</v>
      </c>
      <c r="AT48" s="12">
        <f t="shared" si="23"/>
        <v>0</v>
      </c>
      <c r="AU48" s="1"/>
      <c r="AV48" s="53">
        <f t="shared" si="24"/>
        <v>0</v>
      </c>
      <c r="AW48" s="1">
        <f t="shared" si="25"/>
        <v>0</v>
      </c>
      <c r="AX48" s="1">
        <f t="shared" si="26"/>
        <v>0</v>
      </c>
      <c r="AY48" s="1">
        <f t="shared" si="27"/>
        <v>0</v>
      </c>
      <c r="AZ48" s="1">
        <f t="shared" si="28"/>
        <v>0</v>
      </c>
      <c r="BA48" s="1">
        <f t="shared" si="29"/>
        <v>0</v>
      </c>
      <c r="BB48" s="1">
        <f t="shared" si="30"/>
        <v>0</v>
      </c>
      <c r="BC48" s="1">
        <f t="shared" si="31"/>
        <v>0</v>
      </c>
      <c r="BD48" s="1">
        <f t="shared" si="32"/>
        <v>0</v>
      </c>
      <c r="BE48" s="1">
        <f t="shared" si="33"/>
        <v>937500</v>
      </c>
      <c r="BF48" s="1">
        <f t="shared" si="34"/>
        <v>937500</v>
      </c>
      <c r="BG48" s="1">
        <f t="shared" si="35"/>
        <v>937500</v>
      </c>
      <c r="BH48">
        <f t="shared" si="36"/>
        <v>42</v>
      </c>
    </row>
    <row r="49" spans="1:60" s="62" customFormat="1" x14ac:dyDescent="0.35">
      <c r="A49">
        <v>40000863</v>
      </c>
      <c r="B49" t="s">
        <v>959</v>
      </c>
      <c r="C49" t="s">
        <v>861</v>
      </c>
      <c r="D49" t="s">
        <v>861</v>
      </c>
      <c r="E49" s="72"/>
      <c r="F49" s="72" t="s">
        <v>1814</v>
      </c>
      <c r="G49" s="75" t="s">
        <v>1792</v>
      </c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3">
        <f t="shared" si="40"/>
        <v>2112000</v>
      </c>
      <c r="S49" s="74"/>
      <c r="T49" s="73"/>
      <c r="U49" s="74"/>
      <c r="V49" s="74"/>
      <c r="W49" s="74"/>
      <c r="X49" s="72"/>
      <c r="Z49" s="1">
        <f>_xlfn.XLOOKUP(A49,'SAP Report'!A:A,'SAP Report'!C:C)</f>
        <v>2112000</v>
      </c>
      <c r="AA49" s="1">
        <f>HLOOKUP($A$4,$AV$6:$BG49,(2+BH48),FALSE)</f>
        <v>0</v>
      </c>
      <c r="AB49" s="1">
        <f>SUMIF('Open PR PO'!A:A,Monitoring!A49,'Open PR PO'!K:K)</f>
        <v>2112000</v>
      </c>
      <c r="AC49" s="1">
        <f t="shared" si="37"/>
        <v>2112000</v>
      </c>
      <c r="AD49" s="1">
        <f t="shared" si="38"/>
        <v>0</v>
      </c>
      <c r="AE49" s="1">
        <f t="shared" si="39"/>
        <v>2112000</v>
      </c>
      <c r="AF49" s="1"/>
      <c r="AG49" s="53">
        <f>SUMIFS(Actual!$F:$F,Actual!$N:$N,Monitoring!AG$6,Actual!$A:$A,Monitoring!$A49)</f>
        <v>0</v>
      </c>
      <c r="AH49" s="53">
        <f>SUMIFS(Actual!$F:$F,Actual!$N:$N,Monitoring!AH$6,Actual!$A:$A,Monitoring!$A49)</f>
        <v>0</v>
      </c>
      <c r="AI49" s="53">
        <f>SUMIFS(Actual!$F:$F,Actual!$N:$N,Monitoring!AI$6,Actual!$A:$A,Monitoring!$A49)</f>
        <v>0</v>
      </c>
      <c r="AJ49" s="53">
        <f>SUMIFS(Actual!$F:$F,Actual!$N:$N,Monitoring!AJ$6,Actual!$A:$A,Monitoring!$A49)</f>
        <v>0</v>
      </c>
      <c r="AK49" s="53">
        <f>SUMIFS(Actual!$F:$F,Actual!$N:$N,Monitoring!AK$6,Actual!$A:$A,Monitoring!$A49)</f>
        <v>0</v>
      </c>
      <c r="AL49" s="53">
        <f>SUMIFS(Actual!$F:$F,Actual!$N:$N,Monitoring!AL$6,Actual!$A:$A,Monitoring!$A49)</f>
        <v>0</v>
      </c>
      <c r="AM49" s="53">
        <f>SUMIFS(Actual!$F:$F,Actual!$N:$N,Monitoring!AM$6,Actual!$A:$A,Monitoring!$A49)</f>
        <v>0</v>
      </c>
      <c r="AN49" s="53">
        <f>SUMIFS(Actual!$F:$F,Actual!$N:$N,Monitoring!AN$6,Actual!$A:$A,Monitoring!$A49)</f>
        <v>0</v>
      </c>
      <c r="AO49" s="53">
        <f>SUMIFS(Actual!$F:$F,Actual!$N:$N,Monitoring!AO$6,Actual!$A:$A,Monitoring!$A49)</f>
        <v>0</v>
      </c>
      <c r="AP49" s="53">
        <f t="shared" si="19"/>
        <v>2112000</v>
      </c>
      <c r="AQ49" s="53">
        <f t="shared" si="20"/>
        <v>0</v>
      </c>
      <c r="AR49" s="53">
        <f t="shared" si="21"/>
        <v>0</v>
      </c>
      <c r="AS49" s="1">
        <f t="shared" si="22"/>
        <v>2112000</v>
      </c>
      <c r="AT49" s="12">
        <f t="shared" si="23"/>
        <v>0</v>
      </c>
      <c r="AU49" s="1"/>
      <c r="AV49" s="53">
        <f t="shared" si="24"/>
        <v>0</v>
      </c>
      <c r="AW49" s="1">
        <f t="shared" si="25"/>
        <v>0</v>
      </c>
      <c r="AX49" s="1">
        <f t="shared" si="26"/>
        <v>0</v>
      </c>
      <c r="AY49" s="1">
        <f t="shared" si="27"/>
        <v>0</v>
      </c>
      <c r="AZ49" s="1">
        <f t="shared" si="28"/>
        <v>0</v>
      </c>
      <c r="BA49" s="1">
        <f t="shared" si="29"/>
        <v>0</v>
      </c>
      <c r="BB49" s="1">
        <f t="shared" si="30"/>
        <v>0</v>
      </c>
      <c r="BC49" s="1">
        <f t="shared" si="31"/>
        <v>0</v>
      </c>
      <c r="BD49" s="1">
        <f t="shared" si="32"/>
        <v>0</v>
      </c>
      <c r="BE49" s="1">
        <f t="shared" si="33"/>
        <v>2112000</v>
      </c>
      <c r="BF49" s="1">
        <f t="shared" si="34"/>
        <v>2112000</v>
      </c>
      <c r="BG49" s="1">
        <f t="shared" si="35"/>
        <v>2112000</v>
      </c>
      <c r="BH49">
        <f t="shared" si="36"/>
        <v>43</v>
      </c>
    </row>
    <row r="50" spans="1:60" s="62" customFormat="1" x14ac:dyDescent="0.35">
      <c r="A50">
        <v>40001147</v>
      </c>
      <c r="B50" t="s">
        <v>961</v>
      </c>
      <c r="C50" t="s">
        <v>861</v>
      </c>
      <c r="D50" t="s">
        <v>861</v>
      </c>
      <c r="E50" s="72"/>
      <c r="F50" s="72" t="s">
        <v>1814</v>
      </c>
      <c r="G50" s="75" t="s">
        <v>1792</v>
      </c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3">
        <f t="shared" si="40"/>
        <v>513411.97</v>
      </c>
      <c r="S50" s="74"/>
      <c r="T50" s="73"/>
      <c r="U50" s="74"/>
      <c r="V50" s="74"/>
      <c r="W50" s="74"/>
      <c r="X50" s="72"/>
      <c r="Z50" s="1">
        <f>_xlfn.XLOOKUP(A50,'SAP Report'!A:A,'SAP Report'!C:C)</f>
        <v>513411.97</v>
      </c>
      <c r="AA50" s="1">
        <f>HLOOKUP($A$4,$AV$6:$BG50,(2+BH49),FALSE)</f>
        <v>0</v>
      </c>
      <c r="AB50" s="1">
        <f>SUMIF('Open PR PO'!A:A,Monitoring!A50,'Open PR PO'!K:K)</f>
        <v>22446.66</v>
      </c>
      <c r="AC50" s="1">
        <f t="shared" si="37"/>
        <v>22446.66</v>
      </c>
      <c r="AD50" s="1">
        <f t="shared" si="38"/>
        <v>490965.31</v>
      </c>
      <c r="AE50" s="1">
        <f t="shared" si="39"/>
        <v>513411.97</v>
      </c>
      <c r="AF50" s="1"/>
      <c r="AG50" s="53">
        <f>SUMIFS(Actual!$F:$F,Actual!$N:$N,Monitoring!AG$6,Actual!$A:$A,Monitoring!$A50)</f>
        <v>0</v>
      </c>
      <c r="AH50" s="53">
        <f>SUMIFS(Actual!$F:$F,Actual!$N:$N,Monitoring!AH$6,Actual!$A:$A,Monitoring!$A50)</f>
        <v>0</v>
      </c>
      <c r="AI50" s="53">
        <f>SUMIFS(Actual!$F:$F,Actual!$N:$N,Monitoring!AI$6,Actual!$A:$A,Monitoring!$A50)</f>
        <v>0</v>
      </c>
      <c r="AJ50" s="53">
        <f>SUMIFS(Actual!$F:$F,Actual!$N:$N,Monitoring!AJ$6,Actual!$A:$A,Monitoring!$A50)</f>
        <v>0</v>
      </c>
      <c r="AK50" s="53">
        <f>SUMIFS(Actual!$F:$F,Actual!$N:$N,Monitoring!AK$6,Actual!$A:$A,Monitoring!$A50)</f>
        <v>0</v>
      </c>
      <c r="AL50" s="53">
        <f>SUMIFS(Actual!$F:$F,Actual!$N:$N,Monitoring!AL$6,Actual!$A:$A,Monitoring!$A50)</f>
        <v>0</v>
      </c>
      <c r="AM50" s="53">
        <f>SUMIFS(Actual!$F:$F,Actual!$N:$N,Monitoring!AM$6,Actual!$A:$A,Monitoring!$A50)</f>
        <v>0</v>
      </c>
      <c r="AN50" s="53">
        <f>SUMIFS(Actual!$F:$F,Actual!$N:$N,Monitoring!AN$6,Actual!$A:$A,Monitoring!$A50)</f>
        <v>0</v>
      </c>
      <c r="AO50" s="53">
        <f>SUMIFS(Actual!$F:$F,Actual!$N:$N,Monitoring!AO$6,Actual!$A:$A,Monitoring!$A50)</f>
        <v>0</v>
      </c>
      <c r="AP50" s="53">
        <f t="shared" si="19"/>
        <v>22446.66</v>
      </c>
      <c r="AQ50" s="53">
        <f t="shared" si="20"/>
        <v>245482.655</v>
      </c>
      <c r="AR50" s="53">
        <f t="shared" si="21"/>
        <v>245482.655</v>
      </c>
      <c r="AS50" s="1">
        <f t="shared" si="22"/>
        <v>513411.97</v>
      </c>
      <c r="AT50" s="12">
        <f t="shared" si="23"/>
        <v>0</v>
      </c>
      <c r="AU50" s="1"/>
      <c r="AV50" s="53">
        <f t="shared" si="24"/>
        <v>0</v>
      </c>
      <c r="AW50" s="1">
        <f t="shared" si="25"/>
        <v>0</v>
      </c>
      <c r="AX50" s="1">
        <f t="shared" si="26"/>
        <v>0</v>
      </c>
      <c r="AY50" s="1">
        <f t="shared" si="27"/>
        <v>0</v>
      </c>
      <c r="AZ50" s="1">
        <f t="shared" si="28"/>
        <v>0</v>
      </c>
      <c r="BA50" s="1">
        <f t="shared" si="29"/>
        <v>0</v>
      </c>
      <c r="BB50" s="1">
        <f t="shared" si="30"/>
        <v>0</v>
      </c>
      <c r="BC50" s="1">
        <f t="shared" si="31"/>
        <v>0</v>
      </c>
      <c r="BD50" s="1">
        <f t="shared" si="32"/>
        <v>0</v>
      </c>
      <c r="BE50" s="1">
        <f t="shared" si="33"/>
        <v>22446.66</v>
      </c>
      <c r="BF50" s="1">
        <f t="shared" si="34"/>
        <v>267929.315</v>
      </c>
      <c r="BG50" s="1">
        <f t="shared" si="35"/>
        <v>513411.97</v>
      </c>
      <c r="BH50">
        <f t="shared" si="36"/>
        <v>44</v>
      </c>
    </row>
    <row r="51" spans="1:60" s="62" customFormat="1" x14ac:dyDescent="0.35">
      <c r="A51">
        <v>40001171</v>
      </c>
      <c r="B51" t="s">
        <v>962</v>
      </c>
      <c r="C51" t="s">
        <v>861</v>
      </c>
      <c r="D51" t="s">
        <v>861</v>
      </c>
      <c r="E51" s="72"/>
      <c r="F51" s="72" t="s">
        <v>1814</v>
      </c>
      <c r="G51" s="75" t="s">
        <v>1792</v>
      </c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3">
        <f t="shared" si="40"/>
        <v>43158.94</v>
      </c>
      <c r="S51" s="74"/>
      <c r="T51" s="73"/>
      <c r="U51" s="74"/>
      <c r="V51" s="74"/>
      <c r="W51" s="74"/>
      <c r="X51" s="72"/>
      <c r="Z51" s="1">
        <f>_xlfn.XLOOKUP(A51,'SAP Report'!A:A,'SAP Report'!C:C)</f>
        <v>43158.94</v>
      </c>
      <c r="AA51" s="1">
        <f>HLOOKUP($A$4,$AV$6:$BG51,(2+BH50),FALSE)</f>
        <v>0</v>
      </c>
      <c r="AB51" s="1">
        <f>SUMIF('Open PR PO'!A:A,Monitoring!A51,'Open PR PO'!K:K)</f>
        <v>43158.94</v>
      </c>
      <c r="AC51" s="1">
        <f t="shared" si="37"/>
        <v>43158.94</v>
      </c>
      <c r="AD51" s="1">
        <f t="shared" si="38"/>
        <v>0</v>
      </c>
      <c r="AE51" s="1">
        <f t="shared" si="39"/>
        <v>43158.94</v>
      </c>
      <c r="AF51" s="1"/>
      <c r="AG51" s="53">
        <f>SUMIFS(Actual!$F:$F,Actual!$N:$N,Monitoring!AG$6,Actual!$A:$A,Monitoring!$A51)</f>
        <v>0</v>
      </c>
      <c r="AH51" s="53">
        <f>SUMIFS(Actual!$F:$F,Actual!$N:$N,Monitoring!AH$6,Actual!$A:$A,Monitoring!$A51)</f>
        <v>0</v>
      </c>
      <c r="AI51" s="53">
        <f>SUMIFS(Actual!$F:$F,Actual!$N:$N,Monitoring!AI$6,Actual!$A:$A,Monitoring!$A51)</f>
        <v>0</v>
      </c>
      <c r="AJ51" s="53">
        <f>SUMIFS(Actual!$F:$F,Actual!$N:$N,Monitoring!AJ$6,Actual!$A:$A,Monitoring!$A51)</f>
        <v>0</v>
      </c>
      <c r="AK51" s="53">
        <f>SUMIFS(Actual!$F:$F,Actual!$N:$N,Monitoring!AK$6,Actual!$A:$A,Monitoring!$A51)</f>
        <v>0</v>
      </c>
      <c r="AL51" s="53">
        <f>SUMIFS(Actual!$F:$F,Actual!$N:$N,Monitoring!AL$6,Actual!$A:$A,Monitoring!$A51)</f>
        <v>0</v>
      </c>
      <c r="AM51" s="53">
        <f>SUMIFS(Actual!$F:$F,Actual!$N:$N,Monitoring!AM$6,Actual!$A:$A,Monitoring!$A51)</f>
        <v>0</v>
      </c>
      <c r="AN51" s="53">
        <f>SUMIFS(Actual!$F:$F,Actual!$N:$N,Monitoring!AN$6,Actual!$A:$A,Monitoring!$A51)</f>
        <v>0</v>
      </c>
      <c r="AO51" s="53">
        <f>SUMIFS(Actual!$F:$F,Actual!$N:$N,Monitoring!AO$6,Actual!$A:$A,Monitoring!$A51)</f>
        <v>0</v>
      </c>
      <c r="AP51" s="53">
        <f t="shared" si="19"/>
        <v>43158.94</v>
      </c>
      <c r="AQ51" s="53">
        <f t="shared" si="20"/>
        <v>0</v>
      </c>
      <c r="AR51" s="53">
        <f t="shared" si="21"/>
        <v>0</v>
      </c>
      <c r="AS51" s="1">
        <f t="shared" si="22"/>
        <v>43158.94</v>
      </c>
      <c r="AT51" s="12">
        <f t="shared" si="23"/>
        <v>0</v>
      </c>
      <c r="AU51" s="1"/>
      <c r="AV51" s="53">
        <f t="shared" si="24"/>
        <v>0</v>
      </c>
      <c r="AW51" s="1">
        <f t="shared" si="25"/>
        <v>0</v>
      </c>
      <c r="AX51" s="1">
        <f t="shared" si="26"/>
        <v>0</v>
      </c>
      <c r="AY51" s="1">
        <f t="shared" si="27"/>
        <v>0</v>
      </c>
      <c r="AZ51" s="1">
        <f t="shared" si="28"/>
        <v>0</v>
      </c>
      <c r="BA51" s="1">
        <f t="shared" si="29"/>
        <v>0</v>
      </c>
      <c r="BB51" s="1">
        <f t="shared" si="30"/>
        <v>0</v>
      </c>
      <c r="BC51" s="1">
        <f t="shared" si="31"/>
        <v>0</v>
      </c>
      <c r="BD51" s="1">
        <f t="shared" si="32"/>
        <v>0</v>
      </c>
      <c r="BE51" s="1">
        <f t="shared" si="33"/>
        <v>43158.94</v>
      </c>
      <c r="BF51" s="1">
        <f t="shared" si="34"/>
        <v>43158.94</v>
      </c>
      <c r="BG51" s="1">
        <f t="shared" si="35"/>
        <v>43158.94</v>
      </c>
      <c r="BH51">
        <f t="shared" si="36"/>
        <v>45</v>
      </c>
    </row>
    <row r="52" spans="1:60" s="62" customFormat="1" x14ac:dyDescent="0.35">
      <c r="A52">
        <v>40001172</v>
      </c>
      <c r="B52" t="s">
        <v>963</v>
      </c>
      <c r="C52" t="s">
        <v>861</v>
      </c>
      <c r="D52" t="s">
        <v>861</v>
      </c>
      <c r="E52" s="72"/>
      <c r="F52" s="72" t="s">
        <v>1814</v>
      </c>
      <c r="G52" s="75" t="s">
        <v>1792</v>
      </c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3">
        <f t="shared" si="40"/>
        <v>148562.51</v>
      </c>
      <c r="S52" s="74"/>
      <c r="T52" s="73"/>
      <c r="U52" s="74"/>
      <c r="V52" s="74"/>
      <c r="W52" s="74"/>
      <c r="X52" s="72"/>
      <c r="Z52" s="1">
        <f>_xlfn.XLOOKUP(A52,'SAP Report'!A:A,'SAP Report'!C:C)</f>
        <v>148562.51</v>
      </c>
      <c r="AA52" s="1">
        <f>HLOOKUP($A$4,$AV$6:$BG52,(2+BH51),FALSE)</f>
        <v>0</v>
      </c>
      <c r="AB52" s="1">
        <f>SUMIF('Open PR PO'!A:A,Monitoring!A52,'Open PR PO'!K:K)</f>
        <v>148562.50999999998</v>
      </c>
      <c r="AC52" s="1">
        <f t="shared" si="37"/>
        <v>148562.50999999998</v>
      </c>
      <c r="AD52" s="1">
        <f t="shared" si="38"/>
        <v>0</v>
      </c>
      <c r="AE52" s="1">
        <f t="shared" si="39"/>
        <v>148562.51</v>
      </c>
      <c r="AF52" s="1"/>
      <c r="AG52" s="53">
        <f>SUMIFS(Actual!$F:$F,Actual!$N:$N,Monitoring!AG$6,Actual!$A:$A,Monitoring!$A52)</f>
        <v>0</v>
      </c>
      <c r="AH52" s="53">
        <f>SUMIFS(Actual!$F:$F,Actual!$N:$N,Monitoring!AH$6,Actual!$A:$A,Monitoring!$A52)</f>
        <v>0</v>
      </c>
      <c r="AI52" s="53">
        <f>SUMIFS(Actual!$F:$F,Actual!$N:$N,Monitoring!AI$6,Actual!$A:$A,Monitoring!$A52)</f>
        <v>0</v>
      </c>
      <c r="AJ52" s="53">
        <f>SUMIFS(Actual!$F:$F,Actual!$N:$N,Monitoring!AJ$6,Actual!$A:$A,Monitoring!$A52)</f>
        <v>0</v>
      </c>
      <c r="AK52" s="53">
        <f>SUMIFS(Actual!$F:$F,Actual!$N:$N,Monitoring!AK$6,Actual!$A:$A,Monitoring!$A52)</f>
        <v>0</v>
      </c>
      <c r="AL52" s="53">
        <f>SUMIFS(Actual!$F:$F,Actual!$N:$N,Monitoring!AL$6,Actual!$A:$A,Monitoring!$A52)</f>
        <v>0</v>
      </c>
      <c r="AM52" s="53">
        <f>SUMIFS(Actual!$F:$F,Actual!$N:$N,Monitoring!AM$6,Actual!$A:$A,Monitoring!$A52)</f>
        <v>0</v>
      </c>
      <c r="AN52" s="53">
        <f>SUMIFS(Actual!$F:$F,Actual!$N:$N,Monitoring!AN$6,Actual!$A:$A,Monitoring!$A52)</f>
        <v>0</v>
      </c>
      <c r="AO52" s="53">
        <f>SUMIFS(Actual!$F:$F,Actual!$N:$N,Monitoring!AO$6,Actual!$A:$A,Monitoring!$A52)</f>
        <v>0</v>
      </c>
      <c r="AP52" s="53">
        <f t="shared" si="19"/>
        <v>148562.50999999998</v>
      </c>
      <c r="AQ52" s="53">
        <f t="shared" si="20"/>
        <v>0</v>
      </c>
      <c r="AR52" s="53">
        <f t="shared" si="21"/>
        <v>0</v>
      </c>
      <c r="AS52" s="1">
        <f t="shared" si="22"/>
        <v>148562.50999999998</v>
      </c>
      <c r="AT52" s="12">
        <f t="shared" si="23"/>
        <v>0</v>
      </c>
      <c r="AU52" s="1"/>
      <c r="AV52" s="53">
        <f t="shared" si="24"/>
        <v>0</v>
      </c>
      <c r="AW52" s="1">
        <f t="shared" si="25"/>
        <v>0</v>
      </c>
      <c r="AX52" s="1">
        <f t="shared" si="26"/>
        <v>0</v>
      </c>
      <c r="AY52" s="1">
        <f t="shared" si="27"/>
        <v>0</v>
      </c>
      <c r="AZ52" s="1">
        <f t="shared" si="28"/>
        <v>0</v>
      </c>
      <c r="BA52" s="1">
        <f t="shared" si="29"/>
        <v>0</v>
      </c>
      <c r="BB52" s="1">
        <f t="shared" si="30"/>
        <v>0</v>
      </c>
      <c r="BC52" s="1">
        <f t="shared" si="31"/>
        <v>0</v>
      </c>
      <c r="BD52" s="1">
        <f t="shared" si="32"/>
        <v>0</v>
      </c>
      <c r="BE52" s="1">
        <f t="shared" si="33"/>
        <v>148562.50999999998</v>
      </c>
      <c r="BF52" s="1">
        <f t="shared" si="34"/>
        <v>148562.50999999998</v>
      </c>
      <c r="BG52" s="1">
        <f t="shared" si="35"/>
        <v>148562.50999999998</v>
      </c>
      <c r="BH52">
        <f t="shared" si="36"/>
        <v>46</v>
      </c>
    </row>
    <row r="53" spans="1:60" s="62" customFormat="1" x14ac:dyDescent="0.35">
      <c r="A53">
        <v>40001184</v>
      </c>
      <c r="B53" t="s">
        <v>964</v>
      </c>
      <c r="C53" t="s">
        <v>861</v>
      </c>
      <c r="D53" t="s">
        <v>861</v>
      </c>
      <c r="E53" s="72"/>
      <c r="F53" s="72" t="s">
        <v>1814</v>
      </c>
      <c r="G53" s="75" t="s">
        <v>1792</v>
      </c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3">
        <f t="shared" si="40"/>
        <v>878168.81</v>
      </c>
      <c r="S53" s="74"/>
      <c r="T53" s="73"/>
      <c r="U53" s="74"/>
      <c r="V53" s="74"/>
      <c r="W53" s="74"/>
      <c r="X53" s="72"/>
      <c r="Z53" s="1">
        <f>_xlfn.XLOOKUP(A53,'SAP Report'!A:A,'SAP Report'!C:C)</f>
        <v>878168.81</v>
      </c>
      <c r="AA53" s="1">
        <f>HLOOKUP($A$4,$AV$6:$BG53,(2+BH52),FALSE)</f>
        <v>0</v>
      </c>
      <c r="AB53" s="1">
        <f>SUMIF('Open PR PO'!A:A,Monitoring!A53,'Open PR PO'!K:K)</f>
        <v>878168.82</v>
      </c>
      <c r="AC53" s="1">
        <f t="shared" si="37"/>
        <v>878168.82</v>
      </c>
      <c r="AD53" s="1">
        <f t="shared" si="38"/>
        <v>-9.9999998928979039E-3</v>
      </c>
      <c r="AE53" s="1">
        <f t="shared" si="39"/>
        <v>878168.81</v>
      </c>
      <c r="AF53" s="1"/>
      <c r="AG53" s="53">
        <f>SUMIFS(Actual!$F:$F,Actual!$N:$N,Monitoring!AG$6,Actual!$A:$A,Monitoring!$A53)</f>
        <v>0</v>
      </c>
      <c r="AH53" s="53">
        <f>SUMIFS(Actual!$F:$F,Actual!$N:$N,Monitoring!AH$6,Actual!$A:$A,Monitoring!$A53)</f>
        <v>0</v>
      </c>
      <c r="AI53" s="53">
        <f>SUMIFS(Actual!$F:$F,Actual!$N:$N,Monitoring!AI$6,Actual!$A:$A,Monitoring!$A53)</f>
        <v>0</v>
      </c>
      <c r="AJ53" s="53">
        <f>SUMIFS(Actual!$F:$F,Actual!$N:$N,Monitoring!AJ$6,Actual!$A:$A,Monitoring!$A53)</f>
        <v>0</v>
      </c>
      <c r="AK53" s="53">
        <f>SUMIFS(Actual!$F:$F,Actual!$N:$N,Monitoring!AK$6,Actual!$A:$A,Monitoring!$A53)</f>
        <v>0</v>
      </c>
      <c r="AL53" s="53">
        <f>SUMIFS(Actual!$F:$F,Actual!$N:$N,Monitoring!AL$6,Actual!$A:$A,Monitoring!$A53)</f>
        <v>0</v>
      </c>
      <c r="AM53" s="53">
        <f>SUMIFS(Actual!$F:$F,Actual!$N:$N,Monitoring!AM$6,Actual!$A:$A,Monitoring!$A53)</f>
        <v>0</v>
      </c>
      <c r="AN53" s="53">
        <f>SUMIFS(Actual!$F:$F,Actual!$N:$N,Monitoring!AN$6,Actual!$A:$A,Monitoring!$A53)</f>
        <v>0</v>
      </c>
      <c r="AO53" s="53">
        <f>SUMIFS(Actual!$F:$F,Actual!$N:$N,Monitoring!AO$6,Actual!$A:$A,Monitoring!$A53)</f>
        <v>0</v>
      </c>
      <c r="AP53" s="53">
        <f t="shared" si="19"/>
        <v>878168.82</v>
      </c>
      <c r="AQ53" s="53">
        <f t="shared" si="20"/>
        <v>-4.999999946448952E-3</v>
      </c>
      <c r="AR53" s="53">
        <f t="shared" si="21"/>
        <v>-4.999999946448952E-3</v>
      </c>
      <c r="AS53" s="1">
        <f t="shared" si="22"/>
        <v>878168.81</v>
      </c>
      <c r="AT53" s="12">
        <f t="shared" si="23"/>
        <v>0</v>
      </c>
      <c r="AU53" s="1"/>
      <c r="AV53" s="53">
        <f t="shared" si="24"/>
        <v>0</v>
      </c>
      <c r="AW53" s="1">
        <f t="shared" si="25"/>
        <v>0</v>
      </c>
      <c r="AX53" s="1">
        <f t="shared" si="26"/>
        <v>0</v>
      </c>
      <c r="AY53" s="1">
        <f t="shared" si="27"/>
        <v>0</v>
      </c>
      <c r="AZ53" s="1">
        <f t="shared" si="28"/>
        <v>0</v>
      </c>
      <c r="BA53" s="1">
        <f t="shared" si="29"/>
        <v>0</v>
      </c>
      <c r="BB53" s="1">
        <f t="shared" si="30"/>
        <v>0</v>
      </c>
      <c r="BC53" s="1">
        <f t="shared" si="31"/>
        <v>0</v>
      </c>
      <c r="BD53" s="1">
        <f t="shared" si="32"/>
        <v>0</v>
      </c>
      <c r="BE53" s="1">
        <f t="shared" si="33"/>
        <v>878168.82</v>
      </c>
      <c r="BF53" s="1">
        <f t="shared" si="34"/>
        <v>878168.81499999994</v>
      </c>
      <c r="BG53" s="1">
        <f t="shared" si="35"/>
        <v>878168.81</v>
      </c>
      <c r="BH53">
        <f t="shared" si="36"/>
        <v>47</v>
      </c>
    </row>
    <row r="54" spans="1:60" s="62" customFormat="1" x14ac:dyDescent="0.35">
      <c r="A54">
        <v>40001207</v>
      </c>
      <c r="B54" t="s">
        <v>965</v>
      </c>
      <c r="C54" t="s">
        <v>861</v>
      </c>
      <c r="D54" t="s">
        <v>861</v>
      </c>
      <c r="E54" s="72"/>
      <c r="F54" s="72" t="s">
        <v>1814</v>
      </c>
      <c r="G54" s="75" t="s">
        <v>1792</v>
      </c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3">
        <f t="shared" si="40"/>
        <v>321638.53999999998</v>
      </c>
      <c r="S54" s="74"/>
      <c r="T54" s="73"/>
      <c r="U54" s="74"/>
      <c r="V54" s="74"/>
      <c r="W54" s="74"/>
      <c r="X54" s="72"/>
      <c r="Z54" s="1">
        <f>_xlfn.XLOOKUP(A54,'SAP Report'!A:A,'SAP Report'!C:C)</f>
        <v>321638.53999999998</v>
      </c>
      <c r="AA54" s="1">
        <f>HLOOKUP($A$4,$AV$6:$BG54,(2+BH53),FALSE)</f>
        <v>0</v>
      </c>
      <c r="AB54" s="1">
        <f>SUMIF('Open PR PO'!A:A,Monitoring!A54,'Open PR PO'!K:K)</f>
        <v>321638.53999999998</v>
      </c>
      <c r="AC54" s="1">
        <f t="shared" si="37"/>
        <v>321638.53999999998</v>
      </c>
      <c r="AD54" s="1">
        <f t="shared" si="38"/>
        <v>0</v>
      </c>
      <c r="AE54" s="1">
        <f t="shared" si="39"/>
        <v>321638.53999999998</v>
      </c>
      <c r="AF54" s="1"/>
      <c r="AG54" s="53">
        <f>SUMIFS(Actual!$F:$F,Actual!$N:$N,Monitoring!AG$6,Actual!$A:$A,Monitoring!$A54)</f>
        <v>0</v>
      </c>
      <c r="AH54" s="53">
        <f>SUMIFS(Actual!$F:$F,Actual!$N:$N,Monitoring!AH$6,Actual!$A:$A,Monitoring!$A54)</f>
        <v>0</v>
      </c>
      <c r="AI54" s="53">
        <f>SUMIFS(Actual!$F:$F,Actual!$N:$N,Monitoring!AI$6,Actual!$A:$A,Monitoring!$A54)</f>
        <v>0</v>
      </c>
      <c r="AJ54" s="53">
        <f>SUMIFS(Actual!$F:$F,Actual!$N:$N,Monitoring!AJ$6,Actual!$A:$A,Monitoring!$A54)</f>
        <v>0</v>
      </c>
      <c r="AK54" s="53">
        <f>SUMIFS(Actual!$F:$F,Actual!$N:$N,Monitoring!AK$6,Actual!$A:$A,Monitoring!$A54)</f>
        <v>0</v>
      </c>
      <c r="AL54" s="53">
        <f>SUMIFS(Actual!$F:$F,Actual!$N:$N,Monitoring!AL$6,Actual!$A:$A,Monitoring!$A54)</f>
        <v>0</v>
      </c>
      <c r="AM54" s="53">
        <f>SUMIFS(Actual!$F:$F,Actual!$N:$N,Monitoring!AM$6,Actual!$A:$A,Monitoring!$A54)</f>
        <v>0</v>
      </c>
      <c r="AN54" s="53">
        <f>SUMIFS(Actual!$F:$F,Actual!$N:$N,Monitoring!AN$6,Actual!$A:$A,Monitoring!$A54)</f>
        <v>0</v>
      </c>
      <c r="AO54" s="53">
        <f>SUMIFS(Actual!$F:$F,Actual!$N:$N,Monitoring!AO$6,Actual!$A:$A,Monitoring!$A54)</f>
        <v>0</v>
      </c>
      <c r="AP54" s="53">
        <f t="shared" si="19"/>
        <v>321638.53999999998</v>
      </c>
      <c r="AQ54" s="53">
        <f t="shared" si="20"/>
        <v>0</v>
      </c>
      <c r="AR54" s="53">
        <f t="shared" si="21"/>
        <v>0</v>
      </c>
      <c r="AS54" s="1">
        <f t="shared" si="22"/>
        <v>321638.53999999998</v>
      </c>
      <c r="AT54" s="12">
        <f t="shared" si="23"/>
        <v>0</v>
      </c>
      <c r="AU54" s="1"/>
      <c r="AV54" s="53">
        <f t="shared" si="24"/>
        <v>0</v>
      </c>
      <c r="AW54" s="1">
        <f t="shared" si="25"/>
        <v>0</v>
      </c>
      <c r="AX54" s="1">
        <f t="shared" si="26"/>
        <v>0</v>
      </c>
      <c r="AY54" s="1">
        <f t="shared" si="27"/>
        <v>0</v>
      </c>
      <c r="AZ54" s="1">
        <f t="shared" si="28"/>
        <v>0</v>
      </c>
      <c r="BA54" s="1">
        <f t="shared" si="29"/>
        <v>0</v>
      </c>
      <c r="BB54" s="1">
        <f t="shared" si="30"/>
        <v>0</v>
      </c>
      <c r="BC54" s="1">
        <f t="shared" si="31"/>
        <v>0</v>
      </c>
      <c r="BD54" s="1">
        <f t="shared" si="32"/>
        <v>0</v>
      </c>
      <c r="BE54" s="1">
        <f t="shared" si="33"/>
        <v>321638.53999999998</v>
      </c>
      <c r="BF54" s="1">
        <f t="shared" si="34"/>
        <v>321638.53999999998</v>
      </c>
      <c r="BG54" s="1">
        <f t="shared" si="35"/>
        <v>321638.53999999998</v>
      </c>
      <c r="BH54">
        <f t="shared" si="36"/>
        <v>48</v>
      </c>
    </row>
    <row r="55" spans="1:60" s="62" customFormat="1" x14ac:dyDescent="0.35">
      <c r="A55">
        <v>40001234</v>
      </c>
      <c r="B55" t="s">
        <v>967</v>
      </c>
      <c r="C55" t="s">
        <v>861</v>
      </c>
      <c r="D55" t="s">
        <v>861</v>
      </c>
      <c r="E55" s="72"/>
      <c r="F55" s="72" t="s">
        <v>1814</v>
      </c>
      <c r="G55" s="75" t="s">
        <v>1792</v>
      </c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3">
        <f t="shared" si="40"/>
        <v>181440</v>
      </c>
      <c r="S55" s="74"/>
      <c r="T55" s="73"/>
      <c r="U55" s="74"/>
      <c r="V55" s="74"/>
      <c r="W55" s="74"/>
      <c r="X55" s="72"/>
      <c r="Z55" s="1">
        <f>_xlfn.XLOOKUP(A55,'SAP Report'!A:A,'SAP Report'!C:C)</f>
        <v>181440</v>
      </c>
      <c r="AA55" s="1">
        <f>HLOOKUP($A$4,$AV$6:$BG55,(2+BH54),FALSE)</f>
        <v>181440</v>
      </c>
      <c r="AB55" s="1">
        <f>SUMIF('Open PR PO'!A:A,Monitoring!A55,'Open PR PO'!K:K)</f>
        <v>0</v>
      </c>
      <c r="AC55" s="1">
        <f t="shared" si="37"/>
        <v>181440</v>
      </c>
      <c r="AD55" s="1">
        <f t="shared" si="38"/>
        <v>0</v>
      </c>
      <c r="AE55" s="1">
        <f t="shared" si="39"/>
        <v>0</v>
      </c>
      <c r="AF55" s="1"/>
      <c r="AG55" s="53">
        <f>SUMIFS(Actual!$F:$F,Actual!$N:$N,Monitoring!AG$6,Actual!$A:$A,Monitoring!$A55)</f>
        <v>0</v>
      </c>
      <c r="AH55" s="53">
        <f>SUMIFS(Actual!$F:$F,Actual!$N:$N,Monitoring!AH$6,Actual!$A:$A,Monitoring!$A55)</f>
        <v>0</v>
      </c>
      <c r="AI55" s="53">
        <f>SUMIFS(Actual!$F:$F,Actual!$N:$N,Monitoring!AI$6,Actual!$A:$A,Monitoring!$A55)</f>
        <v>0</v>
      </c>
      <c r="AJ55" s="53">
        <f>SUMIFS(Actual!$F:$F,Actual!$N:$N,Monitoring!AJ$6,Actual!$A:$A,Monitoring!$A55)</f>
        <v>0</v>
      </c>
      <c r="AK55" s="53">
        <f>SUMIFS(Actual!$F:$F,Actual!$N:$N,Monitoring!AK$6,Actual!$A:$A,Monitoring!$A55)</f>
        <v>0</v>
      </c>
      <c r="AL55" s="53">
        <f>SUMIFS(Actual!$F:$F,Actual!$N:$N,Monitoring!AL$6,Actual!$A:$A,Monitoring!$A55)</f>
        <v>0</v>
      </c>
      <c r="AM55" s="53">
        <f>SUMIFS(Actual!$F:$F,Actual!$N:$N,Monitoring!AM$6,Actual!$A:$A,Monitoring!$A55)</f>
        <v>0</v>
      </c>
      <c r="AN55" s="53">
        <f>SUMIFS(Actual!$F:$F,Actual!$N:$N,Monitoring!AN$6,Actual!$A:$A,Monitoring!$A55)</f>
        <v>181440</v>
      </c>
      <c r="AO55" s="53">
        <f>SUMIFS(Actual!$F:$F,Actual!$N:$N,Monitoring!AO$6,Actual!$A:$A,Monitoring!$A55)</f>
        <v>0</v>
      </c>
      <c r="AP55" s="53">
        <f t="shared" si="19"/>
        <v>0</v>
      </c>
      <c r="AQ55" s="53">
        <f t="shared" si="20"/>
        <v>0</v>
      </c>
      <c r="AR55" s="53">
        <f t="shared" si="21"/>
        <v>0</v>
      </c>
      <c r="AS55" s="1">
        <f t="shared" si="22"/>
        <v>181440</v>
      </c>
      <c r="AT55" s="12">
        <f t="shared" si="23"/>
        <v>0</v>
      </c>
      <c r="AU55" s="1"/>
      <c r="AV55" s="53">
        <f t="shared" si="24"/>
        <v>0</v>
      </c>
      <c r="AW55" s="1">
        <f t="shared" si="25"/>
        <v>0</v>
      </c>
      <c r="AX55" s="1">
        <f t="shared" si="26"/>
        <v>0</v>
      </c>
      <c r="AY55" s="1">
        <f t="shared" si="27"/>
        <v>0</v>
      </c>
      <c r="AZ55" s="1">
        <f t="shared" si="28"/>
        <v>0</v>
      </c>
      <c r="BA55" s="1">
        <f t="shared" si="29"/>
        <v>0</v>
      </c>
      <c r="BB55" s="1">
        <f t="shared" si="30"/>
        <v>0</v>
      </c>
      <c r="BC55" s="1">
        <f t="shared" si="31"/>
        <v>181440</v>
      </c>
      <c r="BD55" s="1">
        <f t="shared" si="32"/>
        <v>181440</v>
      </c>
      <c r="BE55" s="1">
        <f t="shared" si="33"/>
        <v>181440</v>
      </c>
      <c r="BF55" s="1">
        <f t="shared" si="34"/>
        <v>181440</v>
      </c>
      <c r="BG55" s="1">
        <f t="shared" si="35"/>
        <v>181440</v>
      </c>
      <c r="BH55">
        <f t="shared" si="36"/>
        <v>49</v>
      </c>
    </row>
    <row r="56" spans="1:60" s="62" customFormat="1" x14ac:dyDescent="0.35">
      <c r="A56">
        <v>40001235</v>
      </c>
      <c r="B56" t="s">
        <v>968</v>
      </c>
      <c r="C56" t="s">
        <v>861</v>
      </c>
      <c r="D56" t="s">
        <v>861</v>
      </c>
      <c r="E56" s="72"/>
      <c r="F56" s="72" t="s">
        <v>1814</v>
      </c>
      <c r="G56" s="75" t="s">
        <v>1792</v>
      </c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3">
        <f t="shared" si="40"/>
        <v>8000000</v>
      </c>
      <c r="S56" s="74"/>
      <c r="T56" s="73"/>
      <c r="U56" s="74"/>
      <c r="V56" s="74"/>
      <c r="W56" s="74"/>
      <c r="X56" s="72"/>
      <c r="Z56" s="1">
        <f>_xlfn.XLOOKUP(A56,'SAP Report'!A:A,'SAP Report'!C:C)</f>
        <v>8000000</v>
      </c>
      <c r="AA56" s="1">
        <f>HLOOKUP($A$4,$AV$6:$BG56,(2+BH55),FALSE)</f>
        <v>6749830.3499999978</v>
      </c>
      <c r="AB56" s="1">
        <f>SUMIF('Open PR PO'!A:A,Monitoring!A56,'Open PR PO'!K:K)</f>
        <v>892.86</v>
      </c>
      <c r="AC56" s="1">
        <f t="shared" si="37"/>
        <v>6750723.2099999981</v>
      </c>
      <c r="AD56" s="1">
        <f t="shared" si="38"/>
        <v>1249276.7900000019</v>
      </c>
      <c r="AE56" s="1">
        <f t="shared" si="39"/>
        <v>1250169.6500000022</v>
      </c>
      <c r="AF56" s="1"/>
      <c r="AG56" s="53">
        <f>SUMIFS(Actual!$F:$F,Actual!$N:$N,Monitoring!AG$6,Actual!$A:$A,Monitoring!$A56)</f>
        <v>67196.429999999993</v>
      </c>
      <c r="AH56" s="53">
        <f>SUMIFS(Actual!$F:$F,Actual!$N:$N,Monitoring!AH$6,Actual!$A:$A,Monitoring!$A56)</f>
        <v>6428571.4299999997</v>
      </c>
      <c r="AI56" s="53">
        <f>SUMIFS(Actual!$F:$F,Actual!$N:$N,Monitoring!AI$6,Actual!$A:$A,Monitoring!$A56)</f>
        <v>12767.849999999627</v>
      </c>
      <c r="AJ56" s="53">
        <f>SUMIFS(Actual!$F:$F,Actual!$N:$N,Monitoring!AJ$6,Actual!$A:$A,Monitoring!$A56)</f>
        <v>-9.3132257461547852E-10</v>
      </c>
      <c r="AK56" s="53">
        <f>SUMIFS(Actual!$F:$F,Actual!$N:$N,Monitoring!AK$6,Actual!$A:$A,Monitoring!$A56)</f>
        <v>58035.71</v>
      </c>
      <c r="AL56" s="53">
        <f>SUMIFS(Actual!$F:$F,Actual!$N:$N,Monitoring!AL$6,Actual!$A:$A,Monitoring!$A56)</f>
        <v>183258.93</v>
      </c>
      <c r="AM56" s="53">
        <f>SUMIFS(Actual!$F:$F,Actual!$N:$N,Monitoring!AM$6,Actual!$A:$A,Monitoring!$A56)</f>
        <v>0</v>
      </c>
      <c r="AN56" s="53">
        <f>SUMIFS(Actual!$F:$F,Actual!$N:$N,Monitoring!AN$6,Actual!$A:$A,Monitoring!$A56)</f>
        <v>0</v>
      </c>
      <c r="AO56" s="53">
        <f>SUMIFS(Actual!$F:$F,Actual!$N:$N,Monitoring!AO$6,Actual!$A:$A,Monitoring!$A56)</f>
        <v>0</v>
      </c>
      <c r="AP56" s="53">
        <f t="shared" si="19"/>
        <v>892.86</v>
      </c>
      <c r="AQ56" s="53">
        <f t="shared" si="20"/>
        <v>624638.39500000095</v>
      </c>
      <c r="AR56" s="53">
        <f t="shared" si="21"/>
        <v>624638.39500000095</v>
      </c>
      <c r="AS56" s="1">
        <f t="shared" si="22"/>
        <v>8000000</v>
      </c>
      <c r="AT56" s="12">
        <f t="shared" si="23"/>
        <v>0</v>
      </c>
      <c r="AU56" s="1"/>
      <c r="AV56" s="53">
        <f t="shared" si="24"/>
        <v>67196.429999999993</v>
      </c>
      <c r="AW56" s="1">
        <f t="shared" si="25"/>
        <v>6495767.8599999994</v>
      </c>
      <c r="AX56" s="1">
        <f t="shared" si="26"/>
        <v>6508535.709999999</v>
      </c>
      <c r="AY56" s="1">
        <f t="shared" si="27"/>
        <v>6508535.7099999981</v>
      </c>
      <c r="AZ56" s="1">
        <f t="shared" si="28"/>
        <v>6566571.4199999981</v>
      </c>
      <c r="BA56" s="1">
        <f t="shared" si="29"/>
        <v>6749830.3499999978</v>
      </c>
      <c r="BB56" s="1">
        <f t="shared" si="30"/>
        <v>6749830.3499999978</v>
      </c>
      <c r="BC56" s="1">
        <f t="shared" si="31"/>
        <v>6749830.3499999978</v>
      </c>
      <c r="BD56" s="1">
        <f t="shared" si="32"/>
        <v>6749830.3499999978</v>
      </c>
      <c r="BE56" s="1">
        <f t="shared" si="33"/>
        <v>6750723.2099999981</v>
      </c>
      <c r="BF56" s="1">
        <f t="shared" si="34"/>
        <v>7375361.6049999986</v>
      </c>
      <c r="BG56" s="1">
        <f t="shared" si="35"/>
        <v>8000000</v>
      </c>
      <c r="BH56">
        <f t="shared" si="36"/>
        <v>50</v>
      </c>
    </row>
    <row r="57" spans="1:60" s="62" customFormat="1" x14ac:dyDescent="0.35">
      <c r="A57">
        <v>40001243</v>
      </c>
      <c r="B57" t="s">
        <v>969</v>
      </c>
      <c r="C57" t="s">
        <v>861</v>
      </c>
      <c r="D57" t="s">
        <v>861</v>
      </c>
      <c r="E57" s="72"/>
      <c r="F57" s="72" t="s">
        <v>1814</v>
      </c>
      <c r="G57" s="75" t="s">
        <v>1792</v>
      </c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3">
        <f t="shared" si="40"/>
        <v>209000</v>
      </c>
      <c r="S57" s="74"/>
      <c r="T57" s="73"/>
      <c r="U57" s="74"/>
      <c r="V57" s="74"/>
      <c r="W57" s="74"/>
      <c r="X57" s="72"/>
      <c r="Z57" s="1">
        <f>_xlfn.XLOOKUP(A57,'SAP Report'!A:A,'SAP Report'!C:C)</f>
        <v>209000</v>
      </c>
      <c r="AA57" s="1">
        <f>HLOOKUP($A$4,$AV$6:$BG57,(2+BH56),FALSE)</f>
        <v>209000</v>
      </c>
      <c r="AB57" s="1">
        <f>SUMIF('Open PR PO'!A:A,Monitoring!A57,'Open PR PO'!K:K)</f>
        <v>0</v>
      </c>
      <c r="AC57" s="1">
        <f t="shared" si="37"/>
        <v>209000</v>
      </c>
      <c r="AD57" s="1">
        <f t="shared" si="38"/>
        <v>0</v>
      </c>
      <c r="AE57" s="1">
        <f t="shared" si="39"/>
        <v>0</v>
      </c>
      <c r="AF57" s="1"/>
      <c r="AG57" s="53">
        <f>SUMIFS(Actual!$F:$F,Actual!$N:$N,Monitoring!AG$6,Actual!$A:$A,Monitoring!$A57)</f>
        <v>209000</v>
      </c>
      <c r="AH57" s="53">
        <f>SUMIFS(Actual!$F:$F,Actual!$N:$N,Monitoring!AH$6,Actual!$A:$A,Monitoring!$A57)</f>
        <v>0</v>
      </c>
      <c r="AI57" s="53">
        <f>SUMIFS(Actual!$F:$F,Actual!$N:$N,Monitoring!AI$6,Actual!$A:$A,Monitoring!$A57)</f>
        <v>0</v>
      </c>
      <c r="AJ57" s="53">
        <f>SUMIFS(Actual!$F:$F,Actual!$N:$N,Monitoring!AJ$6,Actual!$A:$A,Monitoring!$A57)</f>
        <v>0</v>
      </c>
      <c r="AK57" s="53">
        <f>SUMIFS(Actual!$F:$F,Actual!$N:$N,Monitoring!AK$6,Actual!$A:$A,Monitoring!$A57)</f>
        <v>0</v>
      </c>
      <c r="AL57" s="53">
        <f>SUMIFS(Actual!$F:$F,Actual!$N:$N,Monitoring!AL$6,Actual!$A:$A,Monitoring!$A57)</f>
        <v>0</v>
      </c>
      <c r="AM57" s="53">
        <f>SUMIFS(Actual!$F:$F,Actual!$N:$N,Monitoring!AM$6,Actual!$A:$A,Monitoring!$A57)</f>
        <v>0</v>
      </c>
      <c r="AN57" s="53">
        <f>SUMIFS(Actual!$F:$F,Actual!$N:$N,Monitoring!AN$6,Actual!$A:$A,Monitoring!$A57)</f>
        <v>0</v>
      </c>
      <c r="AO57" s="53">
        <f>SUMIFS(Actual!$F:$F,Actual!$N:$N,Monitoring!AO$6,Actual!$A:$A,Monitoring!$A57)</f>
        <v>0</v>
      </c>
      <c r="AP57" s="53">
        <f t="shared" si="19"/>
        <v>0</v>
      </c>
      <c r="AQ57" s="53">
        <f t="shared" si="20"/>
        <v>0</v>
      </c>
      <c r="AR57" s="53">
        <f t="shared" si="21"/>
        <v>0</v>
      </c>
      <c r="AS57" s="1">
        <f t="shared" si="22"/>
        <v>209000</v>
      </c>
      <c r="AT57" s="12">
        <f t="shared" si="23"/>
        <v>0</v>
      </c>
      <c r="AU57" s="1"/>
      <c r="AV57" s="53">
        <f t="shared" si="24"/>
        <v>209000</v>
      </c>
      <c r="AW57" s="1">
        <f t="shared" si="25"/>
        <v>209000</v>
      </c>
      <c r="AX57" s="1">
        <f t="shared" si="26"/>
        <v>209000</v>
      </c>
      <c r="AY57" s="1">
        <f t="shared" si="27"/>
        <v>209000</v>
      </c>
      <c r="AZ57" s="1">
        <f t="shared" si="28"/>
        <v>209000</v>
      </c>
      <c r="BA57" s="1">
        <f t="shared" si="29"/>
        <v>209000</v>
      </c>
      <c r="BB57" s="1">
        <f t="shared" si="30"/>
        <v>209000</v>
      </c>
      <c r="BC57" s="1">
        <f t="shared" si="31"/>
        <v>209000</v>
      </c>
      <c r="BD57" s="1">
        <f t="shared" si="32"/>
        <v>209000</v>
      </c>
      <c r="BE57" s="1">
        <f t="shared" si="33"/>
        <v>209000</v>
      </c>
      <c r="BF57" s="1">
        <f t="shared" si="34"/>
        <v>209000</v>
      </c>
      <c r="BG57" s="1">
        <f t="shared" si="35"/>
        <v>209000</v>
      </c>
      <c r="BH57">
        <f t="shared" si="36"/>
        <v>51</v>
      </c>
    </row>
    <row r="58" spans="1:60" s="62" customFormat="1" x14ac:dyDescent="0.35">
      <c r="A58">
        <v>10001136</v>
      </c>
      <c r="B58" t="s">
        <v>912</v>
      </c>
      <c r="C58" t="s">
        <v>861</v>
      </c>
      <c r="D58" t="s">
        <v>861</v>
      </c>
      <c r="E58" s="72"/>
      <c r="F58" s="72" t="s">
        <v>1814</v>
      </c>
      <c r="G58" s="75" t="s">
        <v>1792</v>
      </c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3">
        <f t="shared" si="40"/>
        <v>982142.86</v>
      </c>
      <c r="S58" s="74"/>
      <c r="T58" s="73"/>
      <c r="U58" s="74"/>
      <c r="V58" s="74"/>
      <c r="W58" s="74"/>
      <c r="X58" s="72"/>
      <c r="Z58" s="1">
        <f>_xlfn.XLOOKUP(A58,'SAP Report'!A:A,'SAP Report'!C:C)</f>
        <v>982142.86</v>
      </c>
      <c r="AA58" s="1">
        <f>HLOOKUP($A$4,$AV$6:$BG58,(2+BH57),FALSE)</f>
        <v>982142.86</v>
      </c>
      <c r="AB58" s="1">
        <f>SUMIF('Open PR PO'!A:A,Monitoring!A58,'Open PR PO'!K:K)</f>
        <v>0</v>
      </c>
      <c r="AC58" s="1">
        <f t="shared" si="37"/>
        <v>982142.86</v>
      </c>
      <c r="AD58" s="1">
        <f t="shared" si="38"/>
        <v>0</v>
      </c>
      <c r="AE58" s="1">
        <f t="shared" si="39"/>
        <v>0</v>
      </c>
      <c r="AF58" s="1"/>
      <c r="AG58" s="53">
        <f>SUMIFS(Actual!$F:$F,Actual!$N:$N,Monitoring!AG$6,Actual!$A:$A,Monitoring!$A58)</f>
        <v>0</v>
      </c>
      <c r="AH58" s="53">
        <f>SUMIFS(Actual!$F:$F,Actual!$N:$N,Monitoring!AH$6,Actual!$A:$A,Monitoring!$A58)</f>
        <v>0</v>
      </c>
      <c r="AI58" s="53">
        <f>SUMIFS(Actual!$F:$F,Actual!$N:$N,Monitoring!AI$6,Actual!$A:$A,Monitoring!$A58)</f>
        <v>0</v>
      </c>
      <c r="AJ58" s="53">
        <f>SUMIFS(Actual!$F:$F,Actual!$N:$N,Monitoring!AJ$6,Actual!$A:$A,Monitoring!$A58)</f>
        <v>0</v>
      </c>
      <c r="AK58" s="53">
        <f>SUMIFS(Actual!$F:$F,Actual!$N:$N,Monitoring!AK$6,Actual!$A:$A,Monitoring!$A58)</f>
        <v>0</v>
      </c>
      <c r="AL58" s="53">
        <f>SUMIFS(Actual!$F:$F,Actual!$N:$N,Monitoring!AL$6,Actual!$A:$A,Monitoring!$A58)</f>
        <v>982142.86</v>
      </c>
      <c r="AM58" s="53">
        <f>SUMIFS(Actual!$F:$F,Actual!$N:$N,Monitoring!AM$6,Actual!$A:$A,Monitoring!$A58)</f>
        <v>0</v>
      </c>
      <c r="AN58" s="53">
        <f>SUMIFS(Actual!$F:$F,Actual!$N:$N,Monitoring!AN$6,Actual!$A:$A,Monitoring!$A58)</f>
        <v>0</v>
      </c>
      <c r="AO58" s="53">
        <f>SUMIFS(Actual!$F:$F,Actual!$N:$N,Monitoring!AO$6,Actual!$A:$A,Monitoring!$A58)</f>
        <v>0</v>
      </c>
      <c r="AP58" s="53">
        <f t="shared" si="19"/>
        <v>0</v>
      </c>
      <c r="AQ58" s="53">
        <f t="shared" si="20"/>
        <v>0</v>
      </c>
      <c r="AR58" s="53">
        <f t="shared" si="21"/>
        <v>0</v>
      </c>
      <c r="AS58" s="1">
        <f t="shared" si="22"/>
        <v>982142.86</v>
      </c>
      <c r="AT58" s="12">
        <f t="shared" si="23"/>
        <v>0</v>
      </c>
      <c r="AU58" s="1"/>
      <c r="AV58" s="53">
        <f t="shared" si="24"/>
        <v>0</v>
      </c>
      <c r="AW58" s="1">
        <f t="shared" si="25"/>
        <v>0</v>
      </c>
      <c r="AX58" s="1">
        <f t="shared" si="26"/>
        <v>0</v>
      </c>
      <c r="AY58" s="1">
        <f t="shared" si="27"/>
        <v>0</v>
      </c>
      <c r="AZ58" s="1">
        <f t="shared" si="28"/>
        <v>0</v>
      </c>
      <c r="BA58" s="1">
        <f t="shared" si="29"/>
        <v>982142.86</v>
      </c>
      <c r="BB58" s="1">
        <f t="shared" si="30"/>
        <v>982142.86</v>
      </c>
      <c r="BC58" s="1">
        <f t="shared" si="31"/>
        <v>982142.86</v>
      </c>
      <c r="BD58" s="1">
        <f t="shared" si="32"/>
        <v>982142.86</v>
      </c>
      <c r="BE58" s="1">
        <f t="shared" si="33"/>
        <v>982142.86</v>
      </c>
      <c r="BF58" s="1">
        <f t="shared" si="34"/>
        <v>982142.86</v>
      </c>
      <c r="BG58" s="1">
        <f t="shared" si="35"/>
        <v>982142.86</v>
      </c>
      <c r="BH58">
        <f t="shared" si="36"/>
        <v>52</v>
      </c>
    </row>
    <row r="59" spans="1:60" s="62" customFormat="1" x14ac:dyDescent="0.35">
      <c r="A59">
        <v>10001140</v>
      </c>
      <c r="B59" t="s">
        <v>913</v>
      </c>
      <c r="C59" t="s">
        <v>861</v>
      </c>
      <c r="D59" t="s">
        <v>861</v>
      </c>
      <c r="E59" s="72"/>
      <c r="F59" s="72" t="s">
        <v>1814</v>
      </c>
      <c r="G59" s="75" t="s">
        <v>1792</v>
      </c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3">
        <f t="shared" si="40"/>
        <v>232142.86</v>
      </c>
      <c r="S59" s="74"/>
      <c r="T59" s="73"/>
      <c r="U59" s="74"/>
      <c r="V59" s="74"/>
      <c r="W59" s="74"/>
      <c r="X59" s="72"/>
      <c r="Z59" s="1">
        <f>_xlfn.XLOOKUP(A59,'SAP Report'!A:A,'SAP Report'!C:C)</f>
        <v>232142.86</v>
      </c>
      <c r="AA59" s="1">
        <f>HLOOKUP($A$4,$AV$6:$BG59,(2+BH58),FALSE)</f>
        <v>0</v>
      </c>
      <c r="AB59" s="1">
        <f>SUMIF('Open PR PO'!A:A,Monitoring!A59,'Open PR PO'!K:K)</f>
        <v>232142.86</v>
      </c>
      <c r="AC59" s="1">
        <f t="shared" si="37"/>
        <v>232142.86</v>
      </c>
      <c r="AD59" s="1">
        <f t="shared" si="38"/>
        <v>0</v>
      </c>
      <c r="AE59" s="1">
        <f t="shared" si="39"/>
        <v>232142.86</v>
      </c>
      <c r="AF59" s="1"/>
      <c r="AG59" s="53">
        <f>SUMIFS(Actual!$F:$F,Actual!$N:$N,Monitoring!AG$6,Actual!$A:$A,Monitoring!$A59)</f>
        <v>0</v>
      </c>
      <c r="AH59" s="53">
        <f>SUMIFS(Actual!$F:$F,Actual!$N:$N,Monitoring!AH$6,Actual!$A:$A,Monitoring!$A59)</f>
        <v>0</v>
      </c>
      <c r="AI59" s="53">
        <f>SUMIFS(Actual!$F:$F,Actual!$N:$N,Monitoring!AI$6,Actual!$A:$A,Monitoring!$A59)</f>
        <v>0</v>
      </c>
      <c r="AJ59" s="53">
        <f>SUMIFS(Actual!$F:$F,Actual!$N:$N,Monitoring!AJ$6,Actual!$A:$A,Monitoring!$A59)</f>
        <v>0</v>
      </c>
      <c r="AK59" s="53">
        <f>SUMIFS(Actual!$F:$F,Actual!$N:$N,Monitoring!AK$6,Actual!$A:$A,Monitoring!$A59)</f>
        <v>0</v>
      </c>
      <c r="AL59" s="53">
        <f>SUMIFS(Actual!$F:$F,Actual!$N:$N,Monitoring!AL$6,Actual!$A:$A,Monitoring!$A59)</f>
        <v>0</v>
      </c>
      <c r="AM59" s="53">
        <f>SUMIFS(Actual!$F:$F,Actual!$N:$N,Monitoring!AM$6,Actual!$A:$A,Monitoring!$A59)</f>
        <v>0</v>
      </c>
      <c r="AN59" s="53">
        <f>SUMIFS(Actual!$F:$F,Actual!$N:$N,Monitoring!AN$6,Actual!$A:$A,Monitoring!$A59)</f>
        <v>0</v>
      </c>
      <c r="AO59" s="53">
        <f>SUMIFS(Actual!$F:$F,Actual!$N:$N,Monitoring!AO$6,Actual!$A:$A,Monitoring!$A59)</f>
        <v>0</v>
      </c>
      <c r="AP59" s="53">
        <f t="shared" si="19"/>
        <v>232142.86</v>
      </c>
      <c r="AQ59" s="53">
        <f t="shared" si="20"/>
        <v>0</v>
      </c>
      <c r="AR59" s="53">
        <f t="shared" si="21"/>
        <v>0</v>
      </c>
      <c r="AS59" s="1">
        <f t="shared" si="22"/>
        <v>232142.86</v>
      </c>
      <c r="AT59" s="12">
        <f t="shared" si="23"/>
        <v>0</v>
      </c>
      <c r="AU59" s="1"/>
      <c r="AV59" s="53">
        <f t="shared" si="24"/>
        <v>0</v>
      </c>
      <c r="AW59" s="1">
        <f t="shared" si="25"/>
        <v>0</v>
      </c>
      <c r="AX59" s="1">
        <f t="shared" si="26"/>
        <v>0</v>
      </c>
      <c r="AY59" s="1">
        <f t="shared" si="27"/>
        <v>0</v>
      </c>
      <c r="AZ59" s="1">
        <f t="shared" si="28"/>
        <v>0</v>
      </c>
      <c r="BA59" s="1">
        <f t="shared" si="29"/>
        <v>0</v>
      </c>
      <c r="BB59" s="1">
        <f t="shared" si="30"/>
        <v>0</v>
      </c>
      <c r="BC59" s="1">
        <f t="shared" si="31"/>
        <v>0</v>
      </c>
      <c r="BD59" s="1">
        <f t="shared" si="32"/>
        <v>0</v>
      </c>
      <c r="BE59" s="1">
        <f t="shared" si="33"/>
        <v>232142.86</v>
      </c>
      <c r="BF59" s="1">
        <f t="shared" si="34"/>
        <v>232142.86</v>
      </c>
      <c r="BG59" s="1">
        <f t="shared" si="35"/>
        <v>232142.86</v>
      </c>
      <c r="BH59">
        <f t="shared" si="36"/>
        <v>53</v>
      </c>
    </row>
    <row r="60" spans="1:60" s="62" customFormat="1" x14ac:dyDescent="0.35">
      <c r="A60">
        <v>10001143</v>
      </c>
      <c r="B60" t="s">
        <v>914</v>
      </c>
      <c r="C60" t="s">
        <v>861</v>
      </c>
      <c r="D60" t="s">
        <v>861</v>
      </c>
      <c r="E60" s="72"/>
      <c r="F60" s="72" t="s">
        <v>1814</v>
      </c>
      <c r="G60" s="75" t="s">
        <v>1792</v>
      </c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3">
        <f t="shared" si="40"/>
        <v>308303.57</v>
      </c>
      <c r="S60" s="74"/>
      <c r="T60" s="73"/>
      <c r="U60" s="74"/>
      <c r="V60" s="74"/>
      <c r="W60" s="74"/>
      <c r="X60" s="72"/>
      <c r="Z60" s="1">
        <f>_xlfn.XLOOKUP(A60,'SAP Report'!A:A,'SAP Report'!C:C)</f>
        <v>308303.57</v>
      </c>
      <c r="AA60" s="1">
        <f>HLOOKUP($A$4,$AV$6:$BG60,(2+BH59),FALSE)</f>
        <v>0</v>
      </c>
      <c r="AB60" s="1">
        <f>SUMIF('Open PR PO'!A:A,Monitoring!A60,'Open PR PO'!K:K)</f>
        <v>0</v>
      </c>
      <c r="AC60" s="1">
        <f t="shared" si="37"/>
        <v>0</v>
      </c>
      <c r="AD60" s="1">
        <f t="shared" si="38"/>
        <v>308303.57</v>
      </c>
      <c r="AE60" s="1">
        <f t="shared" si="39"/>
        <v>308303.57</v>
      </c>
      <c r="AF60" s="1"/>
      <c r="AG60" s="53">
        <f>SUMIFS(Actual!$F:$F,Actual!$N:$N,Monitoring!AG$6,Actual!$A:$A,Monitoring!$A60)</f>
        <v>0</v>
      </c>
      <c r="AH60" s="53">
        <f>SUMIFS(Actual!$F:$F,Actual!$N:$N,Monitoring!AH$6,Actual!$A:$A,Monitoring!$A60)</f>
        <v>0</v>
      </c>
      <c r="AI60" s="53">
        <f>SUMIFS(Actual!$F:$F,Actual!$N:$N,Monitoring!AI$6,Actual!$A:$A,Monitoring!$A60)</f>
        <v>0</v>
      </c>
      <c r="AJ60" s="53">
        <f>SUMIFS(Actual!$F:$F,Actual!$N:$N,Monitoring!AJ$6,Actual!$A:$A,Monitoring!$A60)</f>
        <v>0</v>
      </c>
      <c r="AK60" s="53">
        <f>SUMIFS(Actual!$F:$F,Actual!$N:$N,Monitoring!AK$6,Actual!$A:$A,Monitoring!$A60)</f>
        <v>0</v>
      </c>
      <c r="AL60" s="53">
        <f>SUMIFS(Actual!$F:$F,Actual!$N:$N,Monitoring!AL$6,Actual!$A:$A,Monitoring!$A60)</f>
        <v>0</v>
      </c>
      <c r="AM60" s="53">
        <f>SUMIFS(Actual!$F:$F,Actual!$N:$N,Monitoring!AM$6,Actual!$A:$A,Monitoring!$A60)</f>
        <v>0</v>
      </c>
      <c r="AN60" s="53">
        <f>SUMIFS(Actual!$F:$F,Actual!$N:$N,Monitoring!AN$6,Actual!$A:$A,Monitoring!$A60)</f>
        <v>0</v>
      </c>
      <c r="AO60" s="53">
        <f>SUMIFS(Actual!$F:$F,Actual!$N:$N,Monitoring!AO$6,Actual!$A:$A,Monitoring!$A60)</f>
        <v>0</v>
      </c>
      <c r="AP60" s="53">
        <f t="shared" si="19"/>
        <v>0</v>
      </c>
      <c r="AQ60" s="53">
        <f t="shared" si="20"/>
        <v>154151.785</v>
      </c>
      <c r="AR60" s="53">
        <f t="shared" si="21"/>
        <v>154151.785</v>
      </c>
      <c r="AS60" s="1">
        <f t="shared" si="22"/>
        <v>308303.57</v>
      </c>
      <c r="AT60" s="12">
        <f t="shared" si="23"/>
        <v>0</v>
      </c>
      <c r="AU60" s="1"/>
      <c r="AV60" s="53">
        <f t="shared" si="24"/>
        <v>0</v>
      </c>
      <c r="AW60" s="1">
        <f t="shared" si="25"/>
        <v>0</v>
      </c>
      <c r="AX60" s="1">
        <f t="shared" si="26"/>
        <v>0</v>
      </c>
      <c r="AY60" s="1">
        <f t="shared" si="27"/>
        <v>0</v>
      </c>
      <c r="AZ60" s="1">
        <f t="shared" si="28"/>
        <v>0</v>
      </c>
      <c r="BA60" s="1">
        <f t="shared" si="29"/>
        <v>0</v>
      </c>
      <c r="BB60" s="1">
        <f t="shared" si="30"/>
        <v>0</v>
      </c>
      <c r="BC60" s="1">
        <f t="shared" si="31"/>
        <v>0</v>
      </c>
      <c r="BD60" s="1">
        <f t="shared" si="32"/>
        <v>0</v>
      </c>
      <c r="BE60" s="1">
        <f t="shared" si="33"/>
        <v>0</v>
      </c>
      <c r="BF60" s="1">
        <f t="shared" si="34"/>
        <v>154151.785</v>
      </c>
      <c r="BG60" s="1">
        <f t="shared" si="35"/>
        <v>308303.57</v>
      </c>
      <c r="BH60">
        <f t="shared" si="36"/>
        <v>54</v>
      </c>
    </row>
    <row r="61" spans="1:60" x14ac:dyDescent="0.35">
      <c r="A61">
        <v>40001261</v>
      </c>
      <c r="B61" t="str">
        <f t="shared" ref="B61:B101" si="41">J61</f>
        <v>2026 BYD TANG DMI B.BORJA</v>
      </c>
      <c r="C61" t="s">
        <v>85</v>
      </c>
      <c r="D61" t="s">
        <v>0</v>
      </c>
      <c r="E61" t="s">
        <v>731</v>
      </c>
      <c r="F61" s="72" t="s">
        <v>1814</v>
      </c>
      <c r="G61" t="s">
        <v>1</v>
      </c>
      <c r="H61" t="s">
        <v>2</v>
      </c>
      <c r="I61">
        <v>1501</v>
      </c>
      <c r="J61" t="s">
        <v>4</v>
      </c>
      <c r="K61" s="3">
        <f t="shared" ref="K61:K73" si="42">LEN(J61)</f>
        <v>25</v>
      </c>
      <c r="L61" s="3" t="str">
        <f t="shared" ref="L61:L73" si="43">LEFT(M61,2)&amp;"00"</f>
        <v>8100</v>
      </c>
      <c r="M61">
        <v>81123102</v>
      </c>
      <c r="N61" s="3" t="str">
        <f>_xlfn.XLOOKUP(M61,[2]Sheet1!$A:$A,[2]Sheet1!$D:$D)</f>
        <v>ADMIN SERVICES</v>
      </c>
      <c r="O61" t="s">
        <v>5</v>
      </c>
      <c r="P61" t="s">
        <v>6</v>
      </c>
      <c r="Q61" s="2" t="s">
        <v>3</v>
      </c>
      <c r="R61" s="1">
        <f>2048000-219428.57</f>
        <v>1828571.43</v>
      </c>
      <c r="S61" s="63" t="s">
        <v>7</v>
      </c>
      <c r="T61" t="str">
        <f>_xlfn.XLOOKUP(M61,[2]Sheet1!$A:$A,[2]Sheet1!$E:$E)</f>
        <v>CORPORATE</v>
      </c>
      <c r="U61" s="63" t="s">
        <v>7</v>
      </c>
      <c r="V61" s="63" t="s">
        <v>8</v>
      </c>
      <c r="W61" s="63" t="s">
        <v>771</v>
      </c>
      <c r="X61" s="63" t="s">
        <v>1872</v>
      </c>
      <c r="Z61" s="1">
        <f>_xlfn.XLOOKUP(A61,'SAP Report'!A:A,'SAP Report'!C:C)</f>
        <v>1828571.43</v>
      </c>
      <c r="AA61" s="1">
        <f>HLOOKUP($A$4,$AV$6:$BG61,(2+BH60),FALSE)</f>
        <v>1828571.43</v>
      </c>
      <c r="AB61" s="1">
        <f>SUMIF('Open PR PO'!A:A,Monitoring!A61,'Open PR PO'!K:K)</f>
        <v>0</v>
      </c>
      <c r="AC61" s="1">
        <f t="shared" si="37"/>
        <v>1828571.43</v>
      </c>
      <c r="AD61" s="1">
        <f t="shared" si="38"/>
        <v>0</v>
      </c>
      <c r="AE61" s="1">
        <f t="shared" si="39"/>
        <v>0</v>
      </c>
      <c r="AF61" s="1"/>
      <c r="AG61" s="53">
        <f>SUMIFS(Actual!$F:$F,Actual!$N:$N,Monitoring!AG$6,Actual!$A:$A,Monitoring!$A61)</f>
        <v>0</v>
      </c>
      <c r="AH61" s="53">
        <f>SUMIFS(Actual!$F:$F,Actual!$N:$N,Monitoring!AH$6,Actual!$A:$A,Monitoring!$A61)</f>
        <v>1828571.43</v>
      </c>
      <c r="AI61" s="53">
        <f>SUMIFS(Actual!$F:$F,Actual!$N:$N,Monitoring!AI$6,Actual!$A:$A,Monitoring!$A61)</f>
        <v>0</v>
      </c>
      <c r="AJ61" s="53">
        <f>SUMIFS(Actual!$F:$F,Actual!$N:$N,Monitoring!AJ$6,Actual!$A:$A,Monitoring!$A61)</f>
        <v>0</v>
      </c>
      <c r="AK61" s="53">
        <f>SUMIFS(Actual!$F:$F,Actual!$N:$N,Monitoring!AK$6,Actual!$A:$A,Monitoring!$A61)</f>
        <v>0</v>
      </c>
      <c r="AL61" s="53">
        <f>SUMIFS(Actual!$F:$F,Actual!$N:$N,Monitoring!AL$6,Actual!$A:$A,Monitoring!$A61)</f>
        <v>0</v>
      </c>
      <c r="AM61" s="53">
        <f>SUMIFS(Actual!$F:$F,Actual!$N:$N,Monitoring!AM$6,Actual!$A:$A,Monitoring!$A61)</f>
        <v>0</v>
      </c>
      <c r="AN61" s="53">
        <f>SUMIFS(Actual!$F:$F,Actual!$N:$N,Monitoring!AN$6,Actual!$A:$A,Monitoring!$A61)</f>
        <v>0</v>
      </c>
      <c r="AO61" s="53">
        <f>SUMIFS(Actual!$F:$F,Actual!$N:$N,Monitoring!AO$6,Actual!$A:$A,Monitoring!$A61)</f>
        <v>0</v>
      </c>
      <c r="AP61" s="53">
        <f t="shared" si="19"/>
        <v>0</v>
      </c>
      <c r="AQ61" s="53">
        <f t="shared" si="20"/>
        <v>0</v>
      </c>
      <c r="AR61" s="53">
        <f t="shared" si="21"/>
        <v>0</v>
      </c>
      <c r="AS61" s="1">
        <f t="shared" si="22"/>
        <v>1828571.43</v>
      </c>
      <c r="AT61" s="12">
        <f t="shared" si="23"/>
        <v>0</v>
      </c>
      <c r="AU61" s="1"/>
      <c r="AV61" s="53">
        <f t="shared" si="24"/>
        <v>0</v>
      </c>
      <c r="AW61" s="1">
        <f t="shared" si="25"/>
        <v>1828571.43</v>
      </c>
      <c r="AX61" s="1">
        <f t="shared" si="26"/>
        <v>1828571.43</v>
      </c>
      <c r="AY61" s="1">
        <f t="shared" si="27"/>
        <v>1828571.43</v>
      </c>
      <c r="AZ61" s="1">
        <f t="shared" si="28"/>
        <v>1828571.43</v>
      </c>
      <c r="BA61" s="1">
        <f t="shared" si="29"/>
        <v>1828571.43</v>
      </c>
      <c r="BB61" s="1">
        <f t="shared" si="30"/>
        <v>1828571.43</v>
      </c>
      <c r="BC61" s="1">
        <f t="shared" si="31"/>
        <v>1828571.43</v>
      </c>
      <c r="BD61" s="1">
        <f t="shared" si="32"/>
        <v>1828571.43</v>
      </c>
      <c r="BE61" s="1">
        <f t="shared" si="33"/>
        <v>1828571.43</v>
      </c>
      <c r="BF61" s="1">
        <f t="shared" si="34"/>
        <v>1828571.43</v>
      </c>
      <c r="BG61" s="1">
        <f t="shared" si="35"/>
        <v>1828571.43</v>
      </c>
      <c r="BH61">
        <f t="shared" si="36"/>
        <v>55</v>
      </c>
    </row>
    <row r="62" spans="1:60" x14ac:dyDescent="0.35">
      <c r="A62">
        <v>10001385</v>
      </c>
      <c r="B62" t="str">
        <f t="shared" si="41"/>
        <v>GH AUTOMATIC SLIDING DOOR</v>
      </c>
      <c r="C62" t="s">
        <v>9</v>
      </c>
      <c r="D62" t="s">
        <v>9</v>
      </c>
      <c r="E62" t="s">
        <v>733</v>
      </c>
      <c r="F62" s="72" t="s">
        <v>1814</v>
      </c>
      <c r="G62" t="s">
        <v>1</v>
      </c>
      <c r="H62" t="s">
        <v>579</v>
      </c>
      <c r="I62">
        <v>1110</v>
      </c>
      <c r="J62" t="s">
        <v>11</v>
      </c>
      <c r="K62" s="3">
        <f t="shared" si="42"/>
        <v>25</v>
      </c>
      <c r="L62" s="3" t="str">
        <f t="shared" si="43"/>
        <v>8100</v>
      </c>
      <c r="M62">
        <v>81221701</v>
      </c>
      <c r="N62" s="3" t="str">
        <f>_xlfn.XLOOKUP(M62,[2]Sheet1!$A:$A,[2]Sheet1!$D:$D)</f>
        <v>GH PHASE 1 MALL</v>
      </c>
      <c r="O62" t="s">
        <v>12</v>
      </c>
      <c r="P62" t="s">
        <v>13</v>
      </c>
      <c r="Q62" s="2" t="s">
        <v>3192</v>
      </c>
      <c r="R62" s="89">
        <f>5000000+500000</f>
        <v>5500000</v>
      </c>
      <c r="S62" s="63" t="s">
        <v>7</v>
      </c>
      <c r="T62" t="str">
        <f>_xlfn.XLOOKUP(M62,[2]Sheet1!$A:$A,[2]Sheet1!$E:$E)</f>
        <v>MALLS</v>
      </c>
      <c r="U62" s="63">
        <v>46023</v>
      </c>
      <c r="V62" s="63" t="s">
        <v>14</v>
      </c>
      <c r="W62" s="63" t="s">
        <v>772</v>
      </c>
      <c r="X62" s="63" t="s">
        <v>3193</v>
      </c>
      <c r="Z62" s="1">
        <f>_xlfn.XLOOKUP(A62,'SAP Report'!A:A,'SAP Report'!C:C)</f>
        <v>5500000</v>
      </c>
      <c r="AA62" s="1">
        <f>HLOOKUP($A$4,$AV$6:$BG62,(2+BH61),FALSE)</f>
        <v>2053571.43</v>
      </c>
      <c r="AB62" s="1">
        <f>SUMIF('Open PR PO'!A:A,Monitoring!A62,'Open PR PO'!K:K)</f>
        <v>3237276.78</v>
      </c>
      <c r="AC62" s="1">
        <f t="shared" si="37"/>
        <v>5290848.21</v>
      </c>
      <c r="AD62" s="1">
        <f t="shared" si="38"/>
        <v>209151.79000000004</v>
      </c>
      <c r="AE62" s="1">
        <f t="shared" si="39"/>
        <v>3446428.5700000003</v>
      </c>
      <c r="AF62" s="1"/>
      <c r="AG62" s="53">
        <f>SUMIFS(Actual!$F:$F,Actual!$N:$N,Monitoring!AG$6,Actual!$A:$A,Monitoring!$A62)</f>
        <v>0</v>
      </c>
      <c r="AH62" s="53">
        <f>SUMIFS(Actual!$F:$F,Actual!$N:$N,Monitoring!AH$6,Actual!$A:$A,Monitoring!$A62)</f>
        <v>0</v>
      </c>
      <c r="AI62" s="53">
        <f>SUMIFS(Actual!$F:$F,Actual!$N:$N,Monitoring!AI$6,Actual!$A:$A,Monitoring!$A62)</f>
        <v>0</v>
      </c>
      <c r="AJ62" s="53">
        <f>SUMIFS(Actual!$F:$F,Actual!$N:$N,Monitoring!AJ$6,Actual!$A:$A,Monitoring!$A62)</f>
        <v>0</v>
      </c>
      <c r="AK62" s="53">
        <f>SUMIFS(Actual!$F:$F,Actual!$N:$N,Monitoring!AK$6,Actual!$A:$A,Monitoring!$A62)</f>
        <v>0</v>
      </c>
      <c r="AL62" s="53">
        <f>SUMIFS(Actual!$F:$F,Actual!$N:$N,Monitoring!AL$6,Actual!$A:$A,Monitoring!$A62)</f>
        <v>0</v>
      </c>
      <c r="AM62" s="53">
        <f>SUMIFS(Actual!$F:$F,Actual!$N:$N,Monitoring!AM$6,Actual!$A:$A,Monitoring!$A62)</f>
        <v>2053571.43</v>
      </c>
      <c r="AN62" s="53">
        <f>SUMIFS(Actual!$F:$F,Actual!$N:$N,Monitoring!AN$6,Actual!$A:$A,Monitoring!$A62)</f>
        <v>0</v>
      </c>
      <c r="AO62" s="53">
        <f>SUMIFS(Actual!$F:$F,Actual!$N:$N,Monitoring!AO$6,Actual!$A:$A,Monitoring!$A62)</f>
        <v>0</v>
      </c>
      <c r="AP62" s="53">
        <f t="shared" si="19"/>
        <v>3237276.78</v>
      </c>
      <c r="AQ62" s="53">
        <f t="shared" si="20"/>
        <v>104575.89500000002</v>
      </c>
      <c r="AR62" s="53">
        <f t="shared" si="21"/>
        <v>104575.89500000002</v>
      </c>
      <c r="AS62" s="1">
        <f t="shared" si="22"/>
        <v>5500000</v>
      </c>
      <c r="AT62" s="12">
        <f t="shared" si="23"/>
        <v>0</v>
      </c>
      <c r="AU62" s="1"/>
      <c r="AV62" s="53">
        <f t="shared" si="24"/>
        <v>0</v>
      </c>
      <c r="AW62" s="1">
        <f t="shared" si="25"/>
        <v>0</v>
      </c>
      <c r="AX62" s="1">
        <f t="shared" si="26"/>
        <v>0</v>
      </c>
      <c r="AY62" s="1">
        <f t="shared" si="27"/>
        <v>0</v>
      </c>
      <c r="AZ62" s="1">
        <f t="shared" si="28"/>
        <v>0</v>
      </c>
      <c r="BA62" s="1">
        <f t="shared" si="29"/>
        <v>0</v>
      </c>
      <c r="BB62" s="1">
        <f t="shared" si="30"/>
        <v>2053571.43</v>
      </c>
      <c r="BC62" s="1">
        <f t="shared" si="31"/>
        <v>2053571.43</v>
      </c>
      <c r="BD62" s="1">
        <f t="shared" si="32"/>
        <v>2053571.43</v>
      </c>
      <c r="BE62" s="1">
        <f t="shared" si="33"/>
        <v>5290848.21</v>
      </c>
      <c r="BF62" s="1">
        <f t="shared" si="34"/>
        <v>5395424.1050000004</v>
      </c>
      <c r="BG62" s="1">
        <f t="shared" si="35"/>
        <v>5500000</v>
      </c>
      <c r="BH62">
        <f t="shared" si="36"/>
        <v>56</v>
      </c>
    </row>
    <row r="63" spans="1:60" x14ac:dyDescent="0.35">
      <c r="A63">
        <v>10001386</v>
      </c>
      <c r="B63" t="str">
        <f t="shared" si="41"/>
        <v>ES PARKING LIGHTINGS &amp; BARRIER UPGRADE</v>
      </c>
      <c r="C63" t="s">
        <v>9</v>
      </c>
      <c r="D63" t="s">
        <v>9</v>
      </c>
      <c r="E63" t="s">
        <v>698</v>
      </c>
      <c r="F63" s="72" t="s">
        <v>1814</v>
      </c>
      <c r="G63" t="s">
        <v>1</v>
      </c>
      <c r="H63" t="s">
        <v>16</v>
      </c>
      <c r="I63">
        <v>1110</v>
      </c>
      <c r="J63" t="s">
        <v>18</v>
      </c>
      <c r="K63" s="3">
        <f t="shared" si="42"/>
        <v>38</v>
      </c>
      <c r="L63" s="3" t="str">
        <f t="shared" si="43"/>
        <v>8100</v>
      </c>
      <c r="M63">
        <v>81225102</v>
      </c>
      <c r="N63" s="3" t="str">
        <f>_xlfn.XLOOKUP(M63,[2]Sheet1!$A:$A,[2]Sheet1!$D:$D)</f>
        <v>ESTANCIA PARKING</v>
      </c>
      <c r="O63" t="s">
        <v>19</v>
      </c>
      <c r="P63" t="s">
        <v>20</v>
      </c>
      <c r="Q63" s="2" t="s">
        <v>17</v>
      </c>
      <c r="R63" s="89">
        <v>2000000</v>
      </c>
      <c r="S63" s="63" t="s">
        <v>21</v>
      </c>
      <c r="T63" t="str">
        <f>_xlfn.XLOOKUP(M63,[2]Sheet1!$A:$A,[2]Sheet1!$E:$E)</f>
        <v>MALLS</v>
      </c>
      <c r="U63" s="63" t="s">
        <v>22</v>
      </c>
      <c r="V63" s="63" t="s">
        <v>23</v>
      </c>
      <c r="W63" s="63" t="s">
        <v>15</v>
      </c>
      <c r="X63" s="63" t="s">
        <v>24</v>
      </c>
      <c r="Z63" s="1">
        <f>_xlfn.XLOOKUP(A63,'SAP Report'!A:A,'SAP Report'!C:C)</f>
        <v>2000000</v>
      </c>
      <c r="AA63" s="1">
        <f>HLOOKUP($A$4,$AV$6:$BG63,(2+BH62),FALSE)</f>
        <v>300000.00000000006</v>
      </c>
      <c r="AB63" s="1">
        <f>SUMIF('Open PR PO'!A:A,Monitoring!A63,'Open PR PO'!K:K)</f>
        <v>104738</v>
      </c>
      <c r="AC63" s="1">
        <f t="shared" si="37"/>
        <v>404738.00000000006</v>
      </c>
      <c r="AD63" s="1">
        <f t="shared" si="38"/>
        <v>1595262</v>
      </c>
      <c r="AE63" s="1">
        <f t="shared" si="39"/>
        <v>1700000</v>
      </c>
      <c r="AF63" s="1"/>
      <c r="AG63" s="53">
        <f>SUMIFS(Actual!$F:$F,Actual!$N:$N,Monitoring!AG$6,Actual!$A:$A,Monitoring!$A63)</f>
        <v>0</v>
      </c>
      <c r="AH63" s="53">
        <f>SUMIFS(Actual!$F:$F,Actual!$N:$N,Monitoring!AH$6,Actual!$A:$A,Monitoring!$A63)</f>
        <v>0</v>
      </c>
      <c r="AI63" s="53">
        <f>SUMIFS(Actual!$F:$F,Actual!$N:$N,Monitoring!AI$6,Actual!$A:$A,Monitoring!$A63)</f>
        <v>0</v>
      </c>
      <c r="AJ63" s="53">
        <f>SUMIFS(Actual!$F:$F,Actual!$N:$N,Monitoring!AJ$6,Actual!$A:$A,Monitoring!$A63)</f>
        <v>0</v>
      </c>
      <c r="AK63" s="53">
        <f>SUMIFS(Actual!$F:$F,Actual!$N:$N,Monitoring!AK$6,Actual!$A:$A,Monitoring!$A63)</f>
        <v>0</v>
      </c>
      <c r="AL63" s="53">
        <f>SUMIFS(Actual!$F:$F,Actual!$N:$N,Monitoring!AL$6,Actual!$A:$A,Monitoring!$A63)</f>
        <v>266071.42000000004</v>
      </c>
      <c r="AM63" s="53">
        <f>SUMIFS(Actual!$F:$F,Actual!$N:$N,Monitoring!AM$6,Actual!$A:$A,Monitoring!$A63)</f>
        <v>25000.01</v>
      </c>
      <c r="AN63" s="53">
        <f>SUMIFS(Actual!$F:$F,Actual!$N:$N,Monitoring!AN$6,Actual!$A:$A,Monitoring!$A63)</f>
        <v>8928.57</v>
      </c>
      <c r="AO63" s="53">
        <f>SUMIFS(Actual!$F:$F,Actual!$N:$N,Monitoring!AO$6,Actual!$A:$A,Monitoring!$A63)</f>
        <v>0</v>
      </c>
      <c r="AP63" s="53">
        <f t="shared" si="19"/>
        <v>104738</v>
      </c>
      <c r="AQ63" s="53">
        <f t="shared" si="20"/>
        <v>797631</v>
      </c>
      <c r="AR63" s="53">
        <f t="shared" si="21"/>
        <v>797631</v>
      </c>
      <c r="AS63" s="1">
        <f t="shared" si="22"/>
        <v>2000000</v>
      </c>
      <c r="AT63" s="12">
        <f t="shared" si="23"/>
        <v>0</v>
      </c>
      <c r="AU63" s="1"/>
      <c r="AV63" s="53">
        <f t="shared" si="24"/>
        <v>0</v>
      </c>
      <c r="AW63" s="1">
        <f t="shared" si="25"/>
        <v>0</v>
      </c>
      <c r="AX63" s="1">
        <f t="shared" si="26"/>
        <v>0</v>
      </c>
      <c r="AY63" s="1">
        <f t="shared" si="27"/>
        <v>0</v>
      </c>
      <c r="AZ63" s="1">
        <f t="shared" si="28"/>
        <v>0</v>
      </c>
      <c r="BA63" s="1">
        <f t="shared" si="29"/>
        <v>266071.42000000004</v>
      </c>
      <c r="BB63" s="1">
        <f t="shared" si="30"/>
        <v>291071.43000000005</v>
      </c>
      <c r="BC63" s="1">
        <f t="shared" si="31"/>
        <v>300000.00000000006</v>
      </c>
      <c r="BD63" s="1">
        <f t="shared" si="32"/>
        <v>300000.00000000006</v>
      </c>
      <c r="BE63" s="1">
        <f t="shared" si="33"/>
        <v>404738.00000000006</v>
      </c>
      <c r="BF63" s="1">
        <f t="shared" si="34"/>
        <v>1202369</v>
      </c>
      <c r="BG63" s="1">
        <f t="shared" si="35"/>
        <v>2000000</v>
      </c>
      <c r="BH63">
        <f t="shared" si="36"/>
        <v>57</v>
      </c>
    </row>
    <row r="64" spans="1:60" x14ac:dyDescent="0.35">
      <c r="A64">
        <v>10001387</v>
      </c>
      <c r="B64" t="str">
        <f t="shared" si="41"/>
        <v>ES UPGRADE OF MALL ENTRANCES</v>
      </c>
      <c r="C64" t="s">
        <v>9</v>
      </c>
      <c r="D64" t="s">
        <v>9</v>
      </c>
      <c r="E64" t="s">
        <v>733</v>
      </c>
      <c r="F64" s="72" t="s">
        <v>1814</v>
      </c>
      <c r="G64" t="s">
        <v>1</v>
      </c>
      <c r="H64" t="s">
        <v>25</v>
      </c>
      <c r="I64">
        <v>1100</v>
      </c>
      <c r="J64" t="s">
        <v>26</v>
      </c>
      <c r="K64" s="3">
        <f t="shared" si="42"/>
        <v>28</v>
      </c>
      <c r="L64" s="3" t="str">
        <f t="shared" si="43"/>
        <v>8100</v>
      </c>
      <c r="M64">
        <v>81225201</v>
      </c>
      <c r="N64" s="3" t="str">
        <f>_xlfn.XLOOKUP(M64,[2]Sheet1!$A:$A,[2]Sheet1!$D:$D)</f>
        <v>ESTANCIA EXP - MALL</v>
      </c>
      <c r="O64" t="s">
        <v>19</v>
      </c>
      <c r="P64" t="s">
        <v>20</v>
      </c>
      <c r="Q64" s="2" t="s">
        <v>2527</v>
      </c>
      <c r="R64" s="89">
        <f>4000000-645000</f>
        <v>3355000</v>
      </c>
      <c r="S64" s="63" t="s">
        <v>21</v>
      </c>
      <c r="T64" t="str">
        <f>_xlfn.XLOOKUP(M64,[2]Sheet1!$A:$A,[2]Sheet1!$E:$E)</f>
        <v>MALLS</v>
      </c>
      <c r="U64" s="63" t="s">
        <v>22</v>
      </c>
      <c r="V64" s="63" t="s">
        <v>27</v>
      </c>
      <c r="W64" s="63" t="s">
        <v>15</v>
      </c>
      <c r="X64" s="63" t="s">
        <v>28</v>
      </c>
      <c r="Z64" s="1">
        <f>_xlfn.XLOOKUP(A64,'SAP Report'!A:A,'SAP Report'!C:C)</f>
        <v>3355000</v>
      </c>
      <c r="AA64" s="1">
        <f>HLOOKUP($A$4,$AV$6:$BG64,(2+BH63),FALSE)</f>
        <v>49316.689999999995</v>
      </c>
      <c r="AB64" s="1">
        <f>SUMIF('Open PR PO'!A:A,Monitoring!A64,'Open PR PO'!K:K)</f>
        <v>469548.70999999996</v>
      </c>
      <c r="AC64" s="1">
        <f t="shared" si="37"/>
        <v>518865.39999999997</v>
      </c>
      <c r="AD64" s="1">
        <f t="shared" si="38"/>
        <v>2836134.6</v>
      </c>
      <c r="AE64" s="1">
        <f t="shared" si="39"/>
        <v>3305683.31</v>
      </c>
      <c r="AF64" s="1"/>
      <c r="AG64" s="53">
        <f>SUMIFS(Actual!$F:$F,Actual!$N:$N,Monitoring!AG$6,Actual!$A:$A,Monitoring!$A64)</f>
        <v>0</v>
      </c>
      <c r="AH64" s="53">
        <f>SUMIFS(Actual!$F:$F,Actual!$N:$N,Monitoring!AH$6,Actual!$A:$A,Monitoring!$A64)</f>
        <v>0</v>
      </c>
      <c r="AI64" s="53">
        <f>SUMIFS(Actual!$F:$F,Actual!$N:$N,Monitoring!AI$6,Actual!$A:$A,Monitoring!$A64)</f>
        <v>1227.3999999999942</v>
      </c>
      <c r="AJ64" s="53">
        <f>SUMIFS(Actual!$F:$F,Actual!$N:$N,Monitoring!AJ$6,Actual!$A:$A,Monitoring!$A64)</f>
        <v>0</v>
      </c>
      <c r="AK64" s="53">
        <f>SUMIFS(Actual!$F:$F,Actual!$N:$N,Monitoring!AK$6,Actual!$A:$A,Monitoring!$A64)</f>
        <v>48089.29</v>
      </c>
      <c r="AL64" s="53">
        <f>SUMIFS(Actual!$F:$F,Actual!$N:$N,Monitoring!AL$6,Actual!$A:$A,Monitoring!$A64)</f>
        <v>0</v>
      </c>
      <c r="AM64" s="53">
        <f>SUMIFS(Actual!$F:$F,Actual!$N:$N,Monitoring!AM$6,Actual!$A:$A,Monitoring!$A64)</f>
        <v>0</v>
      </c>
      <c r="AN64" s="53">
        <f>SUMIFS(Actual!$F:$F,Actual!$N:$N,Monitoring!AN$6,Actual!$A:$A,Monitoring!$A64)</f>
        <v>0</v>
      </c>
      <c r="AO64" s="53">
        <f>SUMIFS(Actual!$F:$F,Actual!$N:$N,Monitoring!AO$6,Actual!$A:$A,Monitoring!$A64)</f>
        <v>0</v>
      </c>
      <c r="AP64" s="53">
        <f t="shared" si="19"/>
        <v>469548.70999999996</v>
      </c>
      <c r="AQ64" s="53">
        <f t="shared" si="20"/>
        <v>1418067.3</v>
      </c>
      <c r="AR64" s="53">
        <f t="shared" si="21"/>
        <v>1418067.3</v>
      </c>
      <c r="AS64" s="1">
        <f t="shared" si="22"/>
        <v>3355000</v>
      </c>
      <c r="AT64" s="12">
        <f t="shared" si="23"/>
        <v>0</v>
      </c>
      <c r="AU64" s="1"/>
      <c r="AV64" s="53">
        <f t="shared" si="24"/>
        <v>0</v>
      </c>
      <c r="AW64" s="1">
        <f t="shared" si="25"/>
        <v>0</v>
      </c>
      <c r="AX64" s="1">
        <f t="shared" si="26"/>
        <v>1227.3999999999942</v>
      </c>
      <c r="AY64" s="1">
        <f t="shared" si="27"/>
        <v>1227.3999999999942</v>
      </c>
      <c r="AZ64" s="1">
        <f t="shared" si="28"/>
        <v>49316.689999999995</v>
      </c>
      <c r="BA64" s="1">
        <f t="shared" si="29"/>
        <v>49316.689999999995</v>
      </c>
      <c r="BB64" s="1">
        <f t="shared" si="30"/>
        <v>49316.689999999995</v>
      </c>
      <c r="BC64" s="1">
        <f t="shared" si="31"/>
        <v>49316.689999999995</v>
      </c>
      <c r="BD64" s="1">
        <f t="shared" si="32"/>
        <v>49316.689999999995</v>
      </c>
      <c r="BE64" s="1">
        <f t="shared" si="33"/>
        <v>518865.39999999997</v>
      </c>
      <c r="BF64" s="1">
        <f t="shared" si="34"/>
        <v>1936932.7</v>
      </c>
      <c r="BG64" s="1">
        <f t="shared" si="35"/>
        <v>3355000</v>
      </c>
      <c r="BH64">
        <f t="shared" si="36"/>
        <v>58</v>
      </c>
    </row>
    <row r="65" spans="1:60" x14ac:dyDescent="0.35">
      <c r="A65">
        <v>10001388</v>
      </c>
      <c r="B65" t="str">
        <f t="shared" si="41"/>
        <v>ES UPGRADE OF MALL COMMON CRS</v>
      </c>
      <c r="C65" t="s">
        <v>9</v>
      </c>
      <c r="D65" t="s">
        <v>9</v>
      </c>
      <c r="E65" t="s">
        <v>29</v>
      </c>
      <c r="F65" s="72" t="s">
        <v>1814</v>
      </c>
      <c r="G65" t="s">
        <v>1</v>
      </c>
      <c r="H65" t="s">
        <v>30</v>
      </c>
      <c r="I65">
        <v>1100</v>
      </c>
      <c r="J65" t="s">
        <v>32</v>
      </c>
      <c r="K65" s="3">
        <f t="shared" si="42"/>
        <v>29</v>
      </c>
      <c r="L65" s="3" t="str">
        <f t="shared" si="43"/>
        <v>8100</v>
      </c>
      <c r="M65">
        <v>81225201</v>
      </c>
      <c r="N65" s="3" t="str">
        <f>_xlfn.XLOOKUP(M65,[2]Sheet1!$A:$A,[2]Sheet1!$D:$D)</f>
        <v>ESTANCIA EXP - MALL</v>
      </c>
      <c r="O65" t="s">
        <v>19</v>
      </c>
      <c r="P65" t="s">
        <v>20</v>
      </c>
      <c r="Q65" s="2" t="s">
        <v>31</v>
      </c>
      <c r="R65" s="89">
        <v>5000000</v>
      </c>
      <c r="S65" s="63" t="s">
        <v>21</v>
      </c>
      <c r="T65" t="str">
        <f>_xlfn.XLOOKUP(M65,[2]Sheet1!$A:$A,[2]Sheet1!$E:$E)</f>
        <v>MALLS</v>
      </c>
      <c r="U65" s="63" t="s">
        <v>22</v>
      </c>
      <c r="V65" s="63" t="s">
        <v>27</v>
      </c>
      <c r="W65" s="63" t="s">
        <v>15</v>
      </c>
      <c r="X65" s="63" t="s">
        <v>33</v>
      </c>
      <c r="Z65" s="1">
        <f>_xlfn.XLOOKUP(A65,'SAP Report'!A:A,'SAP Report'!C:C)</f>
        <v>5000000</v>
      </c>
      <c r="AA65" s="1">
        <f>HLOOKUP($A$4,$AV$6:$BG65,(2+BH64),FALSE)</f>
        <v>843125.12999999989</v>
      </c>
      <c r="AB65" s="1">
        <f>SUMIF('Open PR PO'!A:A,Monitoring!A65,'Open PR PO'!K:K)</f>
        <v>3688102.1799999997</v>
      </c>
      <c r="AC65" s="1">
        <f t="shared" si="37"/>
        <v>4531227.3099999996</v>
      </c>
      <c r="AD65" s="1">
        <f t="shared" si="38"/>
        <v>468772.69000000041</v>
      </c>
      <c r="AE65" s="1">
        <f t="shared" si="39"/>
        <v>4156874.87</v>
      </c>
      <c r="AF65" s="1"/>
      <c r="AG65" s="53">
        <f>SUMIFS(Actual!$F:$F,Actual!$N:$N,Monitoring!AG$6,Actual!$A:$A,Monitoring!$A65)</f>
        <v>0</v>
      </c>
      <c r="AH65" s="53">
        <f>SUMIFS(Actual!$F:$F,Actual!$N:$N,Monitoring!AH$6,Actual!$A:$A,Monitoring!$A65)</f>
        <v>0</v>
      </c>
      <c r="AI65" s="53">
        <f>SUMIFS(Actual!$F:$F,Actual!$N:$N,Monitoring!AI$6,Actual!$A:$A,Monitoring!$A65)</f>
        <v>0</v>
      </c>
      <c r="AJ65" s="53">
        <f>SUMIFS(Actual!$F:$F,Actual!$N:$N,Monitoring!AJ$6,Actual!$A:$A,Monitoring!$A65)</f>
        <v>0</v>
      </c>
      <c r="AK65" s="53">
        <f>SUMIFS(Actual!$F:$F,Actual!$N:$N,Monitoring!AK$6,Actual!$A:$A,Monitoring!$A65)</f>
        <v>38531.25</v>
      </c>
      <c r="AL65" s="53">
        <f>SUMIFS(Actual!$F:$F,Actual!$N:$N,Monitoring!AL$6,Actual!$A:$A,Monitoring!$A65)</f>
        <v>0</v>
      </c>
      <c r="AM65" s="53">
        <f>SUMIFS(Actual!$F:$F,Actual!$N:$N,Monitoring!AM$6,Actual!$A:$A,Monitoring!$A65)</f>
        <v>0</v>
      </c>
      <c r="AN65" s="53">
        <f>SUMIFS(Actual!$F:$F,Actual!$N:$N,Monitoring!AN$6,Actual!$A:$A,Monitoring!$A65)</f>
        <v>804593.87999999989</v>
      </c>
      <c r="AO65" s="53">
        <f>SUMIFS(Actual!$F:$F,Actual!$N:$N,Monitoring!AO$6,Actual!$A:$A,Monitoring!$A65)</f>
        <v>0</v>
      </c>
      <c r="AP65" s="53">
        <f t="shared" si="19"/>
        <v>3688102.1799999997</v>
      </c>
      <c r="AQ65" s="53">
        <f t="shared" si="20"/>
        <v>234386.3450000002</v>
      </c>
      <c r="AR65" s="53">
        <f t="shared" si="21"/>
        <v>234386.3450000002</v>
      </c>
      <c r="AS65" s="1">
        <f t="shared" si="22"/>
        <v>5000000</v>
      </c>
      <c r="AT65" s="12">
        <f t="shared" si="23"/>
        <v>0</v>
      </c>
      <c r="AU65" s="1"/>
      <c r="AV65" s="53">
        <f t="shared" si="24"/>
        <v>0</v>
      </c>
      <c r="AW65" s="1">
        <f t="shared" si="25"/>
        <v>0</v>
      </c>
      <c r="AX65" s="1">
        <f t="shared" si="26"/>
        <v>0</v>
      </c>
      <c r="AY65" s="1">
        <f t="shared" si="27"/>
        <v>0</v>
      </c>
      <c r="AZ65" s="1">
        <f t="shared" si="28"/>
        <v>38531.25</v>
      </c>
      <c r="BA65" s="1">
        <f t="shared" si="29"/>
        <v>38531.25</v>
      </c>
      <c r="BB65" s="1">
        <f t="shared" si="30"/>
        <v>38531.25</v>
      </c>
      <c r="BC65" s="1">
        <f t="shared" si="31"/>
        <v>843125.12999999989</v>
      </c>
      <c r="BD65" s="1">
        <f t="shared" si="32"/>
        <v>843125.12999999989</v>
      </c>
      <c r="BE65" s="1">
        <f t="shared" si="33"/>
        <v>4531227.3099999996</v>
      </c>
      <c r="BF65" s="1">
        <f t="shared" si="34"/>
        <v>4765613.6549999993</v>
      </c>
      <c r="BG65" s="1">
        <f t="shared" si="35"/>
        <v>5000000</v>
      </c>
      <c r="BH65">
        <f t="shared" si="36"/>
        <v>59</v>
      </c>
    </row>
    <row r="66" spans="1:60" x14ac:dyDescent="0.35">
      <c r="A66">
        <v>10001389</v>
      </c>
      <c r="B66" t="str">
        <f t="shared" si="41"/>
        <v>ES EW FACILITY ENHANCEMENTS</v>
      </c>
      <c r="C66" t="s">
        <v>9</v>
      </c>
      <c r="D66" t="s">
        <v>9</v>
      </c>
      <c r="E66" t="s">
        <v>733</v>
      </c>
      <c r="F66" s="72" t="s">
        <v>1814</v>
      </c>
      <c r="G66" t="s">
        <v>1</v>
      </c>
      <c r="H66" t="s">
        <v>34</v>
      </c>
      <c r="I66">
        <v>1100</v>
      </c>
      <c r="J66" t="s">
        <v>36</v>
      </c>
      <c r="K66" s="3">
        <f t="shared" si="42"/>
        <v>27</v>
      </c>
      <c r="L66" s="3" t="str">
        <f t="shared" si="43"/>
        <v>8100</v>
      </c>
      <c r="M66">
        <v>81225201</v>
      </c>
      <c r="N66" s="3" t="str">
        <f>_xlfn.XLOOKUP(M66,[2]Sheet1!$A:$A,[2]Sheet1!$D:$D)</f>
        <v>ESTANCIA EXP - MALL</v>
      </c>
      <c r="O66" t="s">
        <v>19</v>
      </c>
      <c r="P66" t="s">
        <v>20</v>
      </c>
      <c r="Q66" s="2" t="s">
        <v>35</v>
      </c>
      <c r="R66" s="89">
        <v>3000000</v>
      </c>
      <c r="S66" s="63" t="s">
        <v>21</v>
      </c>
      <c r="T66" t="str">
        <f>_xlfn.XLOOKUP(M66,[2]Sheet1!$A:$A,[2]Sheet1!$E:$E)</f>
        <v>MALLS</v>
      </c>
      <c r="U66" s="63" t="s">
        <v>22</v>
      </c>
      <c r="V66" s="63" t="s">
        <v>27</v>
      </c>
      <c r="W66" s="63" t="s">
        <v>15</v>
      </c>
      <c r="X66" s="63" t="s">
        <v>37</v>
      </c>
      <c r="Z66" s="1">
        <f>_xlfn.XLOOKUP(A66,'SAP Report'!A:A,'SAP Report'!C:C)</f>
        <v>3000000</v>
      </c>
      <c r="AA66" s="1">
        <f>HLOOKUP($A$4,$AV$6:$BG66,(2+BH65),FALSE)</f>
        <v>700173.92999999993</v>
      </c>
      <c r="AB66" s="1">
        <f>SUMIF('Open PR PO'!A:A,Monitoring!A66,'Open PR PO'!K:K)</f>
        <v>1484187.5</v>
      </c>
      <c r="AC66" s="1">
        <f t="shared" si="37"/>
        <v>2184361.4299999997</v>
      </c>
      <c r="AD66" s="1">
        <f t="shared" si="38"/>
        <v>815638.5700000003</v>
      </c>
      <c r="AE66" s="1">
        <f t="shared" si="39"/>
        <v>2299826.0700000003</v>
      </c>
      <c r="AF66" s="1"/>
      <c r="AG66" s="53">
        <f>SUMIFS(Actual!$F:$F,Actual!$N:$N,Monitoring!AG$6,Actual!$A:$A,Monitoring!$A66)</f>
        <v>0</v>
      </c>
      <c r="AH66" s="53">
        <f>SUMIFS(Actual!$F:$F,Actual!$N:$N,Monitoring!AH$6,Actual!$A:$A,Monitoring!$A66)</f>
        <v>0</v>
      </c>
      <c r="AI66" s="53">
        <f>SUMIFS(Actual!$F:$F,Actual!$N:$N,Monitoring!AI$6,Actual!$A:$A,Monitoring!$A66)</f>
        <v>2540</v>
      </c>
      <c r="AJ66" s="53">
        <f>SUMIFS(Actual!$F:$F,Actual!$N:$N,Monitoring!AJ$6,Actual!$A:$A,Monitoring!$A66)</f>
        <v>0</v>
      </c>
      <c r="AK66" s="53">
        <f>SUMIFS(Actual!$F:$F,Actual!$N:$N,Monitoring!AK$6,Actual!$A:$A,Monitoring!$A66)</f>
        <v>10000</v>
      </c>
      <c r="AL66" s="53">
        <f>SUMIFS(Actual!$F:$F,Actual!$N:$N,Monitoring!AL$6,Actual!$A:$A,Monitoring!$A66)</f>
        <v>50000</v>
      </c>
      <c r="AM66" s="53">
        <f>SUMIFS(Actual!$F:$F,Actual!$N:$N,Monitoring!AM$6,Actual!$A:$A,Monitoring!$A66)</f>
        <v>98214.29</v>
      </c>
      <c r="AN66" s="53">
        <f>SUMIFS(Actual!$F:$F,Actual!$N:$N,Monitoring!AN$6,Actual!$A:$A,Monitoring!$A66)</f>
        <v>539419.64</v>
      </c>
      <c r="AO66" s="53">
        <f>SUMIFS(Actual!$F:$F,Actual!$N:$N,Monitoring!AO$6,Actual!$A:$A,Monitoring!$A66)</f>
        <v>0</v>
      </c>
      <c r="AP66" s="53">
        <f t="shared" si="19"/>
        <v>1484187.5</v>
      </c>
      <c r="AQ66" s="53">
        <f t="shared" si="20"/>
        <v>407819.28500000015</v>
      </c>
      <c r="AR66" s="53">
        <f t="shared" si="21"/>
        <v>407819.28500000015</v>
      </c>
      <c r="AS66" s="1">
        <f t="shared" si="22"/>
        <v>3000000</v>
      </c>
      <c r="AT66" s="12">
        <f t="shared" si="23"/>
        <v>0</v>
      </c>
      <c r="AU66" s="1"/>
      <c r="AV66" s="53">
        <f t="shared" si="24"/>
        <v>0</v>
      </c>
      <c r="AW66" s="1">
        <f t="shared" si="25"/>
        <v>0</v>
      </c>
      <c r="AX66" s="1">
        <f t="shared" si="26"/>
        <v>2540</v>
      </c>
      <c r="AY66" s="1">
        <f t="shared" si="27"/>
        <v>2540</v>
      </c>
      <c r="AZ66" s="1">
        <f t="shared" si="28"/>
        <v>12540</v>
      </c>
      <c r="BA66" s="1">
        <f t="shared" si="29"/>
        <v>62540</v>
      </c>
      <c r="BB66" s="1">
        <f t="shared" si="30"/>
        <v>160754.28999999998</v>
      </c>
      <c r="BC66" s="1">
        <f t="shared" si="31"/>
        <v>700173.92999999993</v>
      </c>
      <c r="BD66" s="1">
        <f t="shared" si="32"/>
        <v>700173.92999999993</v>
      </c>
      <c r="BE66" s="1">
        <f t="shared" si="33"/>
        <v>2184361.4299999997</v>
      </c>
      <c r="BF66" s="1">
        <f t="shared" si="34"/>
        <v>2592180.7149999999</v>
      </c>
      <c r="BG66" s="1">
        <f t="shared" si="35"/>
        <v>3000000</v>
      </c>
      <c r="BH66">
        <f t="shared" si="36"/>
        <v>60</v>
      </c>
    </row>
    <row r="67" spans="1:60" x14ac:dyDescent="0.35">
      <c r="A67">
        <v>10001390</v>
      </c>
      <c r="B67" t="str">
        <f t="shared" si="41"/>
        <v>ES REFRESH OF AL FRESCO</v>
      </c>
      <c r="C67" t="s">
        <v>9</v>
      </c>
      <c r="D67" t="s">
        <v>9</v>
      </c>
      <c r="E67" t="s">
        <v>733</v>
      </c>
      <c r="F67" s="72" t="s">
        <v>1814</v>
      </c>
      <c r="G67" t="s">
        <v>1</v>
      </c>
      <c r="H67" t="s">
        <v>38</v>
      </c>
      <c r="I67">
        <v>1100</v>
      </c>
      <c r="J67" t="s">
        <v>39</v>
      </c>
      <c r="K67" s="3">
        <f t="shared" si="42"/>
        <v>23</v>
      </c>
      <c r="L67" s="3" t="str">
        <f t="shared" si="43"/>
        <v>8100</v>
      </c>
      <c r="M67">
        <v>81225201</v>
      </c>
      <c r="N67" s="3" t="str">
        <f>_xlfn.XLOOKUP(M67,[2]Sheet1!$A:$A,[2]Sheet1!$D:$D)</f>
        <v>ESTANCIA EXP - MALL</v>
      </c>
      <c r="O67" t="s">
        <v>19</v>
      </c>
      <c r="P67" t="s">
        <v>20</v>
      </c>
      <c r="Q67" s="2" t="s">
        <v>3168</v>
      </c>
      <c r="R67" s="89">
        <f>4000000-1000000</f>
        <v>3000000</v>
      </c>
      <c r="S67" s="63" t="s">
        <v>21</v>
      </c>
      <c r="T67" t="str">
        <f>_xlfn.XLOOKUP(M67,[2]Sheet1!$A:$A,[2]Sheet1!$E:$E)</f>
        <v>MALLS</v>
      </c>
      <c r="U67" s="63" t="s">
        <v>22</v>
      </c>
      <c r="V67" s="63" t="s">
        <v>27</v>
      </c>
      <c r="W67" s="63" t="s">
        <v>15</v>
      </c>
      <c r="X67" s="63" t="s">
        <v>3170</v>
      </c>
      <c r="Z67" s="1">
        <f>_xlfn.XLOOKUP(A67,'SAP Report'!A:A,'SAP Report'!C:C)</f>
        <v>3000000</v>
      </c>
      <c r="AA67" s="1">
        <f>HLOOKUP($A$4,$AV$6:$BG67,(2+BH66),FALSE)</f>
        <v>1076321.4300000002</v>
      </c>
      <c r="AB67" s="1">
        <f>SUMIF('Open PR PO'!A:A,Monitoring!A67,'Open PR PO'!K:K)</f>
        <v>614678.57000000007</v>
      </c>
      <c r="AC67" s="1">
        <f t="shared" si="37"/>
        <v>1691000.0000000002</v>
      </c>
      <c r="AD67" s="1">
        <f t="shared" si="38"/>
        <v>1308999.9999999998</v>
      </c>
      <c r="AE67" s="1">
        <f t="shared" si="39"/>
        <v>1923678.5699999998</v>
      </c>
      <c r="AF67" s="1"/>
      <c r="AG67" s="53">
        <f>SUMIFS(Actual!$F:$F,Actual!$N:$N,Monitoring!AG$6,Actual!$A:$A,Monitoring!$A67)</f>
        <v>0</v>
      </c>
      <c r="AH67" s="53">
        <f>SUMIFS(Actual!$F:$F,Actual!$N:$N,Monitoring!AH$6,Actual!$A:$A,Monitoring!$A67)</f>
        <v>0</v>
      </c>
      <c r="AI67" s="53">
        <f>SUMIFS(Actual!$F:$F,Actual!$N:$N,Monitoring!AI$6,Actual!$A:$A,Monitoring!$A67)</f>
        <v>0</v>
      </c>
      <c r="AJ67" s="53">
        <f>SUMIFS(Actual!$F:$F,Actual!$N:$N,Monitoring!AJ$6,Actual!$A:$A,Monitoring!$A67)</f>
        <v>0</v>
      </c>
      <c r="AK67" s="53">
        <f>SUMIFS(Actual!$F:$F,Actual!$N:$N,Monitoring!AK$6,Actual!$A:$A,Monitoring!$A67)</f>
        <v>98000</v>
      </c>
      <c r="AL67" s="53">
        <f>SUMIFS(Actual!$F:$F,Actual!$N:$N,Monitoring!AL$6,Actual!$A:$A,Monitoring!$A67)</f>
        <v>210000</v>
      </c>
      <c r="AM67" s="53">
        <f>SUMIFS(Actual!$F:$F,Actual!$N:$N,Monitoring!AM$6,Actual!$A:$A,Monitoring!$A67)</f>
        <v>171000</v>
      </c>
      <c r="AN67" s="53">
        <f>SUMIFS(Actual!$F:$F,Actual!$N:$N,Monitoring!AN$6,Actual!$A:$A,Monitoring!$A67)</f>
        <v>409821.43000000005</v>
      </c>
      <c r="AO67" s="53">
        <f>SUMIFS(Actual!$F:$F,Actual!$N:$N,Monitoring!AO$6,Actual!$A:$A,Monitoring!$A67)</f>
        <v>187500</v>
      </c>
      <c r="AP67" s="53">
        <f t="shared" si="19"/>
        <v>614678.57000000007</v>
      </c>
      <c r="AQ67" s="53">
        <f t="shared" si="20"/>
        <v>654499.99999999988</v>
      </c>
      <c r="AR67" s="53">
        <f t="shared" si="21"/>
        <v>654499.99999999988</v>
      </c>
      <c r="AS67" s="1">
        <f t="shared" si="22"/>
        <v>3000000</v>
      </c>
      <c r="AT67" s="12">
        <f t="shared" si="23"/>
        <v>0</v>
      </c>
      <c r="AU67" s="1"/>
      <c r="AV67" s="53">
        <f t="shared" si="24"/>
        <v>0</v>
      </c>
      <c r="AW67" s="1">
        <f t="shared" si="25"/>
        <v>0</v>
      </c>
      <c r="AX67" s="1">
        <f t="shared" si="26"/>
        <v>0</v>
      </c>
      <c r="AY67" s="1">
        <f t="shared" si="27"/>
        <v>0</v>
      </c>
      <c r="AZ67" s="1">
        <f t="shared" si="28"/>
        <v>98000</v>
      </c>
      <c r="BA67" s="1">
        <f t="shared" si="29"/>
        <v>308000</v>
      </c>
      <c r="BB67" s="1">
        <f t="shared" si="30"/>
        <v>479000</v>
      </c>
      <c r="BC67" s="1">
        <f t="shared" si="31"/>
        <v>888821.43</v>
      </c>
      <c r="BD67" s="1">
        <f t="shared" si="32"/>
        <v>1076321.4300000002</v>
      </c>
      <c r="BE67" s="1">
        <f t="shared" si="33"/>
        <v>1691000.0000000002</v>
      </c>
      <c r="BF67" s="1">
        <f t="shared" si="34"/>
        <v>2345500</v>
      </c>
      <c r="BG67" s="1">
        <f t="shared" si="35"/>
        <v>3000000</v>
      </c>
      <c r="BH67">
        <f t="shared" si="36"/>
        <v>61</v>
      </c>
    </row>
    <row r="68" spans="1:60" x14ac:dyDescent="0.35">
      <c r="A68">
        <v>10001391</v>
      </c>
      <c r="B68" t="str">
        <f t="shared" si="41"/>
        <v>ES REPAINTING &amp; IMPROVEMENT OF PARKING SIGNAGES</v>
      </c>
      <c r="C68" t="s">
        <v>9</v>
      </c>
      <c r="D68" t="s">
        <v>9</v>
      </c>
      <c r="E68" t="s">
        <v>698</v>
      </c>
      <c r="F68" s="72" t="s">
        <v>1814</v>
      </c>
      <c r="G68" t="s">
        <v>1</v>
      </c>
      <c r="H68" t="s">
        <v>40</v>
      </c>
      <c r="I68">
        <v>1110</v>
      </c>
      <c r="J68" t="s">
        <v>42</v>
      </c>
      <c r="K68" s="3">
        <f t="shared" si="42"/>
        <v>47</v>
      </c>
      <c r="L68" s="3" t="str">
        <f t="shared" si="43"/>
        <v>8100</v>
      </c>
      <c r="M68">
        <v>81225102</v>
      </c>
      <c r="N68" s="3" t="str">
        <f>_xlfn.XLOOKUP(M68,[2]Sheet1!$A:$A,[2]Sheet1!$D:$D)</f>
        <v>ESTANCIA PARKING</v>
      </c>
      <c r="O68" t="s">
        <v>19</v>
      </c>
      <c r="P68" t="s">
        <v>20</v>
      </c>
      <c r="Q68" s="2" t="s">
        <v>41</v>
      </c>
      <c r="R68" s="89">
        <v>1000000</v>
      </c>
      <c r="S68" s="63" t="s">
        <v>21</v>
      </c>
      <c r="T68" t="str">
        <f>_xlfn.XLOOKUP(M68,[2]Sheet1!$A:$A,[2]Sheet1!$E:$E)</f>
        <v>MALLS</v>
      </c>
      <c r="U68" s="63" t="s">
        <v>22</v>
      </c>
      <c r="V68" s="63" t="s">
        <v>27</v>
      </c>
      <c r="W68" s="63" t="s">
        <v>15</v>
      </c>
      <c r="X68" s="63" t="s">
        <v>43</v>
      </c>
      <c r="Z68" s="1">
        <f>_xlfn.XLOOKUP(A68,'SAP Report'!A:A,'SAP Report'!C:C)</f>
        <v>1000000</v>
      </c>
      <c r="AA68" s="1">
        <f>HLOOKUP($A$4,$AV$6:$BG68,(2+BH67),FALSE)</f>
        <v>283779.72000000003</v>
      </c>
      <c r="AB68" s="1">
        <f>SUMIF('Open PR PO'!A:A,Monitoring!A68,'Open PR PO'!K:K)</f>
        <v>0</v>
      </c>
      <c r="AC68" s="1">
        <f t="shared" si="37"/>
        <v>283779.72000000003</v>
      </c>
      <c r="AD68" s="1">
        <f t="shared" si="38"/>
        <v>716220.28</v>
      </c>
      <c r="AE68" s="1">
        <f t="shared" si="39"/>
        <v>716220.28</v>
      </c>
      <c r="AF68" s="1"/>
      <c r="AG68" s="53">
        <f>SUMIFS(Actual!$F:$F,Actual!$N:$N,Monitoring!AG$6,Actual!$A:$A,Monitoring!$A68)</f>
        <v>0</v>
      </c>
      <c r="AH68" s="53">
        <f>SUMIFS(Actual!$F:$F,Actual!$N:$N,Monitoring!AH$6,Actual!$A:$A,Monitoring!$A68)</f>
        <v>0</v>
      </c>
      <c r="AI68" s="53">
        <f>SUMIFS(Actual!$F:$F,Actual!$N:$N,Monitoring!AI$6,Actual!$A:$A,Monitoring!$A68)</f>
        <v>0</v>
      </c>
      <c r="AJ68" s="53">
        <f>SUMIFS(Actual!$F:$F,Actual!$N:$N,Monitoring!AJ$6,Actual!$A:$A,Monitoring!$A68)</f>
        <v>0</v>
      </c>
      <c r="AK68" s="53">
        <f>SUMIFS(Actual!$F:$F,Actual!$N:$N,Monitoring!AK$6,Actual!$A:$A,Monitoring!$A68)</f>
        <v>0</v>
      </c>
      <c r="AL68" s="53">
        <f>SUMIFS(Actual!$F:$F,Actual!$N:$N,Monitoring!AL$6,Actual!$A:$A,Monitoring!$A68)</f>
        <v>0</v>
      </c>
      <c r="AM68" s="53">
        <f>SUMIFS(Actual!$F:$F,Actual!$N:$N,Monitoring!AM$6,Actual!$A:$A,Monitoring!$A68)</f>
        <v>57047.58</v>
      </c>
      <c r="AN68" s="53">
        <f>SUMIFS(Actual!$F:$F,Actual!$N:$N,Monitoring!AN$6,Actual!$A:$A,Monitoring!$A68)</f>
        <v>151285.71000000002</v>
      </c>
      <c r="AO68" s="53">
        <f>SUMIFS(Actual!$F:$F,Actual!$N:$N,Monitoring!AO$6,Actual!$A:$A,Monitoring!$A68)</f>
        <v>75446.429999999993</v>
      </c>
      <c r="AP68" s="53">
        <f t="shared" si="19"/>
        <v>0</v>
      </c>
      <c r="AQ68" s="53">
        <f t="shared" si="20"/>
        <v>358110.14</v>
      </c>
      <c r="AR68" s="53">
        <f t="shared" si="21"/>
        <v>358110.14</v>
      </c>
      <c r="AS68" s="1">
        <f t="shared" si="22"/>
        <v>1000000.0000000001</v>
      </c>
      <c r="AT68" s="12">
        <f t="shared" si="23"/>
        <v>0</v>
      </c>
      <c r="AU68" s="1"/>
      <c r="AV68" s="53">
        <f t="shared" si="24"/>
        <v>0</v>
      </c>
      <c r="AW68" s="1">
        <f t="shared" si="25"/>
        <v>0</v>
      </c>
      <c r="AX68" s="1">
        <f t="shared" si="26"/>
        <v>0</v>
      </c>
      <c r="AY68" s="1">
        <f t="shared" si="27"/>
        <v>0</v>
      </c>
      <c r="AZ68" s="1">
        <f t="shared" si="28"/>
        <v>0</v>
      </c>
      <c r="BA68" s="1">
        <f t="shared" si="29"/>
        <v>0</v>
      </c>
      <c r="BB68" s="1">
        <f t="shared" si="30"/>
        <v>57047.58</v>
      </c>
      <c r="BC68" s="1">
        <f t="shared" si="31"/>
        <v>208333.29000000004</v>
      </c>
      <c r="BD68" s="1">
        <f t="shared" si="32"/>
        <v>283779.72000000003</v>
      </c>
      <c r="BE68" s="1">
        <f t="shared" si="33"/>
        <v>283779.72000000003</v>
      </c>
      <c r="BF68" s="1">
        <f t="shared" si="34"/>
        <v>641889.8600000001</v>
      </c>
      <c r="BG68" s="1">
        <f t="shared" si="35"/>
        <v>1000000.0000000001</v>
      </c>
      <c r="BH68">
        <f t="shared" si="36"/>
        <v>62</v>
      </c>
    </row>
    <row r="69" spans="1:60" x14ac:dyDescent="0.35">
      <c r="A69">
        <v>10001392</v>
      </c>
      <c r="B69" t="str">
        <f t="shared" si="41"/>
        <v>ES EW PARKING SIGNAGES REPAINTING &amp; IMPROVEMENT</v>
      </c>
      <c r="C69" t="s">
        <v>9</v>
      </c>
      <c r="D69" t="s">
        <v>9</v>
      </c>
      <c r="E69" t="s">
        <v>698</v>
      </c>
      <c r="F69" s="72" t="s">
        <v>1814</v>
      </c>
      <c r="G69" t="s">
        <v>1</v>
      </c>
      <c r="H69" t="s">
        <v>44</v>
      </c>
      <c r="I69">
        <v>1110</v>
      </c>
      <c r="J69" t="s">
        <v>45</v>
      </c>
      <c r="K69" s="3">
        <f t="shared" si="42"/>
        <v>47</v>
      </c>
      <c r="L69" s="3" t="str">
        <f t="shared" si="43"/>
        <v>8100</v>
      </c>
      <c r="M69">
        <v>81225102</v>
      </c>
      <c r="N69" s="3" t="str">
        <f>_xlfn.XLOOKUP(M69,[2]Sheet1!$A:$A,[2]Sheet1!$D:$D)</f>
        <v>ESTANCIA PARKING</v>
      </c>
      <c r="O69" t="s">
        <v>19</v>
      </c>
      <c r="P69" t="s">
        <v>20</v>
      </c>
      <c r="Q69" s="2" t="s">
        <v>1865</v>
      </c>
      <c r="R69" s="89">
        <f>1000000-1000000</f>
        <v>0</v>
      </c>
      <c r="S69" s="63" t="s">
        <v>21</v>
      </c>
      <c r="T69" t="str">
        <f>_xlfn.XLOOKUP(M69,[2]Sheet1!$A:$A,[2]Sheet1!$E:$E)</f>
        <v>MALLS</v>
      </c>
      <c r="U69" s="63" t="s">
        <v>22</v>
      </c>
      <c r="V69" s="63" t="s">
        <v>27</v>
      </c>
      <c r="W69" s="63" t="s">
        <v>15</v>
      </c>
      <c r="X69" s="63" t="s">
        <v>1871</v>
      </c>
      <c r="Z69" s="1">
        <f>_xlfn.XLOOKUP(A69,'SAP Report'!A:A,'SAP Report'!C:C)</f>
        <v>0</v>
      </c>
      <c r="AA69" s="1">
        <f>HLOOKUP($A$4,$AV$6:$BG69,(2+BH68),FALSE)</f>
        <v>0</v>
      </c>
      <c r="AB69" s="1">
        <f>SUMIF('Open PR PO'!A:A,Monitoring!A69,'Open PR PO'!K:K)</f>
        <v>0</v>
      </c>
      <c r="AC69" s="1">
        <f t="shared" si="37"/>
        <v>0</v>
      </c>
      <c r="AD69" s="1">
        <f t="shared" si="38"/>
        <v>0</v>
      </c>
      <c r="AE69" s="1">
        <f t="shared" si="39"/>
        <v>0</v>
      </c>
      <c r="AF69" s="1"/>
      <c r="AG69" s="53">
        <f>SUMIFS(Actual!$F:$F,Actual!$N:$N,Monitoring!AG$6,Actual!$A:$A,Monitoring!$A69)</f>
        <v>0</v>
      </c>
      <c r="AH69" s="53">
        <f>SUMIFS(Actual!$F:$F,Actual!$N:$N,Monitoring!AH$6,Actual!$A:$A,Monitoring!$A69)</f>
        <v>0</v>
      </c>
      <c r="AI69" s="53">
        <f>SUMIFS(Actual!$F:$F,Actual!$N:$N,Monitoring!AI$6,Actual!$A:$A,Monitoring!$A69)</f>
        <v>0</v>
      </c>
      <c r="AJ69" s="53">
        <f>SUMIFS(Actual!$F:$F,Actual!$N:$N,Monitoring!AJ$6,Actual!$A:$A,Monitoring!$A69)</f>
        <v>0</v>
      </c>
      <c r="AK69" s="53">
        <f>SUMIFS(Actual!$F:$F,Actual!$N:$N,Monitoring!AK$6,Actual!$A:$A,Monitoring!$A69)</f>
        <v>0</v>
      </c>
      <c r="AL69" s="53">
        <f>SUMIFS(Actual!$F:$F,Actual!$N:$N,Monitoring!AL$6,Actual!$A:$A,Monitoring!$A69)</f>
        <v>0</v>
      </c>
      <c r="AM69" s="53">
        <f>SUMIFS(Actual!$F:$F,Actual!$N:$N,Monitoring!AM$6,Actual!$A:$A,Monitoring!$A69)</f>
        <v>0</v>
      </c>
      <c r="AN69" s="53">
        <f>SUMIFS(Actual!$F:$F,Actual!$N:$N,Monitoring!AN$6,Actual!$A:$A,Monitoring!$A69)</f>
        <v>0</v>
      </c>
      <c r="AO69" s="53">
        <f>SUMIFS(Actual!$F:$F,Actual!$N:$N,Monitoring!AO$6,Actual!$A:$A,Monitoring!$A69)</f>
        <v>0</v>
      </c>
      <c r="AP69" s="53">
        <f t="shared" si="19"/>
        <v>0</v>
      </c>
      <c r="AQ69" s="53">
        <f t="shared" si="20"/>
        <v>0</v>
      </c>
      <c r="AR69" s="53">
        <f t="shared" si="21"/>
        <v>0</v>
      </c>
      <c r="AS69" s="1">
        <f t="shared" si="22"/>
        <v>0</v>
      </c>
      <c r="AT69" s="12">
        <f t="shared" si="23"/>
        <v>0</v>
      </c>
      <c r="AU69" s="1"/>
      <c r="AV69" s="53">
        <f t="shared" si="24"/>
        <v>0</v>
      </c>
      <c r="AW69" s="1">
        <f t="shared" si="25"/>
        <v>0</v>
      </c>
      <c r="AX69" s="1">
        <f t="shared" si="26"/>
        <v>0</v>
      </c>
      <c r="AY69" s="1">
        <f t="shared" si="27"/>
        <v>0</v>
      </c>
      <c r="AZ69" s="1">
        <f t="shared" si="28"/>
        <v>0</v>
      </c>
      <c r="BA69" s="1">
        <f t="shared" si="29"/>
        <v>0</v>
      </c>
      <c r="BB69" s="1">
        <f t="shared" si="30"/>
        <v>0</v>
      </c>
      <c r="BC69" s="1">
        <f t="shared" si="31"/>
        <v>0</v>
      </c>
      <c r="BD69" s="1">
        <f t="shared" si="32"/>
        <v>0</v>
      </c>
      <c r="BE69" s="1">
        <f t="shared" si="33"/>
        <v>0</v>
      </c>
      <c r="BF69" s="1">
        <f t="shared" si="34"/>
        <v>0</v>
      </c>
      <c r="BG69" s="1">
        <f t="shared" si="35"/>
        <v>0</v>
      </c>
      <c r="BH69">
        <f t="shared" si="36"/>
        <v>63</v>
      </c>
    </row>
    <row r="70" spans="1:60" x14ac:dyDescent="0.35">
      <c r="A70">
        <v>10001393</v>
      </c>
      <c r="B70" t="str">
        <f t="shared" si="41"/>
        <v>ES 2026 SPACE RE-CUT &amp; STUB-OUT</v>
      </c>
      <c r="C70" t="s">
        <v>9</v>
      </c>
      <c r="D70" t="s">
        <v>9</v>
      </c>
      <c r="E70" t="s">
        <v>734</v>
      </c>
      <c r="F70" s="72" t="s">
        <v>1814</v>
      </c>
      <c r="G70" t="s">
        <v>1</v>
      </c>
      <c r="H70" t="s">
        <v>46</v>
      </c>
      <c r="I70">
        <v>1100</v>
      </c>
      <c r="J70" t="s">
        <v>48</v>
      </c>
      <c r="K70" s="3">
        <f t="shared" si="42"/>
        <v>31</v>
      </c>
      <c r="L70" s="3" t="str">
        <f t="shared" si="43"/>
        <v>8100</v>
      </c>
      <c r="M70">
        <v>81225201</v>
      </c>
      <c r="N70" s="3" t="str">
        <f>_xlfn.XLOOKUP(M70,[2]Sheet1!$A:$A,[2]Sheet1!$D:$D)</f>
        <v>ESTANCIA EXP - MALL</v>
      </c>
      <c r="O70" t="s">
        <v>19</v>
      </c>
      <c r="P70" t="s">
        <v>20</v>
      </c>
      <c r="Q70" s="2" t="s">
        <v>47</v>
      </c>
      <c r="R70" s="89">
        <v>1500000</v>
      </c>
      <c r="S70" s="63" t="s">
        <v>21</v>
      </c>
      <c r="T70" t="str">
        <f>_xlfn.XLOOKUP(M70,[2]Sheet1!$A:$A,[2]Sheet1!$E:$E)</f>
        <v>MALLS</v>
      </c>
      <c r="U70" s="63" t="s">
        <v>22</v>
      </c>
      <c r="V70" s="63" t="s">
        <v>49</v>
      </c>
      <c r="W70" s="63" t="s">
        <v>15</v>
      </c>
      <c r="X70" s="63" t="s">
        <v>50</v>
      </c>
      <c r="Z70" s="1">
        <f>_xlfn.XLOOKUP(A70,'SAP Report'!A:A,'SAP Report'!C:C)</f>
        <v>1500000</v>
      </c>
      <c r="AA70" s="1">
        <f>HLOOKUP($A$4,$AV$6:$BG70,(2+BH69),FALSE)</f>
        <v>1373767.39</v>
      </c>
      <c r="AB70" s="1">
        <f>SUMIF('Open PR PO'!A:A,Monitoring!A70,'Open PR PO'!K:K)</f>
        <v>71428.570000000007</v>
      </c>
      <c r="AC70" s="1">
        <f t="shared" si="37"/>
        <v>1445195.96</v>
      </c>
      <c r="AD70" s="1">
        <f t="shared" si="38"/>
        <v>54804.040000000037</v>
      </c>
      <c r="AE70" s="1">
        <f t="shared" si="39"/>
        <v>126232.6100000001</v>
      </c>
      <c r="AF70" s="1"/>
      <c r="AG70" s="53">
        <f>SUMIFS(Actual!$F:$F,Actual!$N:$N,Monitoring!AG$6,Actual!$A:$A,Monitoring!$A70)</f>
        <v>0</v>
      </c>
      <c r="AH70" s="53">
        <f>SUMIFS(Actual!$F:$F,Actual!$N:$N,Monitoring!AH$6,Actual!$A:$A,Monitoring!$A70)</f>
        <v>0</v>
      </c>
      <c r="AI70" s="53">
        <f>SUMIFS(Actual!$F:$F,Actual!$N:$N,Monitoring!AI$6,Actual!$A:$A,Monitoring!$A70)</f>
        <v>568422.72</v>
      </c>
      <c r="AJ70" s="53">
        <f>SUMIFS(Actual!$F:$F,Actual!$N:$N,Monitoring!AJ$6,Actual!$A:$A,Monitoring!$A70)</f>
        <v>126667.01999999999</v>
      </c>
      <c r="AK70" s="53">
        <f>SUMIFS(Actual!$F:$F,Actual!$N:$N,Monitoring!AK$6,Actual!$A:$A,Monitoring!$A70)</f>
        <v>211598.54999999996</v>
      </c>
      <c r="AL70" s="53">
        <f>SUMIFS(Actual!$F:$F,Actual!$N:$N,Monitoring!AL$6,Actual!$A:$A,Monitoring!$A70)</f>
        <v>118159.65999999999</v>
      </c>
      <c r="AM70" s="53">
        <f>SUMIFS(Actual!$F:$F,Actual!$N:$N,Monitoring!AM$6,Actual!$A:$A,Monitoring!$A70)</f>
        <v>226034.52</v>
      </c>
      <c r="AN70" s="53">
        <f>SUMIFS(Actual!$F:$F,Actual!$N:$N,Monitoring!AN$6,Actual!$A:$A,Monitoring!$A70)</f>
        <v>122884.91999999998</v>
      </c>
      <c r="AO70" s="53">
        <f>SUMIFS(Actual!$F:$F,Actual!$N:$N,Monitoring!AO$6,Actual!$A:$A,Monitoring!$A70)</f>
        <v>0</v>
      </c>
      <c r="AP70" s="53">
        <f t="shared" si="19"/>
        <v>71428.570000000007</v>
      </c>
      <c r="AQ70" s="53">
        <f t="shared" si="20"/>
        <v>27402.020000000019</v>
      </c>
      <c r="AR70" s="53">
        <f t="shared" si="21"/>
        <v>27402.020000000019</v>
      </c>
      <c r="AS70" s="1">
        <f t="shared" si="22"/>
        <v>1500000</v>
      </c>
      <c r="AT70" s="12">
        <f t="shared" si="23"/>
        <v>0</v>
      </c>
      <c r="AU70" s="1"/>
      <c r="AV70" s="53">
        <f t="shared" si="24"/>
        <v>0</v>
      </c>
      <c r="AW70" s="1">
        <f t="shared" si="25"/>
        <v>0</v>
      </c>
      <c r="AX70" s="1">
        <f t="shared" si="26"/>
        <v>568422.72</v>
      </c>
      <c r="AY70" s="1">
        <f t="shared" si="27"/>
        <v>695089.74</v>
      </c>
      <c r="AZ70" s="1">
        <f t="shared" si="28"/>
        <v>906688.28999999992</v>
      </c>
      <c r="BA70" s="1">
        <f t="shared" si="29"/>
        <v>1024847.95</v>
      </c>
      <c r="BB70" s="1">
        <f t="shared" si="30"/>
        <v>1250882.47</v>
      </c>
      <c r="BC70" s="1">
        <f t="shared" si="31"/>
        <v>1373767.39</v>
      </c>
      <c r="BD70" s="1">
        <f t="shared" si="32"/>
        <v>1373767.39</v>
      </c>
      <c r="BE70" s="1">
        <f t="shared" si="33"/>
        <v>1445195.96</v>
      </c>
      <c r="BF70" s="1">
        <f t="shared" si="34"/>
        <v>1472597.98</v>
      </c>
      <c r="BG70" s="1">
        <f t="shared" si="35"/>
        <v>1500000</v>
      </c>
      <c r="BH70">
        <f t="shared" si="36"/>
        <v>64</v>
      </c>
    </row>
    <row r="71" spans="1:60" x14ac:dyDescent="0.35">
      <c r="A71">
        <v>10001394</v>
      </c>
      <c r="B71" t="str">
        <f t="shared" si="41"/>
        <v>ES EW 2026 SPACE RE-CUT &amp; STUB-OUT</v>
      </c>
      <c r="C71" t="s">
        <v>9</v>
      </c>
      <c r="D71" t="s">
        <v>9</v>
      </c>
      <c r="E71" t="s">
        <v>734</v>
      </c>
      <c r="F71" s="72" t="s">
        <v>1814</v>
      </c>
      <c r="G71" t="s">
        <v>1</v>
      </c>
      <c r="H71" t="s">
        <v>51</v>
      </c>
      <c r="I71">
        <v>1100</v>
      </c>
      <c r="J71" t="s">
        <v>52</v>
      </c>
      <c r="K71" s="3">
        <f t="shared" si="42"/>
        <v>34</v>
      </c>
      <c r="L71" s="3" t="str">
        <f t="shared" si="43"/>
        <v>8100</v>
      </c>
      <c r="M71">
        <v>81225201</v>
      </c>
      <c r="N71" s="3" t="str">
        <f>_xlfn.XLOOKUP(M71,[2]Sheet1!$A:$A,[2]Sheet1!$D:$D)</f>
        <v>ESTANCIA EXP - MALL</v>
      </c>
      <c r="O71" t="s">
        <v>19</v>
      </c>
      <c r="P71" t="s">
        <v>20</v>
      </c>
      <c r="Q71" s="2" t="s">
        <v>3169</v>
      </c>
      <c r="R71" s="89">
        <f>3000000+1000000</f>
        <v>4000000</v>
      </c>
      <c r="S71" s="63" t="s">
        <v>21</v>
      </c>
      <c r="T71" t="str">
        <f>_xlfn.XLOOKUP(M71,[2]Sheet1!$A:$A,[2]Sheet1!$E:$E)</f>
        <v>MALLS</v>
      </c>
      <c r="U71" s="63" t="s">
        <v>22</v>
      </c>
      <c r="V71" s="63" t="s">
        <v>49</v>
      </c>
      <c r="W71" s="63" t="s">
        <v>15</v>
      </c>
      <c r="X71" s="63" t="s">
        <v>3171</v>
      </c>
      <c r="Z71" s="1">
        <f>_xlfn.XLOOKUP(A71,'SAP Report'!A:A,'SAP Report'!C:C)</f>
        <v>4000000</v>
      </c>
      <c r="AA71" s="1">
        <f>HLOOKUP($A$4,$AV$6:$BG71,(2+BH70),FALSE)</f>
        <v>1098009.3399999999</v>
      </c>
      <c r="AB71" s="1">
        <f>SUMIF('Open PR PO'!A:A,Monitoring!A71,'Open PR PO'!K:K)</f>
        <v>2270763.5000000005</v>
      </c>
      <c r="AC71" s="1">
        <f t="shared" si="37"/>
        <v>3368772.8400000003</v>
      </c>
      <c r="AD71" s="1">
        <f t="shared" si="38"/>
        <v>631227.15999999968</v>
      </c>
      <c r="AE71" s="1">
        <f t="shared" si="39"/>
        <v>2901990.66</v>
      </c>
      <c r="AF71" s="1"/>
      <c r="AG71" s="53">
        <f>SUMIFS(Actual!$F:$F,Actual!$N:$N,Monitoring!AG$6,Actual!$A:$A,Monitoring!$A71)</f>
        <v>0</v>
      </c>
      <c r="AH71" s="53">
        <f>SUMIFS(Actual!$F:$F,Actual!$N:$N,Monitoring!AH$6,Actual!$A:$A,Monitoring!$A71)</f>
        <v>25000</v>
      </c>
      <c r="AI71" s="53">
        <f>SUMIFS(Actual!$F:$F,Actual!$N:$N,Monitoring!AI$6,Actual!$A:$A,Monitoring!$A71)</f>
        <v>1469.41</v>
      </c>
      <c r="AJ71" s="53">
        <f>SUMIFS(Actual!$F:$F,Actual!$N:$N,Monitoring!AJ$6,Actual!$A:$A,Monitoring!$A71)</f>
        <v>323252.57</v>
      </c>
      <c r="AK71" s="53">
        <f>SUMIFS(Actual!$F:$F,Actual!$N:$N,Monitoring!AK$6,Actual!$A:$A,Monitoring!$A71)</f>
        <v>-1143.8400000000001</v>
      </c>
      <c r="AL71" s="53">
        <f>SUMIFS(Actual!$F:$F,Actual!$N:$N,Monitoring!AL$6,Actual!$A:$A,Monitoring!$A71)</f>
        <v>333391.08999999997</v>
      </c>
      <c r="AM71" s="53">
        <f>SUMIFS(Actual!$F:$F,Actual!$N:$N,Monitoring!AM$6,Actual!$A:$A,Monitoring!$A71)</f>
        <v>133538.25</v>
      </c>
      <c r="AN71" s="53">
        <f>SUMIFS(Actual!$F:$F,Actual!$N:$N,Monitoring!AN$6,Actual!$A:$A,Monitoring!$A71)</f>
        <v>20894.72</v>
      </c>
      <c r="AO71" s="53">
        <f>SUMIFS(Actual!$F:$F,Actual!$N:$N,Monitoring!AO$6,Actual!$A:$A,Monitoring!$A71)</f>
        <v>261607.14</v>
      </c>
      <c r="AP71" s="53">
        <f t="shared" si="19"/>
        <v>2270763.5000000005</v>
      </c>
      <c r="AQ71" s="53">
        <f t="shared" si="20"/>
        <v>315613.57999999984</v>
      </c>
      <c r="AR71" s="53">
        <f t="shared" si="21"/>
        <v>315613.57999999984</v>
      </c>
      <c r="AS71" s="1">
        <f t="shared" si="22"/>
        <v>4000000</v>
      </c>
      <c r="AT71" s="12">
        <f t="shared" si="23"/>
        <v>0</v>
      </c>
      <c r="AU71" s="1"/>
      <c r="AV71" s="53">
        <f t="shared" si="24"/>
        <v>0</v>
      </c>
      <c r="AW71" s="1">
        <f t="shared" si="25"/>
        <v>25000</v>
      </c>
      <c r="AX71" s="1">
        <f t="shared" si="26"/>
        <v>26469.41</v>
      </c>
      <c r="AY71" s="1">
        <f t="shared" si="27"/>
        <v>349721.98</v>
      </c>
      <c r="AZ71" s="1">
        <f t="shared" si="28"/>
        <v>348578.13999999996</v>
      </c>
      <c r="BA71" s="1">
        <f t="shared" si="29"/>
        <v>681969.23</v>
      </c>
      <c r="BB71" s="1">
        <f t="shared" si="30"/>
        <v>815507.48</v>
      </c>
      <c r="BC71" s="1">
        <f t="shared" si="31"/>
        <v>836402.2</v>
      </c>
      <c r="BD71" s="1">
        <f t="shared" si="32"/>
        <v>1098009.3399999999</v>
      </c>
      <c r="BE71" s="1">
        <f t="shared" si="33"/>
        <v>3368772.8400000003</v>
      </c>
      <c r="BF71" s="1">
        <f t="shared" si="34"/>
        <v>3684386.42</v>
      </c>
      <c r="BG71" s="1">
        <f t="shared" si="35"/>
        <v>4000000</v>
      </c>
      <c r="BH71">
        <f t="shared" si="36"/>
        <v>65</v>
      </c>
    </row>
    <row r="72" spans="1:60" x14ac:dyDescent="0.35">
      <c r="A72">
        <v>10001395</v>
      </c>
      <c r="B72" t="str">
        <f t="shared" si="41"/>
        <v>GH TENANT SPACE RE-CUT &amp; UTILITIES STUB-OUT</v>
      </c>
      <c r="C72" t="s">
        <v>9</v>
      </c>
      <c r="D72" t="s">
        <v>9</v>
      </c>
      <c r="E72" t="s">
        <v>734</v>
      </c>
      <c r="F72" s="72" t="s">
        <v>1814</v>
      </c>
      <c r="G72" t="s">
        <v>1</v>
      </c>
      <c r="H72" t="s">
        <v>53</v>
      </c>
      <c r="I72">
        <v>1100</v>
      </c>
      <c r="J72" t="s">
        <v>54</v>
      </c>
      <c r="K72" s="3">
        <f t="shared" si="42"/>
        <v>43</v>
      </c>
      <c r="L72" s="3" t="str">
        <f t="shared" si="43"/>
        <v>8100</v>
      </c>
      <c r="M72">
        <v>81221201</v>
      </c>
      <c r="N72" s="3" t="str">
        <f>_xlfn.XLOOKUP(M72,[2]Sheet1!$A:$A,[2]Sheet1!$D:$D)</f>
        <v>GSC OLD BLDGS</v>
      </c>
      <c r="O72" t="s">
        <v>55</v>
      </c>
      <c r="P72" t="s">
        <v>13</v>
      </c>
      <c r="Q72" s="2" t="s">
        <v>3208</v>
      </c>
      <c r="R72" s="89">
        <f>5000000+500000+712500</f>
        <v>6212500</v>
      </c>
      <c r="S72" s="63">
        <v>46114</v>
      </c>
      <c r="T72" t="str">
        <f>_xlfn.XLOOKUP(M72,[2]Sheet1!$A:$A,[2]Sheet1!$E:$E)</f>
        <v>MALLS</v>
      </c>
      <c r="U72" s="63" t="s">
        <v>22</v>
      </c>
      <c r="V72" s="63" t="s">
        <v>56</v>
      </c>
      <c r="W72" s="63" t="s">
        <v>15</v>
      </c>
      <c r="X72" s="63" t="s">
        <v>3211</v>
      </c>
      <c r="Z72" s="1">
        <f>_xlfn.XLOOKUP(A72,'SAP Report'!A:A,'SAP Report'!C:C)</f>
        <v>6212500</v>
      </c>
      <c r="AA72" s="1">
        <f>HLOOKUP($A$4,$AV$6:$BG72,(2+BH71),FALSE)</f>
        <v>4193750</v>
      </c>
      <c r="AB72" s="1">
        <f>SUMIF('Open PR PO'!A:A,Monitoring!A72,'Open PR PO'!K:K)</f>
        <v>858035.72</v>
      </c>
      <c r="AC72" s="1">
        <f t="shared" si="37"/>
        <v>5051785.72</v>
      </c>
      <c r="AD72" s="1">
        <f t="shared" si="38"/>
        <v>1160714.2800000003</v>
      </c>
      <c r="AE72" s="1">
        <f t="shared" si="39"/>
        <v>2018750</v>
      </c>
      <c r="AF72" s="1"/>
      <c r="AG72" s="53">
        <f>SUMIFS(Actual!$F:$F,Actual!$N:$N,Monitoring!AG$6,Actual!$A:$A,Monitoring!$A72)</f>
        <v>0</v>
      </c>
      <c r="AH72" s="53">
        <f>SUMIFS(Actual!$F:$F,Actual!$N:$N,Monitoring!AH$6,Actual!$A:$A,Monitoring!$A72)</f>
        <v>0</v>
      </c>
      <c r="AI72" s="53">
        <f>SUMIFS(Actual!$F:$F,Actual!$N:$N,Monitoring!AI$6,Actual!$A:$A,Monitoring!$A72)</f>
        <v>0</v>
      </c>
      <c r="AJ72" s="53">
        <f>SUMIFS(Actual!$F:$F,Actual!$N:$N,Monitoring!AJ$6,Actual!$A:$A,Monitoring!$A72)</f>
        <v>2233035.71</v>
      </c>
      <c r="AK72" s="53">
        <f>SUMIFS(Actual!$F:$F,Actual!$N:$N,Monitoring!AK$6,Actual!$A:$A,Monitoring!$A72)</f>
        <v>294642.86</v>
      </c>
      <c r="AL72" s="53">
        <f>SUMIFS(Actual!$F:$F,Actual!$N:$N,Monitoring!AL$6,Actual!$A:$A,Monitoring!$A72)</f>
        <v>0</v>
      </c>
      <c r="AM72" s="53">
        <f>SUMIFS(Actual!$F:$F,Actual!$N:$N,Monitoring!AM$6,Actual!$A:$A,Monitoring!$A72)</f>
        <v>589285.72</v>
      </c>
      <c r="AN72" s="53">
        <f>SUMIFS(Actual!$F:$F,Actual!$N:$N,Monitoring!AN$6,Actual!$A:$A,Monitoring!$A72)</f>
        <v>169642.86</v>
      </c>
      <c r="AO72" s="53">
        <f>SUMIFS(Actual!$F:$F,Actual!$N:$N,Monitoring!AO$6,Actual!$A:$A,Monitoring!$A72)</f>
        <v>907142.85000000009</v>
      </c>
      <c r="AP72" s="53">
        <f t="shared" ref="AP72:AP135" si="44">AB72</f>
        <v>858035.72</v>
      </c>
      <c r="AQ72" s="53">
        <f t="shared" ref="AQ72:AQ135" si="45">AD72/2</f>
        <v>580357.14000000013</v>
      </c>
      <c r="AR72" s="53">
        <f t="shared" ref="AR72:AR135" si="46">AQ72</f>
        <v>580357.14000000013</v>
      </c>
      <c r="AS72" s="1">
        <f t="shared" ref="AS72:AS135" si="47">SUM(AG72:AR72)</f>
        <v>6212500</v>
      </c>
      <c r="AT72" s="12">
        <f t="shared" ref="AT72:AT135" si="48">Z72-AS72</f>
        <v>0</v>
      </c>
      <c r="AU72" s="1"/>
      <c r="AV72" s="53">
        <f t="shared" ref="AV72:AV135" si="49">AG72</f>
        <v>0</v>
      </c>
      <c r="AW72" s="1">
        <f t="shared" ref="AW72:AW135" si="50">AV72+AH72</f>
        <v>0</v>
      </c>
      <c r="AX72" s="1">
        <f t="shared" ref="AX72:AX135" si="51">AW72+AI72</f>
        <v>0</v>
      </c>
      <c r="AY72" s="1">
        <f t="shared" ref="AY72:AY135" si="52">AX72+AJ72</f>
        <v>2233035.71</v>
      </c>
      <c r="AZ72" s="1">
        <f t="shared" ref="AZ72:AZ135" si="53">AY72+AK72</f>
        <v>2527678.5699999998</v>
      </c>
      <c r="BA72" s="1">
        <f t="shared" ref="BA72:BA135" si="54">AZ72+AL72</f>
        <v>2527678.5699999998</v>
      </c>
      <c r="BB72" s="1">
        <f t="shared" ref="BB72:BB135" si="55">BA72+AM72</f>
        <v>3116964.29</v>
      </c>
      <c r="BC72" s="1">
        <f t="shared" ref="BC72:BC135" si="56">BB72+AN72</f>
        <v>3286607.15</v>
      </c>
      <c r="BD72" s="1">
        <f t="shared" ref="BD72:BD135" si="57">BC72+AO72</f>
        <v>4193750</v>
      </c>
      <c r="BE72" s="1">
        <f t="shared" ref="BE72:BE135" si="58">BD72+AP72</f>
        <v>5051785.72</v>
      </c>
      <c r="BF72" s="1">
        <f t="shared" ref="BF72:BF135" si="59">BE72+AQ72</f>
        <v>5632142.8599999994</v>
      </c>
      <c r="BG72" s="1">
        <f t="shared" ref="BG72:BG135" si="60">BF72+AR72</f>
        <v>6212500</v>
      </c>
      <c r="BH72">
        <f t="shared" ref="BH72:BH135" si="61">BH71+1</f>
        <v>66</v>
      </c>
    </row>
    <row r="73" spans="1:60" x14ac:dyDescent="0.35">
      <c r="A73">
        <v>40001262</v>
      </c>
      <c r="B73" t="str">
        <f t="shared" si="41"/>
        <v>LAMINATED CABINETS FOR MS. CAROL MILLS</v>
      </c>
      <c r="C73" t="s">
        <v>85</v>
      </c>
      <c r="D73" t="s">
        <v>57</v>
      </c>
      <c r="E73" t="s">
        <v>732</v>
      </c>
      <c r="F73" s="72" t="s">
        <v>1814</v>
      </c>
      <c r="G73" t="s">
        <v>1</v>
      </c>
      <c r="H73" t="s">
        <v>3439</v>
      </c>
      <c r="I73">
        <v>1300</v>
      </c>
      <c r="J73" t="s">
        <v>59</v>
      </c>
      <c r="K73" s="3">
        <f t="shared" si="42"/>
        <v>38</v>
      </c>
      <c r="L73" s="3" t="str">
        <f t="shared" si="43"/>
        <v>8100</v>
      </c>
      <c r="M73">
        <v>81123102</v>
      </c>
      <c r="N73" s="3" t="str">
        <f>_xlfn.XLOOKUP(M73,[2]Sheet1!$A:$A,[2]Sheet1!$D:$D)</f>
        <v>ADMIN SERVICES</v>
      </c>
      <c r="O73" t="s">
        <v>60</v>
      </c>
      <c r="P73" t="s">
        <v>61</v>
      </c>
      <c r="Q73" s="2" t="s">
        <v>58</v>
      </c>
      <c r="R73" s="1">
        <v>138392.85999999999</v>
      </c>
      <c r="S73" s="63">
        <v>46297</v>
      </c>
      <c r="T73" t="str">
        <f>_xlfn.XLOOKUP(M73,[2]Sheet1!$A:$A,[2]Sheet1!$E:$E)</f>
        <v>CORPORATE</v>
      </c>
      <c r="U73" s="63">
        <v>46023</v>
      </c>
      <c r="V73" s="63" t="s">
        <v>8</v>
      </c>
      <c r="W73" s="63">
        <v>46358</v>
      </c>
      <c r="X73" s="63" t="s">
        <v>62</v>
      </c>
      <c r="Z73" s="1">
        <f>_xlfn.XLOOKUP(A73,'SAP Report'!A:A,'SAP Report'!C:C)</f>
        <v>138392.85999999999</v>
      </c>
      <c r="AA73" s="1">
        <f>HLOOKUP($A$4,$AV$6:$BG73,(2+BH72),FALSE)</f>
        <v>138392.85999999999</v>
      </c>
      <c r="AB73" s="1">
        <f>SUMIF('Open PR PO'!A:A,Monitoring!A73,'Open PR PO'!K:K)</f>
        <v>0</v>
      </c>
      <c r="AC73" s="1">
        <f t="shared" ref="AC73:AC136" si="62">AA73+AB73</f>
        <v>138392.85999999999</v>
      </c>
      <c r="AD73" s="1">
        <f t="shared" ref="AD73:AD136" si="63">Z73-AC73</f>
        <v>0</v>
      </c>
      <c r="AE73" s="1">
        <f t="shared" ref="AE73:AE136" si="64">Z73-AA73</f>
        <v>0</v>
      </c>
      <c r="AF73" s="1"/>
      <c r="AG73" s="53">
        <f>SUMIFS(Actual!$F:$F,Actual!$N:$N,Monitoring!AG$6,Actual!$A:$A,Monitoring!$A73)</f>
        <v>0</v>
      </c>
      <c r="AH73" s="53">
        <f>SUMIFS(Actual!$F:$F,Actual!$N:$N,Monitoring!AH$6,Actual!$A:$A,Monitoring!$A73)</f>
        <v>138392.85999999999</v>
      </c>
      <c r="AI73" s="53">
        <f>SUMIFS(Actual!$F:$F,Actual!$N:$N,Monitoring!AI$6,Actual!$A:$A,Monitoring!$A73)</f>
        <v>0</v>
      </c>
      <c r="AJ73" s="53">
        <f>SUMIFS(Actual!$F:$F,Actual!$N:$N,Monitoring!AJ$6,Actual!$A:$A,Monitoring!$A73)</f>
        <v>0</v>
      </c>
      <c r="AK73" s="53">
        <f>SUMIFS(Actual!$F:$F,Actual!$N:$N,Monitoring!AK$6,Actual!$A:$A,Monitoring!$A73)</f>
        <v>0</v>
      </c>
      <c r="AL73" s="53">
        <f>SUMIFS(Actual!$F:$F,Actual!$N:$N,Monitoring!AL$6,Actual!$A:$A,Monitoring!$A73)</f>
        <v>0</v>
      </c>
      <c r="AM73" s="53">
        <f>SUMIFS(Actual!$F:$F,Actual!$N:$N,Monitoring!AM$6,Actual!$A:$A,Monitoring!$A73)</f>
        <v>0</v>
      </c>
      <c r="AN73" s="53">
        <f>SUMIFS(Actual!$F:$F,Actual!$N:$N,Monitoring!AN$6,Actual!$A:$A,Monitoring!$A73)</f>
        <v>0</v>
      </c>
      <c r="AO73" s="53">
        <f>SUMIFS(Actual!$F:$F,Actual!$N:$N,Monitoring!AO$6,Actual!$A:$A,Monitoring!$A73)</f>
        <v>0</v>
      </c>
      <c r="AP73" s="53">
        <f t="shared" si="44"/>
        <v>0</v>
      </c>
      <c r="AQ73" s="53">
        <f t="shared" si="45"/>
        <v>0</v>
      </c>
      <c r="AR73" s="53">
        <f t="shared" si="46"/>
        <v>0</v>
      </c>
      <c r="AS73" s="1">
        <f t="shared" si="47"/>
        <v>138392.85999999999</v>
      </c>
      <c r="AT73" s="12">
        <f t="shared" si="48"/>
        <v>0</v>
      </c>
      <c r="AU73" s="1"/>
      <c r="AV73" s="53">
        <f t="shared" si="49"/>
        <v>0</v>
      </c>
      <c r="AW73" s="1">
        <f t="shared" si="50"/>
        <v>138392.85999999999</v>
      </c>
      <c r="AX73" s="1">
        <f t="shared" si="51"/>
        <v>138392.85999999999</v>
      </c>
      <c r="AY73" s="1">
        <f t="shared" si="52"/>
        <v>138392.85999999999</v>
      </c>
      <c r="AZ73" s="1">
        <f t="shared" si="53"/>
        <v>138392.85999999999</v>
      </c>
      <c r="BA73" s="1">
        <f t="shared" si="54"/>
        <v>138392.85999999999</v>
      </c>
      <c r="BB73" s="1">
        <f t="shared" si="55"/>
        <v>138392.85999999999</v>
      </c>
      <c r="BC73" s="1">
        <f t="shared" si="56"/>
        <v>138392.85999999999</v>
      </c>
      <c r="BD73" s="1">
        <f t="shared" si="57"/>
        <v>138392.85999999999</v>
      </c>
      <c r="BE73" s="1">
        <f t="shared" si="58"/>
        <v>138392.85999999999</v>
      </c>
      <c r="BF73" s="1">
        <f t="shared" si="59"/>
        <v>138392.85999999999</v>
      </c>
      <c r="BG73" s="1">
        <f t="shared" si="60"/>
        <v>138392.85999999999</v>
      </c>
      <c r="BH73">
        <f t="shared" si="61"/>
        <v>67</v>
      </c>
    </row>
    <row r="74" spans="1:60" x14ac:dyDescent="0.35">
      <c r="A74">
        <v>10001396</v>
      </c>
      <c r="B74" t="str">
        <f t="shared" si="41"/>
        <v>IBP TOWER CONFERENCE ROOM</v>
      </c>
      <c r="C74" t="s">
        <v>93</v>
      </c>
      <c r="D74" t="s">
        <v>93</v>
      </c>
      <c r="E74" t="s">
        <v>699</v>
      </c>
      <c r="F74" s="72" t="s">
        <v>1814</v>
      </c>
      <c r="G74" t="s">
        <v>1</v>
      </c>
      <c r="H74" t="s">
        <v>88</v>
      </c>
      <c r="I74">
        <v>1100</v>
      </c>
      <c r="J74" t="s">
        <v>89</v>
      </c>
      <c r="K74" s="3">
        <f t="shared" ref="K74:K101" si="65">LEN(J74)</f>
        <v>25</v>
      </c>
      <c r="L74" s="3" t="str">
        <f t="shared" ref="L74:L101" si="66">LEFT(M74,2)&amp;"00"</f>
        <v>8100</v>
      </c>
      <c r="M74" s="5">
        <v>81321301</v>
      </c>
      <c r="N74" s="3" t="str">
        <f>_xlfn.XLOOKUP(M74,[2]Sheet1!$A:$A,[2]Sheet1!$D:$D)</f>
        <v>IBP TOWER</v>
      </c>
      <c r="O74" t="s">
        <v>90</v>
      </c>
      <c r="P74" t="s">
        <v>91</v>
      </c>
      <c r="Q74" s="2" t="s">
        <v>87</v>
      </c>
      <c r="R74" s="1">
        <v>409178.55</v>
      </c>
      <c r="S74" s="63">
        <v>46328</v>
      </c>
      <c r="T74" t="str">
        <f>_xlfn.XLOOKUP(M74,[2]Sheet1!$A:$A,[2]Sheet1!$E:$E)</f>
        <v>OFFICES</v>
      </c>
      <c r="U74" s="63" t="s">
        <v>22</v>
      </c>
      <c r="V74" s="63" t="s">
        <v>92</v>
      </c>
      <c r="W74" s="63">
        <v>46358</v>
      </c>
      <c r="X74" s="63" t="s">
        <v>649</v>
      </c>
      <c r="Z74" s="1">
        <f>_xlfn.XLOOKUP(A74,'SAP Report'!A:A,'SAP Report'!C:C)</f>
        <v>409178.55</v>
      </c>
      <c r="AA74" s="1">
        <f>HLOOKUP($A$4,$AV$6:$BG74,(2+BH73),FALSE)</f>
        <v>0</v>
      </c>
      <c r="AB74" s="1">
        <f>SUMIF('Open PR PO'!A:A,Monitoring!A74,'Open PR PO'!K:K)</f>
        <v>401785.71</v>
      </c>
      <c r="AC74" s="1">
        <f t="shared" si="62"/>
        <v>401785.71</v>
      </c>
      <c r="AD74" s="1">
        <f t="shared" si="63"/>
        <v>7392.8399999999674</v>
      </c>
      <c r="AE74" s="1">
        <f t="shared" si="64"/>
        <v>409178.55</v>
      </c>
      <c r="AF74" s="1"/>
      <c r="AG74" s="53">
        <f>SUMIFS(Actual!$F:$F,Actual!$N:$N,Monitoring!AG$6,Actual!$A:$A,Monitoring!$A74)</f>
        <v>0</v>
      </c>
      <c r="AH74" s="53">
        <f>SUMIFS(Actual!$F:$F,Actual!$N:$N,Monitoring!AH$6,Actual!$A:$A,Monitoring!$A74)</f>
        <v>0</v>
      </c>
      <c r="AI74" s="53">
        <f>SUMIFS(Actual!$F:$F,Actual!$N:$N,Monitoring!AI$6,Actual!$A:$A,Monitoring!$A74)</f>
        <v>0</v>
      </c>
      <c r="AJ74" s="53">
        <f>SUMIFS(Actual!$F:$F,Actual!$N:$N,Monitoring!AJ$6,Actual!$A:$A,Monitoring!$A74)</f>
        <v>0</v>
      </c>
      <c r="AK74" s="53">
        <f>SUMIFS(Actual!$F:$F,Actual!$N:$N,Monitoring!AK$6,Actual!$A:$A,Monitoring!$A74)</f>
        <v>0</v>
      </c>
      <c r="AL74" s="53">
        <f>SUMIFS(Actual!$F:$F,Actual!$N:$N,Monitoring!AL$6,Actual!$A:$A,Monitoring!$A74)</f>
        <v>0</v>
      </c>
      <c r="AM74" s="53">
        <f>SUMIFS(Actual!$F:$F,Actual!$N:$N,Monitoring!AM$6,Actual!$A:$A,Monitoring!$A74)</f>
        <v>0</v>
      </c>
      <c r="AN74" s="53">
        <f>SUMIFS(Actual!$F:$F,Actual!$N:$N,Monitoring!AN$6,Actual!$A:$A,Monitoring!$A74)</f>
        <v>0</v>
      </c>
      <c r="AO74" s="53">
        <f>SUMIFS(Actual!$F:$F,Actual!$N:$N,Monitoring!AO$6,Actual!$A:$A,Monitoring!$A74)</f>
        <v>0</v>
      </c>
      <c r="AP74" s="53">
        <f t="shared" si="44"/>
        <v>401785.71</v>
      </c>
      <c r="AQ74" s="53">
        <f t="shared" si="45"/>
        <v>3696.4199999999837</v>
      </c>
      <c r="AR74" s="53">
        <f t="shared" si="46"/>
        <v>3696.4199999999837</v>
      </c>
      <c r="AS74" s="1">
        <f t="shared" si="47"/>
        <v>409178.55</v>
      </c>
      <c r="AT74" s="12">
        <f t="shared" si="48"/>
        <v>0</v>
      </c>
      <c r="AU74" s="1"/>
      <c r="AV74" s="53">
        <f t="shared" si="49"/>
        <v>0</v>
      </c>
      <c r="AW74" s="1">
        <f t="shared" si="50"/>
        <v>0</v>
      </c>
      <c r="AX74" s="1">
        <f t="shared" si="51"/>
        <v>0</v>
      </c>
      <c r="AY74" s="1">
        <f t="shared" si="52"/>
        <v>0</v>
      </c>
      <c r="AZ74" s="1">
        <f t="shared" si="53"/>
        <v>0</v>
      </c>
      <c r="BA74" s="1">
        <f t="shared" si="54"/>
        <v>0</v>
      </c>
      <c r="BB74" s="1">
        <f t="shared" si="55"/>
        <v>0</v>
      </c>
      <c r="BC74" s="1">
        <f t="shared" si="56"/>
        <v>0</v>
      </c>
      <c r="BD74" s="1">
        <f t="shared" si="57"/>
        <v>0</v>
      </c>
      <c r="BE74" s="1">
        <f t="shared" si="58"/>
        <v>401785.71</v>
      </c>
      <c r="BF74" s="1">
        <f t="shared" si="59"/>
        <v>405482.13</v>
      </c>
      <c r="BG74" s="1">
        <f t="shared" si="60"/>
        <v>409178.55</v>
      </c>
      <c r="BH74">
        <f t="shared" si="61"/>
        <v>68</v>
      </c>
    </row>
    <row r="75" spans="1:60" x14ac:dyDescent="0.35">
      <c r="A75">
        <v>10001397</v>
      </c>
      <c r="B75" t="str">
        <f t="shared" si="41"/>
        <v>IBP TOWER PRV REPLACEMENT</v>
      </c>
      <c r="C75" t="s">
        <v>93</v>
      </c>
      <c r="D75" t="s">
        <v>93</v>
      </c>
      <c r="E75" t="s">
        <v>714</v>
      </c>
      <c r="F75" s="72" t="s">
        <v>1814</v>
      </c>
      <c r="G75" t="s">
        <v>1</v>
      </c>
      <c r="H75" t="s">
        <v>96</v>
      </c>
      <c r="I75">
        <v>1110</v>
      </c>
      <c r="J75" t="s">
        <v>94</v>
      </c>
      <c r="K75" s="3">
        <f t="shared" si="65"/>
        <v>25</v>
      </c>
      <c r="L75" s="3" t="str">
        <f t="shared" si="66"/>
        <v>8100</v>
      </c>
      <c r="M75" s="5">
        <v>81321301</v>
      </c>
      <c r="N75" s="3" t="str">
        <f>_xlfn.XLOOKUP(M75,[2]Sheet1!$A:$A,[2]Sheet1!$D:$D)</f>
        <v>IBP TOWER</v>
      </c>
      <c r="O75" t="s">
        <v>90</v>
      </c>
      <c r="P75" t="s">
        <v>91</v>
      </c>
      <c r="Q75" s="2" t="s">
        <v>95</v>
      </c>
      <c r="R75" s="1">
        <v>350000</v>
      </c>
      <c r="S75" s="63">
        <v>46328</v>
      </c>
      <c r="T75" t="str">
        <f>_xlfn.XLOOKUP(M75,[2]Sheet1!$A:$A,[2]Sheet1!$E:$E)</f>
        <v>OFFICES</v>
      </c>
      <c r="U75" s="63" t="s">
        <v>22</v>
      </c>
      <c r="V75" s="63" t="s">
        <v>92</v>
      </c>
      <c r="W75" s="63">
        <v>46358</v>
      </c>
      <c r="X75" s="63" t="s">
        <v>650</v>
      </c>
      <c r="Z75" s="1">
        <f>_xlfn.XLOOKUP(A75,'SAP Report'!A:A,'SAP Report'!C:C)</f>
        <v>350000</v>
      </c>
      <c r="AA75" s="1">
        <f>HLOOKUP($A$4,$AV$6:$BG75,(2+BH74),FALSE)</f>
        <v>133928.57</v>
      </c>
      <c r="AB75" s="1">
        <f>SUMIF('Open PR PO'!A:A,Monitoring!A75,'Open PR PO'!K:K)</f>
        <v>0</v>
      </c>
      <c r="AC75" s="1">
        <f t="shared" si="62"/>
        <v>133928.57</v>
      </c>
      <c r="AD75" s="1">
        <f t="shared" si="63"/>
        <v>216071.43</v>
      </c>
      <c r="AE75" s="1">
        <f t="shared" si="64"/>
        <v>216071.43</v>
      </c>
      <c r="AF75" s="1"/>
      <c r="AG75" s="53">
        <f>SUMIFS(Actual!$F:$F,Actual!$N:$N,Monitoring!AG$6,Actual!$A:$A,Monitoring!$A75)</f>
        <v>0</v>
      </c>
      <c r="AH75" s="53">
        <f>SUMIFS(Actual!$F:$F,Actual!$N:$N,Monitoring!AH$6,Actual!$A:$A,Monitoring!$A75)</f>
        <v>0</v>
      </c>
      <c r="AI75" s="53">
        <f>SUMIFS(Actual!$F:$F,Actual!$N:$N,Monitoring!AI$6,Actual!$A:$A,Monitoring!$A75)</f>
        <v>0</v>
      </c>
      <c r="AJ75" s="53">
        <f>SUMIFS(Actual!$F:$F,Actual!$N:$N,Monitoring!AJ$6,Actual!$A:$A,Monitoring!$A75)</f>
        <v>0</v>
      </c>
      <c r="AK75" s="53">
        <f>SUMIFS(Actual!$F:$F,Actual!$N:$N,Monitoring!AK$6,Actual!$A:$A,Monitoring!$A75)</f>
        <v>0</v>
      </c>
      <c r="AL75" s="53">
        <f>SUMIFS(Actual!$F:$F,Actual!$N:$N,Monitoring!AL$6,Actual!$A:$A,Monitoring!$A75)</f>
        <v>0</v>
      </c>
      <c r="AM75" s="53">
        <f>SUMIFS(Actual!$F:$F,Actual!$N:$N,Monitoring!AM$6,Actual!$A:$A,Monitoring!$A75)</f>
        <v>0</v>
      </c>
      <c r="AN75" s="53">
        <f>SUMIFS(Actual!$F:$F,Actual!$N:$N,Monitoring!AN$6,Actual!$A:$A,Monitoring!$A75)</f>
        <v>133928.57</v>
      </c>
      <c r="AO75" s="53">
        <f>SUMIFS(Actual!$F:$F,Actual!$N:$N,Monitoring!AO$6,Actual!$A:$A,Monitoring!$A75)</f>
        <v>0</v>
      </c>
      <c r="AP75" s="53">
        <f t="shared" si="44"/>
        <v>0</v>
      </c>
      <c r="AQ75" s="53">
        <f t="shared" si="45"/>
        <v>108035.715</v>
      </c>
      <c r="AR75" s="53">
        <f t="shared" si="46"/>
        <v>108035.715</v>
      </c>
      <c r="AS75" s="1">
        <f t="shared" si="47"/>
        <v>350000</v>
      </c>
      <c r="AT75" s="12">
        <f t="shared" si="48"/>
        <v>0</v>
      </c>
      <c r="AU75" s="1"/>
      <c r="AV75" s="53">
        <f t="shared" si="49"/>
        <v>0</v>
      </c>
      <c r="AW75" s="1">
        <f t="shared" si="50"/>
        <v>0</v>
      </c>
      <c r="AX75" s="1">
        <f t="shared" si="51"/>
        <v>0</v>
      </c>
      <c r="AY75" s="1">
        <f t="shared" si="52"/>
        <v>0</v>
      </c>
      <c r="AZ75" s="1">
        <f t="shared" si="53"/>
        <v>0</v>
      </c>
      <c r="BA75" s="1">
        <f t="shared" si="54"/>
        <v>0</v>
      </c>
      <c r="BB75" s="1">
        <f t="shared" si="55"/>
        <v>0</v>
      </c>
      <c r="BC75" s="1">
        <f t="shared" si="56"/>
        <v>133928.57</v>
      </c>
      <c r="BD75" s="1">
        <f t="shared" si="57"/>
        <v>133928.57</v>
      </c>
      <c r="BE75" s="1">
        <f t="shared" si="58"/>
        <v>133928.57</v>
      </c>
      <c r="BF75" s="1">
        <f t="shared" si="59"/>
        <v>241964.285</v>
      </c>
      <c r="BG75" s="1">
        <f t="shared" si="60"/>
        <v>350000</v>
      </c>
      <c r="BH75">
        <f t="shared" si="61"/>
        <v>69</v>
      </c>
    </row>
    <row r="76" spans="1:60" x14ac:dyDescent="0.35">
      <c r="A76">
        <v>10001398</v>
      </c>
      <c r="B76" t="str">
        <f t="shared" si="41"/>
        <v>IBP TOWER UPS REPLACEMENT</v>
      </c>
      <c r="C76" t="s">
        <v>93</v>
      </c>
      <c r="D76" t="s">
        <v>93</v>
      </c>
      <c r="E76" t="s">
        <v>263</v>
      </c>
      <c r="F76" s="72" t="s">
        <v>1814</v>
      </c>
      <c r="G76" t="s">
        <v>1</v>
      </c>
      <c r="H76" t="s">
        <v>219</v>
      </c>
      <c r="I76">
        <v>1110</v>
      </c>
      <c r="J76" t="s">
        <v>642</v>
      </c>
      <c r="K76" s="3">
        <f t="shared" si="65"/>
        <v>25</v>
      </c>
      <c r="L76" s="3" t="str">
        <f t="shared" si="66"/>
        <v>8100</v>
      </c>
      <c r="M76" s="5">
        <v>81321301</v>
      </c>
      <c r="N76" s="3" t="str">
        <f>_xlfn.XLOOKUP(M76,[2]Sheet1!$A:$A,[2]Sheet1!$D:$D)</f>
        <v>IBP TOWER</v>
      </c>
      <c r="O76" t="s">
        <v>90</v>
      </c>
      <c r="P76" t="s">
        <v>91</v>
      </c>
      <c r="Q76" s="2" t="s">
        <v>641</v>
      </c>
      <c r="R76" s="1">
        <v>211000</v>
      </c>
      <c r="S76" s="63">
        <v>46328</v>
      </c>
      <c r="T76" t="str">
        <f>_xlfn.XLOOKUP(M76,[2]Sheet1!$A:$A,[2]Sheet1!$E:$E)</f>
        <v>OFFICES</v>
      </c>
      <c r="U76" s="63" t="s">
        <v>22</v>
      </c>
      <c r="V76" s="63" t="s">
        <v>92</v>
      </c>
      <c r="W76" s="63">
        <v>46358</v>
      </c>
      <c r="X76" s="63" t="s">
        <v>651</v>
      </c>
      <c r="Z76" s="1">
        <f>_xlfn.XLOOKUP(A76,'SAP Report'!A:A,'SAP Report'!C:C)</f>
        <v>211000</v>
      </c>
      <c r="AA76" s="1">
        <f>HLOOKUP($A$4,$AV$6:$BG76,(2+BH75),FALSE)</f>
        <v>168000</v>
      </c>
      <c r="AB76" s="1">
        <f>SUMIF('Open PR PO'!A:A,Monitoring!A76,'Open PR PO'!K:K)</f>
        <v>0</v>
      </c>
      <c r="AC76" s="1">
        <f t="shared" si="62"/>
        <v>168000</v>
      </c>
      <c r="AD76" s="1">
        <f t="shared" si="63"/>
        <v>43000</v>
      </c>
      <c r="AE76" s="1">
        <f t="shared" si="64"/>
        <v>43000</v>
      </c>
      <c r="AF76" s="1"/>
      <c r="AG76" s="53">
        <f>SUMIFS(Actual!$F:$F,Actual!$N:$N,Monitoring!AG$6,Actual!$A:$A,Monitoring!$A76)</f>
        <v>0</v>
      </c>
      <c r="AH76" s="53">
        <f>SUMIFS(Actual!$F:$F,Actual!$N:$N,Monitoring!AH$6,Actual!$A:$A,Monitoring!$A76)</f>
        <v>0</v>
      </c>
      <c r="AI76" s="53">
        <f>SUMIFS(Actual!$F:$F,Actual!$N:$N,Monitoring!AI$6,Actual!$A:$A,Monitoring!$A76)</f>
        <v>0</v>
      </c>
      <c r="AJ76" s="53">
        <f>SUMIFS(Actual!$F:$F,Actual!$N:$N,Monitoring!AJ$6,Actual!$A:$A,Monitoring!$A76)</f>
        <v>168000</v>
      </c>
      <c r="AK76" s="53">
        <f>SUMIFS(Actual!$F:$F,Actual!$N:$N,Monitoring!AK$6,Actual!$A:$A,Monitoring!$A76)</f>
        <v>0</v>
      </c>
      <c r="AL76" s="53">
        <f>SUMIFS(Actual!$F:$F,Actual!$N:$N,Monitoring!AL$6,Actual!$A:$A,Monitoring!$A76)</f>
        <v>0</v>
      </c>
      <c r="AM76" s="53">
        <f>SUMIFS(Actual!$F:$F,Actual!$N:$N,Monitoring!AM$6,Actual!$A:$A,Monitoring!$A76)</f>
        <v>0</v>
      </c>
      <c r="AN76" s="53">
        <f>SUMIFS(Actual!$F:$F,Actual!$N:$N,Monitoring!AN$6,Actual!$A:$A,Monitoring!$A76)</f>
        <v>0</v>
      </c>
      <c r="AO76" s="53">
        <f>SUMIFS(Actual!$F:$F,Actual!$N:$N,Monitoring!AO$6,Actual!$A:$A,Monitoring!$A76)</f>
        <v>0</v>
      </c>
      <c r="AP76" s="53">
        <f t="shared" si="44"/>
        <v>0</v>
      </c>
      <c r="AQ76" s="53">
        <f t="shared" si="45"/>
        <v>21500</v>
      </c>
      <c r="AR76" s="53">
        <f t="shared" si="46"/>
        <v>21500</v>
      </c>
      <c r="AS76" s="1">
        <f t="shared" si="47"/>
        <v>211000</v>
      </c>
      <c r="AT76" s="12">
        <f t="shared" si="48"/>
        <v>0</v>
      </c>
      <c r="AU76" s="1"/>
      <c r="AV76" s="53">
        <f t="shared" si="49"/>
        <v>0</v>
      </c>
      <c r="AW76" s="1">
        <f t="shared" si="50"/>
        <v>0</v>
      </c>
      <c r="AX76" s="1">
        <f t="shared" si="51"/>
        <v>0</v>
      </c>
      <c r="AY76" s="1">
        <f t="shared" si="52"/>
        <v>168000</v>
      </c>
      <c r="AZ76" s="1">
        <f t="shared" si="53"/>
        <v>168000</v>
      </c>
      <c r="BA76" s="1">
        <f t="shared" si="54"/>
        <v>168000</v>
      </c>
      <c r="BB76" s="1">
        <f t="shared" si="55"/>
        <v>168000</v>
      </c>
      <c r="BC76" s="1">
        <f t="shared" si="56"/>
        <v>168000</v>
      </c>
      <c r="BD76" s="1">
        <f t="shared" si="57"/>
        <v>168000</v>
      </c>
      <c r="BE76" s="1">
        <f t="shared" si="58"/>
        <v>168000</v>
      </c>
      <c r="BF76" s="1">
        <f t="shared" si="59"/>
        <v>189500</v>
      </c>
      <c r="BG76" s="1">
        <f t="shared" si="60"/>
        <v>211000</v>
      </c>
      <c r="BH76">
        <f t="shared" si="61"/>
        <v>70</v>
      </c>
    </row>
    <row r="77" spans="1:60" x14ac:dyDescent="0.35">
      <c r="A77">
        <v>10001399</v>
      </c>
      <c r="B77" t="str">
        <f t="shared" si="41"/>
        <v>IBP TOWER WATERPROOFING ROOFDECK</v>
      </c>
      <c r="C77" t="s">
        <v>93</v>
      </c>
      <c r="D77" t="s">
        <v>93</v>
      </c>
      <c r="E77" t="s">
        <v>683</v>
      </c>
      <c r="F77" s="72" t="s">
        <v>1814</v>
      </c>
      <c r="G77" t="s">
        <v>1</v>
      </c>
      <c r="H77" t="s">
        <v>217</v>
      </c>
      <c r="I77">
        <v>1100</v>
      </c>
      <c r="J77" t="s">
        <v>643</v>
      </c>
      <c r="K77" s="3">
        <f t="shared" si="65"/>
        <v>32</v>
      </c>
      <c r="L77" s="3" t="str">
        <f t="shared" si="66"/>
        <v>8100</v>
      </c>
      <c r="M77" s="5">
        <v>81321301</v>
      </c>
      <c r="N77" s="3" t="str">
        <f>_xlfn.XLOOKUP(M77,[2]Sheet1!$A:$A,[2]Sheet1!$D:$D)</f>
        <v>IBP TOWER</v>
      </c>
      <c r="O77" t="s">
        <v>90</v>
      </c>
      <c r="P77" t="s">
        <v>91</v>
      </c>
      <c r="Q77" s="2" t="s">
        <v>644</v>
      </c>
      <c r="R77" s="1">
        <v>3000000</v>
      </c>
      <c r="S77" s="63">
        <v>46328</v>
      </c>
      <c r="T77" t="str">
        <f>_xlfn.XLOOKUP(M77,[2]Sheet1!$A:$A,[2]Sheet1!$E:$E)</f>
        <v>OFFICES</v>
      </c>
      <c r="U77" s="63" t="s">
        <v>22</v>
      </c>
      <c r="V77" s="63" t="s">
        <v>92</v>
      </c>
      <c r="W77" s="63">
        <v>46358</v>
      </c>
      <c r="X77" s="63" t="s">
        <v>652</v>
      </c>
      <c r="Z77" s="1">
        <f>_xlfn.XLOOKUP(A77,'SAP Report'!A:A,'SAP Report'!C:C)</f>
        <v>3000000</v>
      </c>
      <c r="AA77" s="1">
        <f>HLOOKUP($A$4,$AV$6:$BG77,(2+BH76),FALSE)</f>
        <v>0</v>
      </c>
      <c r="AB77" s="1">
        <f>SUMIF('Open PR PO'!A:A,Monitoring!A77,'Open PR PO'!K:K)</f>
        <v>2455357.14</v>
      </c>
      <c r="AC77" s="1">
        <f t="shared" si="62"/>
        <v>2455357.14</v>
      </c>
      <c r="AD77" s="1">
        <f t="shared" si="63"/>
        <v>544642.85999999987</v>
      </c>
      <c r="AE77" s="1">
        <f t="shared" si="64"/>
        <v>3000000</v>
      </c>
      <c r="AF77" s="1"/>
      <c r="AG77" s="53">
        <f>SUMIFS(Actual!$F:$F,Actual!$N:$N,Monitoring!AG$6,Actual!$A:$A,Monitoring!$A77)</f>
        <v>0</v>
      </c>
      <c r="AH77" s="53">
        <f>SUMIFS(Actual!$F:$F,Actual!$N:$N,Monitoring!AH$6,Actual!$A:$A,Monitoring!$A77)</f>
        <v>0</v>
      </c>
      <c r="AI77" s="53">
        <f>SUMIFS(Actual!$F:$F,Actual!$N:$N,Monitoring!AI$6,Actual!$A:$A,Monitoring!$A77)</f>
        <v>0</v>
      </c>
      <c r="AJ77" s="53">
        <f>SUMIFS(Actual!$F:$F,Actual!$N:$N,Monitoring!AJ$6,Actual!$A:$A,Monitoring!$A77)</f>
        <v>0</v>
      </c>
      <c r="AK77" s="53">
        <f>SUMIFS(Actual!$F:$F,Actual!$N:$N,Monitoring!AK$6,Actual!$A:$A,Monitoring!$A77)</f>
        <v>0</v>
      </c>
      <c r="AL77" s="53">
        <f>SUMIFS(Actual!$F:$F,Actual!$N:$N,Monitoring!AL$6,Actual!$A:$A,Monitoring!$A77)</f>
        <v>0</v>
      </c>
      <c r="AM77" s="53">
        <f>SUMIFS(Actual!$F:$F,Actual!$N:$N,Monitoring!AM$6,Actual!$A:$A,Monitoring!$A77)</f>
        <v>0</v>
      </c>
      <c r="AN77" s="53">
        <f>SUMIFS(Actual!$F:$F,Actual!$N:$N,Monitoring!AN$6,Actual!$A:$A,Monitoring!$A77)</f>
        <v>0</v>
      </c>
      <c r="AO77" s="53">
        <f>SUMIFS(Actual!$F:$F,Actual!$N:$N,Monitoring!AO$6,Actual!$A:$A,Monitoring!$A77)</f>
        <v>0</v>
      </c>
      <c r="AP77" s="53">
        <f t="shared" si="44"/>
        <v>2455357.14</v>
      </c>
      <c r="AQ77" s="53">
        <f t="shared" si="45"/>
        <v>272321.42999999993</v>
      </c>
      <c r="AR77" s="53">
        <f t="shared" si="46"/>
        <v>272321.42999999993</v>
      </c>
      <c r="AS77" s="1">
        <f t="shared" si="47"/>
        <v>3000000</v>
      </c>
      <c r="AT77" s="12">
        <f t="shared" si="48"/>
        <v>0</v>
      </c>
      <c r="AU77" s="1"/>
      <c r="AV77" s="53">
        <f t="shared" si="49"/>
        <v>0</v>
      </c>
      <c r="AW77" s="1">
        <f t="shared" si="50"/>
        <v>0</v>
      </c>
      <c r="AX77" s="1">
        <f t="shared" si="51"/>
        <v>0</v>
      </c>
      <c r="AY77" s="1">
        <f t="shared" si="52"/>
        <v>0</v>
      </c>
      <c r="AZ77" s="1">
        <f t="shared" si="53"/>
        <v>0</v>
      </c>
      <c r="BA77" s="1">
        <f t="shared" si="54"/>
        <v>0</v>
      </c>
      <c r="BB77" s="1">
        <f t="shared" si="55"/>
        <v>0</v>
      </c>
      <c r="BC77" s="1">
        <f t="shared" si="56"/>
        <v>0</v>
      </c>
      <c r="BD77" s="1">
        <f t="shared" si="57"/>
        <v>0</v>
      </c>
      <c r="BE77" s="1">
        <f t="shared" si="58"/>
        <v>2455357.14</v>
      </c>
      <c r="BF77" s="1">
        <f t="shared" si="59"/>
        <v>2727678.5700000003</v>
      </c>
      <c r="BG77" s="1">
        <f t="shared" si="60"/>
        <v>3000000</v>
      </c>
      <c r="BH77">
        <f t="shared" si="61"/>
        <v>71</v>
      </c>
    </row>
    <row r="78" spans="1:60" x14ac:dyDescent="0.35">
      <c r="A78">
        <v>10001400</v>
      </c>
      <c r="B78" t="str">
        <f t="shared" si="41"/>
        <v>IBP TOWER BLADDER TANK REPLACEMENT</v>
      </c>
      <c r="C78" t="s">
        <v>93</v>
      </c>
      <c r="D78" t="s">
        <v>93</v>
      </c>
      <c r="E78" t="s">
        <v>714</v>
      </c>
      <c r="F78" s="72" t="s">
        <v>1814</v>
      </c>
      <c r="G78" t="s">
        <v>1</v>
      </c>
      <c r="H78" t="s">
        <v>213</v>
      </c>
      <c r="I78">
        <v>1110</v>
      </c>
      <c r="J78" t="s">
        <v>645</v>
      </c>
      <c r="K78" s="3">
        <f t="shared" si="65"/>
        <v>34</v>
      </c>
      <c r="L78" s="3" t="str">
        <f t="shared" si="66"/>
        <v>8100</v>
      </c>
      <c r="M78" s="5">
        <v>81321301</v>
      </c>
      <c r="N78" s="3" t="str">
        <f>_xlfn.XLOOKUP(M78,[2]Sheet1!$A:$A,[2]Sheet1!$D:$D)</f>
        <v>IBP TOWER</v>
      </c>
      <c r="O78" t="s">
        <v>90</v>
      </c>
      <c r="P78" t="s">
        <v>91</v>
      </c>
      <c r="Q78" s="2" t="s">
        <v>646</v>
      </c>
      <c r="R78" s="1">
        <v>350000</v>
      </c>
      <c r="S78" s="63">
        <v>46328</v>
      </c>
      <c r="T78" t="str">
        <f>_xlfn.XLOOKUP(M78,[2]Sheet1!$A:$A,[2]Sheet1!$E:$E)</f>
        <v>OFFICES</v>
      </c>
      <c r="U78" s="63" t="s">
        <v>22</v>
      </c>
      <c r="V78" s="63" t="s">
        <v>92</v>
      </c>
      <c r="W78" s="63">
        <v>46358</v>
      </c>
      <c r="X78" s="63" t="s">
        <v>653</v>
      </c>
      <c r="Z78" s="1">
        <f>_xlfn.XLOOKUP(A78,'SAP Report'!A:A,'SAP Report'!C:C)</f>
        <v>350000</v>
      </c>
      <c r="AA78" s="1">
        <f>HLOOKUP($A$4,$AV$6:$BG78,(2+BH77),FALSE)</f>
        <v>294642.86</v>
      </c>
      <c r="AB78" s="1">
        <f>SUMIF('Open PR PO'!A:A,Monitoring!A78,'Open PR PO'!K:K)</f>
        <v>0</v>
      </c>
      <c r="AC78" s="1">
        <f t="shared" si="62"/>
        <v>294642.86</v>
      </c>
      <c r="AD78" s="1">
        <f t="shared" si="63"/>
        <v>55357.140000000014</v>
      </c>
      <c r="AE78" s="1">
        <f t="shared" si="64"/>
        <v>55357.140000000014</v>
      </c>
      <c r="AF78" s="1"/>
      <c r="AG78" s="53">
        <f>SUMIFS(Actual!$F:$F,Actual!$N:$N,Monitoring!AG$6,Actual!$A:$A,Monitoring!$A78)</f>
        <v>0</v>
      </c>
      <c r="AH78" s="53">
        <f>SUMIFS(Actual!$F:$F,Actual!$N:$N,Monitoring!AH$6,Actual!$A:$A,Monitoring!$A78)</f>
        <v>0</v>
      </c>
      <c r="AI78" s="53">
        <f>SUMIFS(Actual!$F:$F,Actual!$N:$N,Monitoring!AI$6,Actual!$A:$A,Monitoring!$A78)</f>
        <v>0</v>
      </c>
      <c r="AJ78" s="53">
        <f>SUMIFS(Actual!$F:$F,Actual!$N:$N,Monitoring!AJ$6,Actual!$A:$A,Monitoring!$A78)</f>
        <v>0</v>
      </c>
      <c r="AK78" s="53">
        <f>SUMIFS(Actual!$F:$F,Actual!$N:$N,Monitoring!AK$6,Actual!$A:$A,Monitoring!$A78)</f>
        <v>0</v>
      </c>
      <c r="AL78" s="53">
        <f>SUMIFS(Actual!$F:$F,Actual!$N:$N,Monitoring!AL$6,Actual!$A:$A,Monitoring!$A78)</f>
        <v>294642.86</v>
      </c>
      <c r="AM78" s="53">
        <f>SUMIFS(Actual!$F:$F,Actual!$N:$N,Monitoring!AM$6,Actual!$A:$A,Monitoring!$A78)</f>
        <v>0</v>
      </c>
      <c r="AN78" s="53">
        <f>SUMIFS(Actual!$F:$F,Actual!$N:$N,Monitoring!AN$6,Actual!$A:$A,Monitoring!$A78)</f>
        <v>0</v>
      </c>
      <c r="AO78" s="53">
        <f>SUMIFS(Actual!$F:$F,Actual!$N:$N,Monitoring!AO$6,Actual!$A:$A,Monitoring!$A78)</f>
        <v>0</v>
      </c>
      <c r="AP78" s="53">
        <f t="shared" si="44"/>
        <v>0</v>
      </c>
      <c r="AQ78" s="53">
        <f t="shared" si="45"/>
        <v>27678.570000000007</v>
      </c>
      <c r="AR78" s="53">
        <f t="shared" si="46"/>
        <v>27678.570000000007</v>
      </c>
      <c r="AS78" s="1">
        <f t="shared" si="47"/>
        <v>350000</v>
      </c>
      <c r="AT78" s="12">
        <f t="shared" si="48"/>
        <v>0</v>
      </c>
      <c r="AU78" s="1"/>
      <c r="AV78" s="53">
        <f t="shared" si="49"/>
        <v>0</v>
      </c>
      <c r="AW78" s="1">
        <f t="shared" si="50"/>
        <v>0</v>
      </c>
      <c r="AX78" s="1">
        <f t="shared" si="51"/>
        <v>0</v>
      </c>
      <c r="AY78" s="1">
        <f t="shared" si="52"/>
        <v>0</v>
      </c>
      <c r="AZ78" s="1">
        <f t="shared" si="53"/>
        <v>0</v>
      </c>
      <c r="BA78" s="1">
        <f t="shared" si="54"/>
        <v>294642.86</v>
      </c>
      <c r="BB78" s="1">
        <f t="shared" si="55"/>
        <v>294642.86</v>
      </c>
      <c r="BC78" s="1">
        <f t="shared" si="56"/>
        <v>294642.86</v>
      </c>
      <c r="BD78" s="1">
        <f t="shared" si="57"/>
        <v>294642.86</v>
      </c>
      <c r="BE78" s="1">
        <f t="shared" si="58"/>
        <v>294642.86</v>
      </c>
      <c r="BF78" s="1">
        <f t="shared" si="59"/>
        <v>322321.43</v>
      </c>
      <c r="BG78" s="1">
        <f t="shared" si="60"/>
        <v>350000</v>
      </c>
      <c r="BH78">
        <f t="shared" si="61"/>
        <v>72</v>
      </c>
    </row>
    <row r="79" spans="1:60" x14ac:dyDescent="0.35">
      <c r="A79">
        <v>10001401</v>
      </c>
      <c r="B79" t="str">
        <f t="shared" si="41"/>
        <v>IBP TOWER STP REHABILITATION</v>
      </c>
      <c r="C79" t="s">
        <v>93</v>
      </c>
      <c r="D79" t="s">
        <v>93</v>
      </c>
      <c r="E79" t="s">
        <v>684</v>
      </c>
      <c r="F79" s="72" t="s">
        <v>1814</v>
      </c>
      <c r="G79" t="s">
        <v>1</v>
      </c>
      <c r="H79" t="s">
        <v>210</v>
      </c>
      <c r="I79">
        <v>1110</v>
      </c>
      <c r="J79" t="s">
        <v>647</v>
      </c>
      <c r="K79" s="3">
        <f t="shared" si="65"/>
        <v>28</v>
      </c>
      <c r="L79" s="3" t="str">
        <f t="shared" si="66"/>
        <v>8100</v>
      </c>
      <c r="M79" s="5">
        <v>81321301</v>
      </c>
      <c r="N79" s="3" t="str">
        <f>_xlfn.XLOOKUP(M79,[2]Sheet1!$A:$A,[2]Sheet1!$D:$D)</f>
        <v>IBP TOWER</v>
      </c>
      <c r="O79" t="s">
        <v>90</v>
      </c>
      <c r="P79" t="s">
        <v>91</v>
      </c>
      <c r="Q79" s="2" t="s">
        <v>648</v>
      </c>
      <c r="R79" s="1">
        <v>1500000</v>
      </c>
      <c r="S79" s="63">
        <v>46328</v>
      </c>
      <c r="T79" t="str">
        <f>_xlfn.XLOOKUP(M79,[2]Sheet1!$A:$A,[2]Sheet1!$E:$E)</f>
        <v>OFFICES</v>
      </c>
      <c r="U79" s="63" t="s">
        <v>22</v>
      </c>
      <c r="V79" s="63" t="s">
        <v>92</v>
      </c>
      <c r="W79" s="63">
        <v>46358</v>
      </c>
      <c r="X79" s="63" t="s">
        <v>654</v>
      </c>
      <c r="Z79" s="1">
        <f>_xlfn.XLOOKUP(A79,'SAP Report'!A:A,'SAP Report'!C:C)</f>
        <v>1500000</v>
      </c>
      <c r="AA79" s="1">
        <f>HLOOKUP($A$4,$AV$6:$BG79,(2+BH78),FALSE)</f>
        <v>406250</v>
      </c>
      <c r="AB79" s="1">
        <f>SUMIF('Open PR PO'!A:A,Monitoring!A79,'Open PR PO'!K:K)</f>
        <v>593750</v>
      </c>
      <c r="AC79" s="1">
        <f t="shared" si="62"/>
        <v>1000000</v>
      </c>
      <c r="AD79" s="1">
        <f t="shared" si="63"/>
        <v>500000</v>
      </c>
      <c r="AE79" s="1">
        <f t="shared" si="64"/>
        <v>1093750</v>
      </c>
      <c r="AF79" s="1"/>
      <c r="AG79" s="53">
        <f>SUMIFS(Actual!$F:$F,Actual!$N:$N,Monitoring!AG$6,Actual!$A:$A,Monitoring!$A79)</f>
        <v>0</v>
      </c>
      <c r="AH79" s="53">
        <f>SUMIFS(Actual!$F:$F,Actual!$N:$N,Monitoring!AH$6,Actual!$A:$A,Monitoring!$A79)</f>
        <v>0</v>
      </c>
      <c r="AI79" s="53">
        <f>SUMIFS(Actual!$F:$F,Actual!$N:$N,Monitoring!AI$6,Actual!$A:$A,Monitoring!$A79)</f>
        <v>0</v>
      </c>
      <c r="AJ79" s="53">
        <f>SUMIFS(Actual!$F:$F,Actual!$N:$N,Monitoring!AJ$6,Actual!$A:$A,Monitoring!$A79)</f>
        <v>0</v>
      </c>
      <c r="AK79" s="53">
        <f>SUMIFS(Actual!$F:$F,Actual!$N:$N,Monitoring!AK$6,Actual!$A:$A,Monitoring!$A79)</f>
        <v>0</v>
      </c>
      <c r="AL79" s="53">
        <f>SUMIFS(Actual!$F:$F,Actual!$N:$N,Monitoring!AL$6,Actual!$A:$A,Monitoring!$A79)</f>
        <v>406250</v>
      </c>
      <c r="AM79" s="53">
        <f>SUMIFS(Actual!$F:$F,Actual!$N:$N,Monitoring!AM$6,Actual!$A:$A,Monitoring!$A79)</f>
        <v>0</v>
      </c>
      <c r="AN79" s="53">
        <f>SUMIFS(Actual!$F:$F,Actual!$N:$N,Monitoring!AN$6,Actual!$A:$A,Monitoring!$A79)</f>
        <v>0</v>
      </c>
      <c r="AO79" s="53">
        <f>SUMIFS(Actual!$F:$F,Actual!$N:$N,Monitoring!AO$6,Actual!$A:$A,Monitoring!$A79)</f>
        <v>0</v>
      </c>
      <c r="AP79" s="53">
        <f t="shared" si="44"/>
        <v>593750</v>
      </c>
      <c r="AQ79" s="53">
        <f t="shared" si="45"/>
        <v>250000</v>
      </c>
      <c r="AR79" s="53">
        <f t="shared" si="46"/>
        <v>250000</v>
      </c>
      <c r="AS79" s="1">
        <f t="shared" si="47"/>
        <v>1500000</v>
      </c>
      <c r="AT79" s="12">
        <f t="shared" si="48"/>
        <v>0</v>
      </c>
      <c r="AU79" s="1"/>
      <c r="AV79" s="53">
        <f t="shared" si="49"/>
        <v>0</v>
      </c>
      <c r="AW79" s="1">
        <f t="shared" si="50"/>
        <v>0</v>
      </c>
      <c r="AX79" s="1">
        <f t="shared" si="51"/>
        <v>0</v>
      </c>
      <c r="AY79" s="1">
        <f t="shared" si="52"/>
        <v>0</v>
      </c>
      <c r="AZ79" s="1">
        <f t="shared" si="53"/>
        <v>0</v>
      </c>
      <c r="BA79" s="1">
        <f t="shared" si="54"/>
        <v>406250</v>
      </c>
      <c r="BB79" s="1">
        <f t="shared" si="55"/>
        <v>406250</v>
      </c>
      <c r="BC79" s="1">
        <f t="shared" si="56"/>
        <v>406250</v>
      </c>
      <c r="BD79" s="1">
        <f t="shared" si="57"/>
        <v>406250</v>
      </c>
      <c r="BE79" s="1">
        <f t="shared" si="58"/>
        <v>1000000</v>
      </c>
      <c r="BF79" s="1">
        <f t="shared" si="59"/>
        <v>1250000</v>
      </c>
      <c r="BG79" s="1">
        <f t="shared" si="60"/>
        <v>1500000</v>
      </c>
      <c r="BH79">
        <f t="shared" si="61"/>
        <v>73</v>
      </c>
    </row>
    <row r="80" spans="1:60" x14ac:dyDescent="0.35">
      <c r="A80">
        <v>10001402</v>
      </c>
      <c r="B80" t="str">
        <f t="shared" si="41"/>
        <v>SC5 REHABILITATION OF COOLING TOWERS</v>
      </c>
      <c r="C80" t="s">
        <v>93</v>
      </c>
      <c r="D80" t="s">
        <v>93</v>
      </c>
      <c r="E80" t="s">
        <v>693</v>
      </c>
      <c r="F80" s="72" t="s">
        <v>1814</v>
      </c>
      <c r="G80" t="s">
        <v>1</v>
      </c>
      <c r="H80" t="s">
        <v>244</v>
      </c>
      <c r="I80">
        <v>1110</v>
      </c>
      <c r="J80" t="s">
        <v>657</v>
      </c>
      <c r="K80" s="3">
        <f t="shared" si="65"/>
        <v>36</v>
      </c>
      <c r="L80" s="3" t="str">
        <f t="shared" si="66"/>
        <v>8100</v>
      </c>
      <c r="M80">
        <v>81322301</v>
      </c>
      <c r="N80" s="3" t="str">
        <f>_xlfn.XLOOKUP(M80,[2]Sheet1!$A:$A,[2]Sheet1!$D:$D)</f>
        <v>SILVER CITY 5 OFFICE</v>
      </c>
      <c r="O80" t="s">
        <v>655</v>
      </c>
      <c r="P80" t="s">
        <v>91</v>
      </c>
      <c r="Q80" s="2" t="s">
        <v>656</v>
      </c>
      <c r="R80" s="1">
        <v>750000</v>
      </c>
      <c r="S80" s="63">
        <v>46358</v>
      </c>
      <c r="T80" t="str">
        <f>_xlfn.XLOOKUP(M80,[2]Sheet1!$A:$A,[2]Sheet1!$E:$E)</f>
        <v>OFFICES</v>
      </c>
      <c r="U80" s="63" t="s">
        <v>22</v>
      </c>
      <c r="V80" s="63" t="s">
        <v>27</v>
      </c>
      <c r="W80" s="63" t="s">
        <v>658</v>
      </c>
      <c r="X80" s="63" t="s">
        <v>674</v>
      </c>
      <c r="Z80" s="1">
        <f>_xlfn.XLOOKUP(A80,'SAP Report'!A:A,'SAP Report'!C:C)</f>
        <v>750000</v>
      </c>
      <c r="AA80" s="1">
        <f>HLOOKUP($A$4,$AV$6:$BG80,(2+BH79),FALSE)</f>
        <v>0</v>
      </c>
      <c r="AB80" s="1">
        <f>SUMIF('Open PR PO'!A:A,Monitoring!A80,'Open PR PO'!K:K)</f>
        <v>0</v>
      </c>
      <c r="AC80" s="1">
        <f t="shared" si="62"/>
        <v>0</v>
      </c>
      <c r="AD80" s="1">
        <f t="shared" si="63"/>
        <v>750000</v>
      </c>
      <c r="AE80" s="1">
        <f t="shared" si="64"/>
        <v>750000</v>
      </c>
      <c r="AF80" s="1"/>
      <c r="AG80" s="53">
        <f>SUMIFS(Actual!$F:$F,Actual!$N:$N,Monitoring!AG$6,Actual!$A:$A,Monitoring!$A80)</f>
        <v>0</v>
      </c>
      <c r="AH80" s="53">
        <f>SUMIFS(Actual!$F:$F,Actual!$N:$N,Monitoring!AH$6,Actual!$A:$A,Monitoring!$A80)</f>
        <v>0</v>
      </c>
      <c r="AI80" s="53">
        <f>SUMIFS(Actual!$F:$F,Actual!$N:$N,Monitoring!AI$6,Actual!$A:$A,Monitoring!$A80)</f>
        <v>0</v>
      </c>
      <c r="AJ80" s="53">
        <f>SUMIFS(Actual!$F:$F,Actual!$N:$N,Monitoring!AJ$6,Actual!$A:$A,Monitoring!$A80)</f>
        <v>0</v>
      </c>
      <c r="AK80" s="53">
        <f>SUMIFS(Actual!$F:$F,Actual!$N:$N,Monitoring!AK$6,Actual!$A:$A,Monitoring!$A80)</f>
        <v>0</v>
      </c>
      <c r="AL80" s="53">
        <f>SUMIFS(Actual!$F:$F,Actual!$N:$N,Monitoring!AL$6,Actual!$A:$A,Monitoring!$A80)</f>
        <v>0</v>
      </c>
      <c r="AM80" s="53">
        <f>SUMIFS(Actual!$F:$F,Actual!$N:$N,Monitoring!AM$6,Actual!$A:$A,Monitoring!$A80)</f>
        <v>0</v>
      </c>
      <c r="AN80" s="53">
        <f>SUMIFS(Actual!$F:$F,Actual!$N:$N,Monitoring!AN$6,Actual!$A:$A,Monitoring!$A80)</f>
        <v>0</v>
      </c>
      <c r="AO80" s="53">
        <f>SUMIFS(Actual!$F:$F,Actual!$N:$N,Monitoring!AO$6,Actual!$A:$A,Monitoring!$A80)</f>
        <v>0</v>
      </c>
      <c r="AP80" s="53">
        <f t="shared" si="44"/>
        <v>0</v>
      </c>
      <c r="AQ80" s="53">
        <f t="shared" si="45"/>
        <v>375000</v>
      </c>
      <c r="AR80" s="53">
        <f t="shared" si="46"/>
        <v>375000</v>
      </c>
      <c r="AS80" s="1">
        <f t="shared" si="47"/>
        <v>750000</v>
      </c>
      <c r="AT80" s="12">
        <f t="shared" si="48"/>
        <v>0</v>
      </c>
      <c r="AU80" s="1"/>
      <c r="AV80" s="53">
        <f t="shared" si="49"/>
        <v>0</v>
      </c>
      <c r="AW80" s="1">
        <f t="shared" si="50"/>
        <v>0</v>
      </c>
      <c r="AX80" s="1">
        <f t="shared" si="51"/>
        <v>0</v>
      </c>
      <c r="AY80" s="1">
        <f t="shared" si="52"/>
        <v>0</v>
      </c>
      <c r="AZ80" s="1">
        <f t="shared" si="53"/>
        <v>0</v>
      </c>
      <c r="BA80" s="1">
        <f t="shared" si="54"/>
        <v>0</v>
      </c>
      <c r="BB80" s="1">
        <f t="shared" si="55"/>
        <v>0</v>
      </c>
      <c r="BC80" s="1">
        <f t="shared" si="56"/>
        <v>0</v>
      </c>
      <c r="BD80" s="1">
        <f t="shared" si="57"/>
        <v>0</v>
      </c>
      <c r="BE80" s="1">
        <f t="shared" si="58"/>
        <v>0</v>
      </c>
      <c r="BF80" s="1">
        <f t="shared" si="59"/>
        <v>375000</v>
      </c>
      <c r="BG80" s="1">
        <f t="shared" si="60"/>
        <v>750000</v>
      </c>
      <c r="BH80">
        <f t="shared" si="61"/>
        <v>74</v>
      </c>
    </row>
    <row r="81" spans="1:60" x14ac:dyDescent="0.35">
      <c r="A81">
        <v>10001403</v>
      </c>
      <c r="B81" t="str">
        <f t="shared" si="41"/>
        <v>SC5 REHABILITATION OF CONTROL SYSTEM OF CHILLER PLANT</v>
      </c>
      <c r="C81" t="s">
        <v>93</v>
      </c>
      <c r="D81" t="s">
        <v>93</v>
      </c>
      <c r="E81" t="s">
        <v>693</v>
      </c>
      <c r="F81" s="72" t="s">
        <v>1814</v>
      </c>
      <c r="G81" t="s">
        <v>1</v>
      </c>
      <c r="H81" t="s">
        <v>259</v>
      </c>
      <c r="I81">
        <v>1110</v>
      </c>
      <c r="J81" t="s">
        <v>659</v>
      </c>
      <c r="K81" s="3">
        <f t="shared" si="65"/>
        <v>53</v>
      </c>
      <c r="L81" s="3" t="str">
        <f t="shared" si="66"/>
        <v>8100</v>
      </c>
      <c r="M81">
        <v>81322301</v>
      </c>
      <c r="N81" s="3" t="str">
        <f>_xlfn.XLOOKUP(M81,[2]Sheet1!$A:$A,[2]Sheet1!$D:$D)</f>
        <v>SILVER CITY 5 OFFICE</v>
      </c>
      <c r="O81" t="s">
        <v>655</v>
      </c>
      <c r="P81" t="s">
        <v>91</v>
      </c>
      <c r="Q81" s="2" t="s">
        <v>790</v>
      </c>
      <c r="R81" s="1">
        <f>1500000-547415.46-289350</f>
        <v>663234.54</v>
      </c>
      <c r="S81" s="63">
        <v>46358</v>
      </c>
      <c r="T81" t="str">
        <f>_xlfn.XLOOKUP(M81,[2]Sheet1!$A:$A,[2]Sheet1!$E:$E)</f>
        <v>OFFICES</v>
      </c>
      <c r="U81" s="63" t="s">
        <v>22</v>
      </c>
      <c r="V81" s="63" t="s">
        <v>27</v>
      </c>
      <c r="W81" s="63" t="s">
        <v>658</v>
      </c>
      <c r="X81" s="63" t="s">
        <v>876</v>
      </c>
      <c r="Z81" s="1">
        <f>_xlfn.XLOOKUP(A81,'SAP Report'!A:A,'SAP Report'!C:C)</f>
        <v>663234.54</v>
      </c>
      <c r="AA81" s="1">
        <f>HLOOKUP($A$4,$AV$6:$BG81,(2+BH80),FALSE)</f>
        <v>0</v>
      </c>
      <c r="AB81" s="1">
        <f>SUMIF('Open PR PO'!A:A,Monitoring!A81,'Open PR PO'!K:K)</f>
        <v>0</v>
      </c>
      <c r="AC81" s="1">
        <f t="shared" si="62"/>
        <v>0</v>
      </c>
      <c r="AD81" s="1">
        <f t="shared" si="63"/>
        <v>663234.54</v>
      </c>
      <c r="AE81" s="1">
        <f t="shared" si="64"/>
        <v>663234.54</v>
      </c>
      <c r="AF81" s="1"/>
      <c r="AG81" s="53">
        <f>SUMIFS(Actual!$F:$F,Actual!$N:$N,Monitoring!AG$6,Actual!$A:$A,Monitoring!$A81)</f>
        <v>0</v>
      </c>
      <c r="AH81" s="53">
        <f>SUMIFS(Actual!$F:$F,Actual!$N:$N,Monitoring!AH$6,Actual!$A:$A,Monitoring!$A81)</f>
        <v>0</v>
      </c>
      <c r="AI81" s="53">
        <f>SUMIFS(Actual!$F:$F,Actual!$N:$N,Monitoring!AI$6,Actual!$A:$A,Monitoring!$A81)</f>
        <v>0</v>
      </c>
      <c r="AJ81" s="53">
        <f>SUMIFS(Actual!$F:$F,Actual!$N:$N,Monitoring!AJ$6,Actual!$A:$A,Monitoring!$A81)</f>
        <v>0</v>
      </c>
      <c r="AK81" s="53">
        <f>SUMIFS(Actual!$F:$F,Actual!$N:$N,Monitoring!AK$6,Actual!$A:$A,Monitoring!$A81)</f>
        <v>0</v>
      </c>
      <c r="AL81" s="53">
        <f>SUMIFS(Actual!$F:$F,Actual!$N:$N,Monitoring!AL$6,Actual!$A:$A,Monitoring!$A81)</f>
        <v>0</v>
      </c>
      <c r="AM81" s="53">
        <f>SUMIFS(Actual!$F:$F,Actual!$N:$N,Monitoring!AM$6,Actual!$A:$A,Monitoring!$A81)</f>
        <v>0</v>
      </c>
      <c r="AN81" s="53">
        <f>SUMIFS(Actual!$F:$F,Actual!$N:$N,Monitoring!AN$6,Actual!$A:$A,Monitoring!$A81)</f>
        <v>0</v>
      </c>
      <c r="AO81" s="53">
        <f>SUMIFS(Actual!$F:$F,Actual!$N:$N,Monitoring!AO$6,Actual!$A:$A,Monitoring!$A81)</f>
        <v>0</v>
      </c>
      <c r="AP81" s="53">
        <f t="shared" si="44"/>
        <v>0</v>
      </c>
      <c r="AQ81" s="53">
        <f t="shared" si="45"/>
        <v>331617.27</v>
      </c>
      <c r="AR81" s="53">
        <f t="shared" si="46"/>
        <v>331617.27</v>
      </c>
      <c r="AS81" s="1">
        <f t="shared" si="47"/>
        <v>663234.54</v>
      </c>
      <c r="AT81" s="12">
        <f t="shared" si="48"/>
        <v>0</v>
      </c>
      <c r="AU81" s="1"/>
      <c r="AV81" s="53">
        <f t="shared" si="49"/>
        <v>0</v>
      </c>
      <c r="AW81" s="1">
        <f t="shared" si="50"/>
        <v>0</v>
      </c>
      <c r="AX81" s="1">
        <f t="shared" si="51"/>
        <v>0</v>
      </c>
      <c r="AY81" s="1">
        <f t="shared" si="52"/>
        <v>0</v>
      </c>
      <c r="AZ81" s="1">
        <f t="shared" si="53"/>
        <v>0</v>
      </c>
      <c r="BA81" s="1">
        <f t="shared" si="54"/>
        <v>0</v>
      </c>
      <c r="BB81" s="1">
        <f t="shared" si="55"/>
        <v>0</v>
      </c>
      <c r="BC81" s="1">
        <f t="shared" si="56"/>
        <v>0</v>
      </c>
      <c r="BD81" s="1">
        <f t="shared" si="57"/>
        <v>0</v>
      </c>
      <c r="BE81" s="1">
        <f t="shared" si="58"/>
        <v>0</v>
      </c>
      <c r="BF81" s="1">
        <f t="shared" si="59"/>
        <v>331617.27</v>
      </c>
      <c r="BG81" s="1">
        <f t="shared" si="60"/>
        <v>663234.54</v>
      </c>
      <c r="BH81">
        <f t="shared" si="61"/>
        <v>75</v>
      </c>
    </row>
    <row r="82" spans="1:60" x14ac:dyDescent="0.35">
      <c r="A82">
        <v>10001404</v>
      </c>
      <c r="B82" t="str">
        <f t="shared" si="41"/>
        <v>SC5 STP REHABILITATION WORKS</v>
      </c>
      <c r="C82" t="s">
        <v>93</v>
      </c>
      <c r="D82" t="s">
        <v>93</v>
      </c>
      <c r="E82" t="s">
        <v>684</v>
      </c>
      <c r="F82" s="72" t="s">
        <v>1814</v>
      </c>
      <c r="G82" t="s">
        <v>1</v>
      </c>
      <c r="H82" t="s">
        <v>242</v>
      </c>
      <c r="I82">
        <v>1100</v>
      </c>
      <c r="J82" t="s">
        <v>660</v>
      </c>
      <c r="K82" s="3">
        <f t="shared" si="65"/>
        <v>28</v>
      </c>
      <c r="L82" s="3" t="str">
        <f t="shared" si="66"/>
        <v>8100</v>
      </c>
      <c r="M82">
        <v>81322301</v>
      </c>
      <c r="N82" s="3" t="str">
        <f>_xlfn.XLOOKUP(M82,[2]Sheet1!$A:$A,[2]Sheet1!$D:$D)</f>
        <v>SILVER CITY 5 OFFICE</v>
      </c>
      <c r="O82" t="s">
        <v>655</v>
      </c>
      <c r="P82" t="s">
        <v>91</v>
      </c>
      <c r="Q82" s="2" t="s">
        <v>656</v>
      </c>
      <c r="R82" s="1">
        <v>4191964.29</v>
      </c>
      <c r="S82" s="63">
        <v>46358</v>
      </c>
      <c r="T82" t="str">
        <f>_xlfn.XLOOKUP(M82,[2]Sheet1!$A:$A,[2]Sheet1!$E:$E)</f>
        <v>OFFICES</v>
      </c>
      <c r="U82" s="63" t="s">
        <v>22</v>
      </c>
      <c r="V82" s="63" t="s">
        <v>27</v>
      </c>
      <c r="W82" s="63" t="s">
        <v>658</v>
      </c>
      <c r="X82" s="63" t="s">
        <v>675</v>
      </c>
      <c r="Z82" s="1">
        <f>_xlfn.XLOOKUP(A82,'SAP Report'!A:A,'SAP Report'!C:C)</f>
        <v>4191964.29</v>
      </c>
      <c r="AA82" s="1">
        <f>HLOOKUP($A$4,$AV$6:$BG82,(2+BH81),FALSE)</f>
        <v>3638872.7700000005</v>
      </c>
      <c r="AB82" s="1">
        <f>SUMIF('Open PR PO'!A:A,Monitoring!A82,'Open PR PO'!K:K)</f>
        <v>404319.2</v>
      </c>
      <c r="AC82" s="1">
        <f t="shared" si="62"/>
        <v>4043191.9700000007</v>
      </c>
      <c r="AD82" s="1">
        <f t="shared" si="63"/>
        <v>148772.31999999937</v>
      </c>
      <c r="AE82" s="1">
        <f t="shared" si="64"/>
        <v>553091.51999999955</v>
      </c>
      <c r="AF82" s="1"/>
      <c r="AG82" s="53">
        <f>SUMIFS(Actual!$F:$F,Actual!$N:$N,Monitoring!AG$6,Actual!$A:$A,Monitoring!$A82)</f>
        <v>0</v>
      </c>
      <c r="AH82" s="53">
        <f>SUMIFS(Actual!$F:$F,Actual!$N:$N,Monitoring!AH$6,Actual!$A:$A,Monitoring!$A82)</f>
        <v>0</v>
      </c>
      <c r="AI82" s="53">
        <f>SUMIFS(Actual!$F:$F,Actual!$N:$N,Monitoring!AI$6,Actual!$A:$A,Monitoring!$A82)</f>
        <v>0</v>
      </c>
      <c r="AJ82" s="53">
        <f>SUMIFS(Actual!$F:$F,Actual!$N:$N,Monitoring!AJ$6,Actual!$A:$A,Monitoring!$A82)</f>
        <v>1212957.5900000001</v>
      </c>
      <c r="AK82" s="53">
        <f>SUMIFS(Actual!$F:$F,Actual!$N:$N,Monitoring!AK$6,Actual!$A:$A,Monitoring!$A82)</f>
        <v>0</v>
      </c>
      <c r="AL82" s="53">
        <f>SUMIFS(Actual!$F:$F,Actual!$N:$N,Monitoring!AL$6,Actual!$A:$A,Monitoring!$A82)</f>
        <v>1212957.5900000001</v>
      </c>
      <c r="AM82" s="53">
        <f>SUMIFS(Actual!$F:$F,Actual!$N:$N,Monitoring!AM$6,Actual!$A:$A,Monitoring!$A82)</f>
        <v>0</v>
      </c>
      <c r="AN82" s="53">
        <f>SUMIFS(Actual!$F:$F,Actual!$N:$N,Monitoring!AN$6,Actual!$A:$A,Monitoring!$A82)</f>
        <v>0</v>
      </c>
      <c r="AO82" s="53">
        <f>SUMIFS(Actual!$F:$F,Actual!$N:$N,Monitoring!AO$6,Actual!$A:$A,Monitoring!$A82)</f>
        <v>1212957.5900000001</v>
      </c>
      <c r="AP82" s="53">
        <f t="shared" si="44"/>
        <v>404319.2</v>
      </c>
      <c r="AQ82" s="53">
        <f t="shared" si="45"/>
        <v>74386.159999999683</v>
      </c>
      <c r="AR82" s="53">
        <f t="shared" si="46"/>
        <v>74386.159999999683</v>
      </c>
      <c r="AS82" s="1">
        <f t="shared" si="47"/>
        <v>4191964.29</v>
      </c>
      <c r="AT82" s="12">
        <f t="shared" si="48"/>
        <v>0</v>
      </c>
      <c r="AU82" s="1"/>
      <c r="AV82" s="53">
        <f t="shared" si="49"/>
        <v>0</v>
      </c>
      <c r="AW82" s="1">
        <f t="shared" si="50"/>
        <v>0</v>
      </c>
      <c r="AX82" s="1">
        <f t="shared" si="51"/>
        <v>0</v>
      </c>
      <c r="AY82" s="1">
        <f t="shared" si="52"/>
        <v>1212957.5900000001</v>
      </c>
      <c r="AZ82" s="1">
        <f t="shared" si="53"/>
        <v>1212957.5900000001</v>
      </c>
      <c r="BA82" s="1">
        <f t="shared" si="54"/>
        <v>2425915.1800000002</v>
      </c>
      <c r="BB82" s="1">
        <f t="shared" si="55"/>
        <v>2425915.1800000002</v>
      </c>
      <c r="BC82" s="1">
        <f t="shared" si="56"/>
        <v>2425915.1800000002</v>
      </c>
      <c r="BD82" s="1">
        <f t="shared" si="57"/>
        <v>3638872.7700000005</v>
      </c>
      <c r="BE82" s="1">
        <f t="shared" si="58"/>
        <v>4043191.9700000007</v>
      </c>
      <c r="BF82" s="1">
        <f t="shared" si="59"/>
        <v>4117578.1300000004</v>
      </c>
      <c r="BG82" s="1">
        <f t="shared" si="60"/>
        <v>4191964.29</v>
      </c>
      <c r="BH82">
        <f t="shared" si="61"/>
        <v>76</v>
      </c>
    </row>
    <row r="83" spans="1:60" x14ac:dyDescent="0.35">
      <c r="A83">
        <v>10001407</v>
      </c>
      <c r="B83" t="str">
        <f t="shared" si="41"/>
        <v>SC4 PARKING POS</v>
      </c>
      <c r="C83" t="s">
        <v>93</v>
      </c>
      <c r="D83" t="s">
        <v>93</v>
      </c>
      <c r="E83" t="s">
        <v>698</v>
      </c>
      <c r="F83" s="72" t="s">
        <v>1814</v>
      </c>
      <c r="G83" t="s">
        <v>1</v>
      </c>
      <c r="H83" t="s">
        <v>239</v>
      </c>
      <c r="I83">
        <v>1110</v>
      </c>
      <c r="J83" t="s">
        <v>240</v>
      </c>
      <c r="K83" s="3">
        <f t="shared" si="65"/>
        <v>15</v>
      </c>
      <c r="L83" s="3" t="str">
        <f t="shared" si="66"/>
        <v>8100</v>
      </c>
      <c r="M83">
        <v>81322203</v>
      </c>
      <c r="N83" s="3" t="str">
        <f>_xlfn.XLOOKUP(M83,[2]Sheet1!$A:$A,[2]Sheet1!$D:$D)</f>
        <v>SILVER CITY 4</v>
      </c>
      <c r="O83" t="s">
        <v>655</v>
      </c>
      <c r="P83" t="s">
        <v>91</v>
      </c>
      <c r="Q83" s="2" t="s">
        <v>661</v>
      </c>
      <c r="R83" s="1">
        <v>250000</v>
      </c>
      <c r="S83" s="63">
        <v>46358</v>
      </c>
      <c r="T83" t="str">
        <f>_xlfn.XLOOKUP(M83,[2]Sheet1!$A:$A,[2]Sheet1!$E:$E)</f>
        <v>OFFICES</v>
      </c>
      <c r="U83" s="64" t="s">
        <v>662</v>
      </c>
      <c r="V83" s="63" t="s">
        <v>663</v>
      </c>
      <c r="W83" s="63" t="s">
        <v>658</v>
      </c>
      <c r="X83" s="63" t="s">
        <v>678</v>
      </c>
      <c r="Z83" s="1">
        <f>_xlfn.XLOOKUP(A83,'SAP Report'!A:A,'SAP Report'!C:C)</f>
        <v>250000</v>
      </c>
      <c r="AA83" s="1">
        <f>HLOOKUP($A$4,$AV$6:$BG83,(2+BH82),FALSE)</f>
        <v>225892.86</v>
      </c>
      <c r="AB83" s="1">
        <f>SUMIF('Open PR PO'!A:A,Monitoring!A83,'Open PR PO'!K:K)</f>
        <v>0</v>
      </c>
      <c r="AC83" s="1">
        <f t="shared" si="62"/>
        <v>225892.86</v>
      </c>
      <c r="AD83" s="1">
        <f t="shared" si="63"/>
        <v>24107.140000000014</v>
      </c>
      <c r="AE83" s="1">
        <f t="shared" si="64"/>
        <v>24107.140000000014</v>
      </c>
      <c r="AF83" s="1"/>
      <c r="AG83" s="53">
        <f>SUMIFS(Actual!$F:$F,Actual!$N:$N,Monitoring!AG$6,Actual!$A:$A,Monitoring!$A83)</f>
        <v>0</v>
      </c>
      <c r="AH83" s="53">
        <f>SUMIFS(Actual!$F:$F,Actual!$N:$N,Monitoring!AH$6,Actual!$A:$A,Monitoring!$A83)</f>
        <v>0</v>
      </c>
      <c r="AI83" s="53">
        <f>SUMIFS(Actual!$F:$F,Actual!$N:$N,Monitoring!AI$6,Actual!$A:$A,Monitoring!$A83)</f>
        <v>0</v>
      </c>
      <c r="AJ83" s="53">
        <f>SUMIFS(Actual!$F:$F,Actual!$N:$N,Monitoring!AJ$6,Actual!$A:$A,Monitoring!$A83)</f>
        <v>0</v>
      </c>
      <c r="AK83" s="53">
        <f>SUMIFS(Actual!$F:$F,Actual!$N:$N,Monitoring!AK$6,Actual!$A:$A,Monitoring!$A83)</f>
        <v>0</v>
      </c>
      <c r="AL83" s="53">
        <f>SUMIFS(Actual!$F:$F,Actual!$N:$N,Monitoring!AL$6,Actual!$A:$A,Monitoring!$A83)</f>
        <v>0</v>
      </c>
      <c r="AM83" s="53">
        <f>SUMIFS(Actual!$F:$F,Actual!$N:$N,Monitoring!AM$6,Actual!$A:$A,Monitoring!$A83)</f>
        <v>225892.86</v>
      </c>
      <c r="AN83" s="53">
        <f>SUMIFS(Actual!$F:$F,Actual!$N:$N,Monitoring!AN$6,Actual!$A:$A,Monitoring!$A83)</f>
        <v>0</v>
      </c>
      <c r="AO83" s="53">
        <f>SUMIFS(Actual!$F:$F,Actual!$N:$N,Monitoring!AO$6,Actual!$A:$A,Monitoring!$A83)</f>
        <v>0</v>
      </c>
      <c r="AP83" s="53">
        <f t="shared" si="44"/>
        <v>0</v>
      </c>
      <c r="AQ83" s="53">
        <f t="shared" si="45"/>
        <v>12053.570000000007</v>
      </c>
      <c r="AR83" s="53">
        <f t="shared" si="46"/>
        <v>12053.570000000007</v>
      </c>
      <c r="AS83" s="1">
        <f t="shared" si="47"/>
        <v>250000</v>
      </c>
      <c r="AT83" s="12">
        <f t="shared" si="48"/>
        <v>0</v>
      </c>
      <c r="AU83" s="1"/>
      <c r="AV83" s="53">
        <f t="shared" si="49"/>
        <v>0</v>
      </c>
      <c r="AW83" s="1">
        <f t="shared" si="50"/>
        <v>0</v>
      </c>
      <c r="AX83" s="1">
        <f t="shared" si="51"/>
        <v>0</v>
      </c>
      <c r="AY83" s="1">
        <f t="shared" si="52"/>
        <v>0</v>
      </c>
      <c r="AZ83" s="1">
        <f t="shared" si="53"/>
        <v>0</v>
      </c>
      <c r="BA83" s="1">
        <f t="shared" si="54"/>
        <v>0</v>
      </c>
      <c r="BB83" s="1">
        <f t="shared" si="55"/>
        <v>225892.86</v>
      </c>
      <c r="BC83" s="1">
        <f t="shared" si="56"/>
        <v>225892.86</v>
      </c>
      <c r="BD83" s="1">
        <f t="shared" si="57"/>
        <v>225892.86</v>
      </c>
      <c r="BE83" s="1">
        <f t="shared" si="58"/>
        <v>225892.86</v>
      </c>
      <c r="BF83" s="1">
        <f t="shared" si="59"/>
        <v>237946.43</v>
      </c>
      <c r="BG83" s="1">
        <f t="shared" si="60"/>
        <v>250000</v>
      </c>
      <c r="BH83">
        <f t="shared" si="61"/>
        <v>77</v>
      </c>
    </row>
    <row r="84" spans="1:60" x14ac:dyDescent="0.35">
      <c r="A84">
        <v>10001366</v>
      </c>
      <c r="B84" t="str">
        <f t="shared" si="41"/>
        <v>SC4 STP REHABILITATION WORKS</v>
      </c>
      <c r="C84" t="s">
        <v>93</v>
      </c>
      <c r="D84" t="s">
        <v>93</v>
      </c>
      <c r="E84" t="s">
        <v>684</v>
      </c>
      <c r="F84" s="72" t="s">
        <v>1814</v>
      </c>
      <c r="G84" t="s">
        <v>1</v>
      </c>
      <c r="H84" t="s">
        <v>237</v>
      </c>
      <c r="I84">
        <v>1100</v>
      </c>
      <c r="J84" t="s">
        <v>679</v>
      </c>
      <c r="K84" s="3">
        <f t="shared" si="65"/>
        <v>28</v>
      </c>
      <c r="L84" s="3" t="str">
        <f t="shared" si="66"/>
        <v>8100</v>
      </c>
      <c r="M84">
        <v>81322203</v>
      </c>
      <c r="N84" s="3" t="str">
        <f>_xlfn.XLOOKUP(M84,[2]Sheet1!$A:$A,[2]Sheet1!$D:$D)</f>
        <v>SILVER CITY 4</v>
      </c>
      <c r="O84" t="s">
        <v>655</v>
      </c>
      <c r="P84" t="s">
        <v>91</v>
      </c>
      <c r="Q84" s="2" t="s">
        <v>661</v>
      </c>
      <c r="R84" s="1">
        <v>1736607.14</v>
      </c>
      <c r="S84" s="63">
        <v>46358</v>
      </c>
      <c r="T84" t="str">
        <f>_xlfn.XLOOKUP(M84,[2]Sheet1!$A:$A,[2]Sheet1!$E:$E)</f>
        <v>OFFICES</v>
      </c>
      <c r="U84" s="63" t="s">
        <v>22</v>
      </c>
      <c r="V84" s="63" t="s">
        <v>27</v>
      </c>
      <c r="W84" s="63" t="s">
        <v>658</v>
      </c>
      <c r="X84" s="63" t="s">
        <v>735</v>
      </c>
      <c r="Z84" s="1">
        <f>_xlfn.XLOOKUP(A84,'SAP Report'!A:A,'SAP Report'!C:C)</f>
        <v>2048660.71</v>
      </c>
      <c r="AA84" s="1">
        <f>HLOOKUP($A$4,$AV$6:$BG84,(2+BH83),FALSE)</f>
        <v>1781819.19</v>
      </c>
      <c r="AB84" s="1">
        <f>SUMIF('Open PR PO'!A:A,Monitoring!A84,'Open PR PO'!K:K)</f>
        <v>197979.91</v>
      </c>
      <c r="AC84" s="1">
        <f t="shared" si="62"/>
        <v>1979799.0999999999</v>
      </c>
      <c r="AD84" s="1">
        <f t="shared" si="63"/>
        <v>68861.610000000102</v>
      </c>
      <c r="AE84" s="1">
        <f t="shared" si="64"/>
        <v>266841.52</v>
      </c>
      <c r="AF84" s="1"/>
      <c r="AG84" s="53">
        <f>SUMIFS(Actual!$F:$F,Actual!$N:$N,Monitoring!AG$6,Actual!$A:$A,Monitoring!$A84)</f>
        <v>0</v>
      </c>
      <c r="AH84" s="53">
        <f>SUMIFS(Actual!$F:$F,Actual!$N:$N,Monitoring!AH$6,Actual!$A:$A,Monitoring!$A84)</f>
        <v>0</v>
      </c>
      <c r="AI84" s="53">
        <f>SUMIFS(Actual!$F:$F,Actual!$N:$N,Monitoring!AI$6,Actual!$A:$A,Monitoring!$A84)</f>
        <v>0</v>
      </c>
      <c r="AJ84" s="53">
        <f>SUMIFS(Actual!$F:$F,Actual!$N:$N,Monitoring!AJ$6,Actual!$A:$A,Monitoring!$A84)</f>
        <v>593939.73</v>
      </c>
      <c r="AK84" s="53">
        <f>SUMIFS(Actual!$F:$F,Actual!$N:$N,Monitoring!AK$6,Actual!$A:$A,Monitoring!$A84)</f>
        <v>0</v>
      </c>
      <c r="AL84" s="53">
        <f>SUMIFS(Actual!$F:$F,Actual!$N:$N,Monitoring!AL$6,Actual!$A:$A,Monitoring!$A84)</f>
        <v>593939.73</v>
      </c>
      <c r="AM84" s="53">
        <f>SUMIFS(Actual!$F:$F,Actual!$N:$N,Monitoring!AM$6,Actual!$A:$A,Monitoring!$A84)</f>
        <v>0</v>
      </c>
      <c r="AN84" s="53">
        <f>SUMIFS(Actual!$F:$F,Actual!$N:$N,Monitoring!AN$6,Actual!$A:$A,Monitoring!$A84)</f>
        <v>0</v>
      </c>
      <c r="AO84" s="53">
        <f>SUMIFS(Actual!$F:$F,Actual!$N:$N,Monitoring!AO$6,Actual!$A:$A,Monitoring!$A84)</f>
        <v>593939.73</v>
      </c>
      <c r="AP84" s="53">
        <f t="shared" si="44"/>
        <v>197979.91</v>
      </c>
      <c r="AQ84" s="53">
        <f t="shared" si="45"/>
        <v>34430.805000000051</v>
      </c>
      <c r="AR84" s="53">
        <f t="shared" si="46"/>
        <v>34430.805000000051</v>
      </c>
      <c r="AS84" s="1">
        <f t="shared" si="47"/>
        <v>2048660.71</v>
      </c>
      <c r="AT84" s="12">
        <f t="shared" si="48"/>
        <v>0</v>
      </c>
      <c r="AU84" s="1"/>
      <c r="AV84" s="53">
        <f t="shared" si="49"/>
        <v>0</v>
      </c>
      <c r="AW84" s="1">
        <f t="shared" si="50"/>
        <v>0</v>
      </c>
      <c r="AX84" s="1">
        <f t="shared" si="51"/>
        <v>0</v>
      </c>
      <c r="AY84" s="1">
        <f t="shared" si="52"/>
        <v>593939.73</v>
      </c>
      <c r="AZ84" s="1">
        <f t="shared" si="53"/>
        <v>593939.73</v>
      </c>
      <c r="BA84" s="1">
        <f t="shared" si="54"/>
        <v>1187879.46</v>
      </c>
      <c r="BB84" s="1">
        <f t="shared" si="55"/>
        <v>1187879.46</v>
      </c>
      <c r="BC84" s="1">
        <f t="shared" si="56"/>
        <v>1187879.46</v>
      </c>
      <c r="BD84" s="1">
        <f t="shared" si="57"/>
        <v>1781819.19</v>
      </c>
      <c r="BE84" s="1">
        <f t="shared" si="58"/>
        <v>1979799.0999999999</v>
      </c>
      <c r="BF84" s="1">
        <f t="shared" si="59"/>
        <v>2014229.9049999998</v>
      </c>
      <c r="BG84" s="1">
        <f t="shared" si="60"/>
        <v>2048660.71</v>
      </c>
      <c r="BH84">
        <f t="shared" si="61"/>
        <v>78</v>
      </c>
    </row>
    <row r="85" spans="1:60" ht="30" customHeight="1" x14ac:dyDescent="0.35">
      <c r="A85">
        <v>10001365</v>
      </c>
      <c r="B85" t="str">
        <f t="shared" si="41"/>
        <v>SC2 REHABILITATION WOKRS</v>
      </c>
      <c r="C85" t="s">
        <v>93</v>
      </c>
      <c r="D85" t="s">
        <v>93</v>
      </c>
      <c r="E85" t="s">
        <v>684</v>
      </c>
      <c r="F85" s="72" t="s">
        <v>1814</v>
      </c>
      <c r="G85" t="s">
        <v>1</v>
      </c>
      <c r="H85" t="s">
        <v>235</v>
      </c>
      <c r="I85">
        <v>1100</v>
      </c>
      <c r="J85" t="s">
        <v>664</v>
      </c>
      <c r="K85" s="3">
        <f t="shared" si="65"/>
        <v>24</v>
      </c>
      <c r="L85" s="3" t="str">
        <f t="shared" si="66"/>
        <v>8100</v>
      </c>
      <c r="M85">
        <v>81322202</v>
      </c>
      <c r="N85" s="3" t="str">
        <f>_xlfn.XLOOKUP(M85,[2]Sheet1!$A:$A,[2]Sheet1!$D:$D)</f>
        <v>SILVER CITY 2 &amp; 3</v>
      </c>
      <c r="O85" t="s">
        <v>665</v>
      </c>
      <c r="P85" t="s">
        <v>91</v>
      </c>
      <c r="Q85" s="2" t="s">
        <v>666</v>
      </c>
      <c r="R85" s="1">
        <v>2285714.2799999998</v>
      </c>
      <c r="S85" s="63">
        <v>46358</v>
      </c>
      <c r="T85" t="str">
        <f>_xlfn.XLOOKUP(M85,[2]Sheet1!$A:$A,[2]Sheet1!$E:$E)</f>
        <v>OFFICES</v>
      </c>
      <c r="U85" s="63" t="s">
        <v>22</v>
      </c>
      <c r="V85" s="63" t="s">
        <v>27</v>
      </c>
      <c r="W85" s="63" t="s">
        <v>658</v>
      </c>
      <c r="X85" s="65" t="s">
        <v>676</v>
      </c>
      <c r="Z85" s="1">
        <f>_xlfn.XLOOKUP(A85,'SAP Report'!A:A,'SAP Report'!C:C)</f>
        <v>2673660.71</v>
      </c>
      <c r="AA85" s="1">
        <f>HLOOKUP($A$4,$AV$6:$BG85,(2+BH84),FALSE)</f>
        <v>2344720.98</v>
      </c>
      <c r="AB85" s="1">
        <f>SUMIF('Open PR PO'!A:A,Monitoring!A85,'Open PR PO'!K:K)</f>
        <v>260524.55</v>
      </c>
      <c r="AC85" s="1">
        <f t="shared" si="62"/>
        <v>2605245.5299999998</v>
      </c>
      <c r="AD85" s="1">
        <f t="shared" si="63"/>
        <v>68415.180000000168</v>
      </c>
      <c r="AE85" s="1">
        <f t="shared" si="64"/>
        <v>328939.73</v>
      </c>
      <c r="AF85" s="1"/>
      <c r="AG85" s="53">
        <f>SUMIFS(Actual!$F:$F,Actual!$N:$N,Monitoring!AG$6,Actual!$A:$A,Monitoring!$A85)</f>
        <v>0</v>
      </c>
      <c r="AH85" s="53">
        <f>SUMIFS(Actual!$F:$F,Actual!$N:$N,Monitoring!AH$6,Actual!$A:$A,Monitoring!$A85)</f>
        <v>0</v>
      </c>
      <c r="AI85" s="53">
        <f>SUMIFS(Actual!$F:$F,Actual!$N:$N,Monitoring!AI$6,Actual!$A:$A,Monitoring!$A85)</f>
        <v>0</v>
      </c>
      <c r="AJ85" s="53">
        <f>SUMIFS(Actual!$F:$F,Actual!$N:$N,Monitoring!AJ$6,Actual!$A:$A,Monitoring!$A85)</f>
        <v>781573.66</v>
      </c>
      <c r="AK85" s="53">
        <f>SUMIFS(Actual!$F:$F,Actual!$N:$N,Monitoring!AK$6,Actual!$A:$A,Monitoring!$A85)</f>
        <v>0</v>
      </c>
      <c r="AL85" s="53">
        <f>SUMIFS(Actual!$F:$F,Actual!$N:$N,Monitoring!AL$6,Actual!$A:$A,Monitoring!$A85)</f>
        <v>781573.66</v>
      </c>
      <c r="AM85" s="53">
        <f>SUMIFS(Actual!$F:$F,Actual!$N:$N,Monitoring!AM$6,Actual!$A:$A,Monitoring!$A85)</f>
        <v>0</v>
      </c>
      <c r="AN85" s="53">
        <f>SUMIFS(Actual!$F:$F,Actual!$N:$N,Monitoring!AN$6,Actual!$A:$A,Monitoring!$A85)</f>
        <v>0</v>
      </c>
      <c r="AO85" s="53">
        <f>SUMIFS(Actual!$F:$F,Actual!$N:$N,Monitoring!AO$6,Actual!$A:$A,Monitoring!$A85)</f>
        <v>781573.66</v>
      </c>
      <c r="AP85" s="53">
        <f t="shared" si="44"/>
        <v>260524.55</v>
      </c>
      <c r="AQ85" s="53">
        <f t="shared" si="45"/>
        <v>34207.590000000084</v>
      </c>
      <c r="AR85" s="53">
        <f t="shared" si="46"/>
        <v>34207.590000000084</v>
      </c>
      <c r="AS85" s="1">
        <f t="shared" si="47"/>
        <v>2673660.71</v>
      </c>
      <c r="AT85" s="12">
        <f t="shared" si="48"/>
        <v>0</v>
      </c>
      <c r="AU85" s="1"/>
      <c r="AV85" s="53">
        <f t="shared" si="49"/>
        <v>0</v>
      </c>
      <c r="AW85" s="1">
        <f t="shared" si="50"/>
        <v>0</v>
      </c>
      <c r="AX85" s="1">
        <f t="shared" si="51"/>
        <v>0</v>
      </c>
      <c r="AY85" s="1">
        <f t="shared" si="52"/>
        <v>781573.66</v>
      </c>
      <c r="AZ85" s="1">
        <f t="shared" si="53"/>
        <v>781573.66</v>
      </c>
      <c r="BA85" s="1">
        <f t="shared" si="54"/>
        <v>1563147.32</v>
      </c>
      <c r="BB85" s="1">
        <f t="shared" si="55"/>
        <v>1563147.32</v>
      </c>
      <c r="BC85" s="1">
        <f t="shared" si="56"/>
        <v>1563147.32</v>
      </c>
      <c r="BD85" s="1">
        <f t="shared" si="57"/>
        <v>2344720.98</v>
      </c>
      <c r="BE85" s="1">
        <f t="shared" si="58"/>
        <v>2605245.5299999998</v>
      </c>
      <c r="BF85" s="1">
        <f t="shared" si="59"/>
        <v>2639453.12</v>
      </c>
      <c r="BG85" s="1">
        <f t="shared" si="60"/>
        <v>2673660.71</v>
      </c>
      <c r="BH85">
        <f t="shared" si="61"/>
        <v>79</v>
      </c>
    </row>
    <row r="86" spans="1:60" x14ac:dyDescent="0.35">
      <c r="A86">
        <v>10001409</v>
      </c>
      <c r="B86" t="str">
        <f t="shared" si="41"/>
        <v>SC1 DECAGON PERIMETER GLASS PANEL AND ACP RESEALANT</v>
      </c>
      <c r="C86" t="s">
        <v>93</v>
      </c>
      <c r="D86" t="s">
        <v>93</v>
      </c>
      <c r="E86" t="s">
        <v>699</v>
      </c>
      <c r="F86" s="72" t="s">
        <v>1814</v>
      </c>
      <c r="G86" t="s">
        <v>1</v>
      </c>
      <c r="H86" t="s">
        <v>228</v>
      </c>
      <c r="I86">
        <v>1100</v>
      </c>
      <c r="J86" t="s">
        <v>667</v>
      </c>
      <c r="K86" s="3">
        <f t="shared" si="65"/>
        <v>51</v>
      </c>
      <c r="L86" s="3" t="str">
        <f t="shared" si="66"/>
        <v>8100</v>
      </c>
      <c r="M86">
        <v>81322201</v>
      </c>
      <c r="N86" s="3" t="str">
        <f>_xlfn.XLOOKUP(M86,[2]Sheet1!$A:$A,[2]Sheet1!$D:$D)</f>
        <v>SC 1 - OFFICE</v>
      </c>
      <c r="O86" t="s">
        <v>668</v>
      </c>
      <c r="P86" t="s">
        <v>91</v>
      </c>
      <c r="Q86" s="2" t="s">
        <v>669</v>
      </c>
      <c r="R86" s="1">
        <v>1000000</v>
      </c>
      <c r="S86" s="63">
        <v>46358</v>
      </c>
      <c r="T86" t="str">
        <f>_xlfn.XLOOKUP(M86,[2]Sheet1!$A:$A,[2]Sheet1!$E:$E)</f>
        <v>OFFICES</v>
      </c>
      <c r="U86" s="63" t="s">
        <v>22</v>
      </c>
      <c r="V86" s="63" t="s">
        <v>27</v>
      </c>
      <c r="W86" s="63" t="s">
        <v>658</v>
      </c>
      <c r="X86" s="63" t="s">
        <v>681</v>
      </c>
      <c r="Z86" s="1">
        <f>_xlfn.XLOOKUP(A86,'SAP Report'!A:A,'SAP Report'!C:C)</f>
        <v>1000000</v>
      </c>
      <c r="AA86" s="1">
        <f>HLOOKUP($A$4,$AV$6:$BG86,(2+BH85),FALSE)</f>
        <v>0</v>
      </c>
      <c r="AB86" s="1">
        <f>SUMIF('Open PR PO'!A:A,Monitoring!A86,'Open PR PO'!K:K)</f>
        <v>0</v>
      </c>
      <c r="AC86" s="1">
        <f t="shared" si="62"/>
        <v>0</v>
      </c>
      <c r="AD86" s="1">
        <f t="shared" si="63"/>
        <v>1000000</v>
      </c>
      <c r="AE86" s="1">
        <f t="shared" si="64"/>
        <v>1000000</v>
      </c>
      <c r="AF86" s="1"/>
      <c r="AG86" s="53">
        <f>SUMIFS(Actual!$F:$F,Actual!$N:$N,Monitoring!AG$6,Actual!$A:$A,Monitoring!$A86)</f>
        <v>0</v>
      </c>
      <c r="AH86" s="53">
        <f>SUMIFS(Actual!$F:$F,Actual!$N:$N,Monitoring!AH$6,Actual!$A:$A,Monitoring!$A86)</f>
        <v>0</v>
      </c>
      <c r="AI86" s="53">
        <f>SUMIFS(Actual!$F:$F,Actual!$N:$N,Monitoring!AI$6,Actual!$A:$A,Monitoring!$A86)</f>
        <v>0</v>
      </c>
      <c r="AJ86" s="53">
        <f>SUMIFS(Actual!$F:$F,Actual!$N:$N,Monitoring!AJ$6,Actual!$A:$A,Monitoring!$A86)</f>
        <v>0</v>
      </c>
      <c r="AK86" s="53">
        <f>SUMIFS(Actual!$F:$F,Actual!$N:$N,Monitoring!AK$6,Actual!$A:$A,Monitoring!$A86)</f>
        <v>0</v>
      </c>
      <c r="AL86" s="53">
        <f>SUMIFS(Actual!$F:$F,Actual!$N:$N,Monitoring!AL$6,Actual!$A:$A,Monitoring!$A86)</f>
        <v>0</v>
      </c>
      <c r="AM86" s="53">
        <f>SUMIFS(Actual!$F:$F,Actual!$N:$N,Monitoring!AM$6,Actual!$A:$A,Monitoring!$A86)</f>
        <v>0</v>
      </c>
      <c r="AN86" s="53">
        <f>SUMIFS(Actual!$F:$F,Actual!$N:$N,Monitoring!AN$6,Actual!$A:$A,Monitoring!$A86)</f>
        <v>0</v>
      </c>
      <c r="AO86" s="53">
        <f>SUMIFS(Actual!$F:$F,Actual!$N:$N,Monitoring!AO$6,Actual!$A:$A,Monitoring!$A86)</f>
        <v>0</v>
      </c>
      <c r="AP86" s="53">
        <f t="shared" si="44"/>
        <v>0</v>
      </c>
      <c r="AQ86" s="53">
        <f t="shared" si="45"/>
        <v>500000</v>
      </c>
      <c r="AR86" s="53">
        <f t="shared" si="46"/>
        <v>500000</v>
      </c>
      <c r="AS86" s="1">
        <f t="shared" si="47"/>
        <v>1000000</v>
      </c>
      <c r="AT86" s="12">
        <f t="shared" si="48"/>
        <v>0</v>
      </c>
      <c r="AU86" s="1"/>
      <c r="AV86" s="53">
        <f t="shared" si="49"/>
        <v>0</v>
      </c>
      <c r="AW86" s="1">
        <f t="shared" si="50"/>
        <v>0</v>
      </c>
      <c r="AX86" s="1">
        <f t="shared" si="51"/>
        <v>0</v>
      </c>
      <c r="AY86" s="1">
        <f t="shared" si="52"/>
        <v>0</v>
      </c>
      <c r="AZ86" s="1">
        <f t="shared" si="53"/>
        <v>0</v>
      </c>
      <c r="BA86" s="1">
        <f t="shared" si="54"/>
        <v>0</v>
      </c>
      <c r="BB86" s="1">
        <f t="shared" si="55"/>
        <v>0</v>
      </c>
      <c r="BC86" s="1">
        <f t="shared" si="56"/>
        <v>0</v>
      </c>
      <c r="BD86" s="1">
        <f t="shared" si="57"/>
        <v>0</v>
      </c>
      <c r="BE86" s="1">
        <f t="shared" si="58"/>
        <v>0</v>
      </c>
      <c r="BF86" s="1">
        <f t="shared" si="59"/>
        <v>500000</v>
      </c>
      <c r="BG86" s="1">
        <f t="shared" si="60"/>
        <v>1000000</v>
      </c>
      <c r="BH86">
        <f t="shared" si="61"/>
        <v>80</v>
      </c>
    </row>
    <row r="87" spans="1:60" x14ac:dyDescent="0.35">
      <c r="A87">
        <v>10001410</v>
      </c>
      <c r="B87" t="str">
        <f t="shared" si="41"/>
        <v>SC1 INSTALLATION OF MOTORIZED VALVE AND THERMOSTAT</v>
      </c>
      <c r="C87" t="s">
        <v>93</v>
      </c>
      <c r="D87" t="s">
        <v>93</v>
      </c>
      <c r="E87" t="s">
        <v>693</v>
      </c>
      <c r="F87" s="72" t="s">
        <v>1814</v>
      </c>
      <c r="G87" t="s">
        <v>1</v>
      </c>
      <c r="H87" t="s">
        <v>253</v>
      </c>
      <c r="I87">
        <v>1110</v>
      </c>
      <c r="J87" t="s">
        <v>254</v>
      </c>
      <c r="K87" s="3">
        <f t="shared" si="65"/>
        <v>50</v>
      </c>
      <c r="L87" s="3" t="str">
        <f t="shared" si="66"/>
        <v>8100</v>
      </c>
      <c r="M87">
        <v>81322201</v>
      </c>
      <c r="N87" s="3" t="str">
        <f>_xlfn.XLOOKUP(M87,[2]Sheet1!$A:$A,[2]Sheet1!$D:$D)</f>
        <v>SC 1 - OFFICE</v>
      </c>
      <c r="O87" t="s">
        <v>668</v>
      </c>
      <c r="P87" t="s">
        <v>91</v>
      </c>
      <c r="Q87" s="2" t="s">
        <v>785</v>
      </c>
      <c r="R87" s="1">
        <f>700000-700000</f>
        <v>0</v>
      </c>
      <c r="S87" s="63">
        <v>46358</v>
      </c>
      <c r="T87" t="str">
        <f>_xlfn.XLOOKUP(M87,[2]Sheet1!$A:$A,[2]Sheet1!$E:$E)</f>
        <v>OFFICES</v>
      </c>
      <c r="U87" s="63" t="s">
        <v>22</v>
      </c>
      <c r="V87" s="63" t="s">
        <v>27</v>
      </c>
      <c r="W87" s="63" t="s">
        <v>658</v>
      </c>
      <c r="X87" s="63" t="s">
        <v>877</v>
      </c>
      <c r="Z87" s="1">
        <f>_xlfn.XLOOKUP(A87,'SAP Report'!A:A,'SAP Report'!C:C)</f>
        <v>0</v>
      </c>
      <c r="AA87" s="1">
        <f>HLOOKUP($A$4,$AV$6:$BG87,(2+BH86),FALSE)</f>
        <v>0</v>
      </c>
      <c r="AB87" s="1">
        <f>SUMIF('Open PR PO'!A:A,Monitoring!A87,'Open PR PO'!K:K)</f>
        <v>0</v>
      </c>
      <c r="AC87" s="1">
        <f t="shared" si="62"/>
        <v>0</v>
      </c>
      <c r="AD87" s="1">
        <f t="shared" si="63"/>
        <v>0</v>
      </c>
      <c r="AE87" s="1">
        <f t="shared" si="64"/>
        <v>0</v>
      </c>
      <c r="AF87" s="1"/>
      <c r="AG87" s="53">
        <f>SUMIFS(Actual!$F:$F,Actual!$N:$N,Monitoring!AG$6,Actual!$A:$A,Monitoring!$A87)</f>
        <v>0</v>
      </c>
      <c r="AH87" s="53">
        <f>SUMIFS(Actual!$F:$F,Actual!$N:$N,Monitoring!AH$6,Actual!$A:$A,Monitoring!$A87)</f>
        <v>0</v>
      </c>
      <c r="AI87" s="53">
        <f>SUMIFS(Actual!$F:$F,Actual!$N:$N,Monitoring!AI$6,Actual!$A:$A,Monitoring!$A87)</f>
        <v>0</v>
      </c>
      <c r="AJ87" s="53">
        <f>SUMIFS(Actual!$F:$F,Actual!$N:$N,Monitoring!AJ$6,Actual!$A:$A,Monitoring!$A87)</f>
        <v>0</v>
      </c>
      <c r="AK87" s="53">
        <f>SUMIFS(Actual!$F:$F,Actual!$N:$N,Monitoring!AK$6,Actual!$A:$A,Monitoring!$A87)</f>
        <v>0</v>
      </c>
      <c r="AL87" s="53">
        <f>SUMIFS(Actual!$F:$F,Actual!$N:$N,Monitoring!AL$6,Actual!$A:$A,Monitoring!$A87)</f>
        <v>0</v>
      </c>
      <c r="AM87" s="53">
        <f>SUMIFS(Actual!$F:$F,Actual!$N:$N,Monitoring!AM$6,Actual!$A:$A,Monitoring!$A87)</f>
        <v>0</v>
      </c>
      <c r="AN87" s="53">
        <f>SUMIFS(Actual!$F:$F,Actual!$N:$N,Monitoring!AN$6,Actual!$A:$A,Monitoring!$A87)</f>
        <v>0</v>
      </c>
      <c r="AO87" s="53">
        <f>SUMIFS(Actual!$F:$F,Actual!$N:$N,Monitoring!AO$6,Actual!$A:$A,Monitoring!$A87)</f>
        <v>0</v>
      </c>
      <c r="AP87" s="53">
        <f t="shared" si="44"/>
        <v>0</v>
      </c>
      <c r="AQ87" s="53">
        <f t="shared" si="45"/>
        <v>0</v>
      </c>
      <c r="AR87" s="53">
        <f t="shared" si="46"/>
        <v>0</v>
      </c>
      <c r="AS87" s="1">
        <f t="shared" si="47"/>
        <v>0</v>
      </c>
      <c r="AT87" s="12">
        <f t="shared" si="48"/>
        <v>0</v>
      </c>
      <c r="AU87" s="1"/>
      <c r="AV87" s="53">
        <f t="shared" si="49"/>
        <v>0</v>
      </c>
      <c r="AW87" s="1">
        <f t="shared" si="50"/>
        <v>0</v>
      </c>
      <c r="AX87" s="1">
        <f t="shared" si="51"/>
        <v>0</v>
      </c>
      <c r="AY87" s="1">
        <f t="shared" si="52"/>
        <v>0</v>
      </c>
      <c r="AZ87" s="1">
        <f t="shared" si="53"/>
        <v>0</v>
      </c>
      <c r="BA87" s="1">
        <f t="shared" si="54"/>
        <v>0</v>
      </c>
      <c r="BB87" s="1">
        <f t="shared" si="55"/>
        <v>0</v>
      </c>
      <c r="BC87" s="1">
        <f t="shared" si="56"/>
        <v>0</v>
      </c>
      <c r="BD87" s="1">
        <f t="shared" si="57"/>
        <v>0</v>
      </c>
      <c r="BE87" s="1">
        <f t="shared" si="58"/>
        <v>0</v>
      </c>
      <c r="BF87" s="1">
        <f t="shared" si="59"/>
        <v>0</v>
      </c>
      <c r="BG87" s="1">
        <f t="shared" si="60"/>
        <v>0</v>
      </c>
      <c r="BH87">
        <f t="shared" si="61"/>
        <v>81</v>
      </c>
    </row>
    <row r="88" spans="1:60" x14ac:dyDescent="0.35">
      <c r="A88">
        <v>10001411</v>
      </c>
      <c r="B88" t="str">
        <f t="shared" si="41"/>
        <v>SC1 REHABILITATION OF COMMON AREA CR</v>
      </c>
      <c r="C88" t="s">
        <v>93</v>
      </c>
      <c r="D88" t="s">
        <v>93</v>
      </c>
      <c r="E88" t="s">
        <v>29</v>
      </c>
      <c r="F88" s="72" t="s">
        <v>1814</v>
      </c>
      <c r="G88" t="s">
        <v>1</v>
      </c>
      <c r="H88" t="s">
        <v>230</v>
      </c>
      <c r="I88">
        <v>1100</v>
      </c>
      <c r="J88" t="s">
        <v>670</v>
      </c>
      <c r="K88" s="3">
        <f t="shared" si="65"/>
        <v>36</v>
      </c>
      <c r="L88" s="3" t="str">
        <f t="shared" si="66"/>
        <v>8100</v>
      </c>
      <c r="M88">
        <v>81322201</v>
      </c>
      <c r="N88" s="3" t="str">
        <f>_xlfn.XLOOKUP(M88,[2]Sheet1!$A:$A,[2]Sheet1!$D:$D)</f>
        <v>SC 1 - OFFICE</v>
      </c>
      <c r="O88" t="s">
        <v>665</v>
      </c>
      <c r="P88" t="s">
        <v>91</v>
      </c>
      <c r="Q88" s="2" t="s">
        <v>669</v>
      </c>
      <c r="R88" s="1">
        <v>1000000</v>
      </c>
      <c r="S88" s="63">
        <v>46358</v>
      </c>
      <c r="T88" t="str">
        <f>_xlfn.XLOOKUP(M88,[2]Sheet1!$A:$A,[2]Sheet1!$E:$E)</f>
        <v>OFFICES</v>
      </c>
      <c r="U88" s="63" t="s">
        <v>22</v>
      </c>
      <c r="V88" s="63" t="s">
        <v>27</v>
      </c>
      <c r="W88" s="63" t="s">
        <v>658</v>
      </c>
      <c r="X88" s="63" t="s">
        <v>682</v>
      </c>
      <c r="Z88" s="1">
        <f>_xlfn.XLOOKUP(A88,'SAP Report'!A:A,'SAP Report'!C:C)</f>
        <v>1000000</v>
      </c>
      <c r="AA88" s="1">
        <f>HLOOKUP($A$4,$AV$6:$BG88,(2+BH87),FALSE)</f>
        <v>0</v>
      </c>
      <c r="AB88" s="1">
        <f>SUMIF('Open PR PO'!A:A,Monitoring!A88,'Open PR PO'!K:K)</f>
        <v>1000000</v>
      </c>
      <c r="AC88" s="1">
        <f t="shared" si="62"/>
        <v>1000000</v>
      </c>
      <c r="AD88" s="1">
        <f t="shared" si="63"/>
        <v>0</v>
      </c>
      <c r="AE88" s="1">
        <f t="shared" si="64"/>
        <v>1000000</v>
      </c>
      <c r="AF88" s="1"/>
      <c r="AG88" s="53">
        <f>SUMIFS(Actual!$F:$F,Actual!$N:$N,Monitoring!AG$6,Actual!$A:$A,Monitoring!$A88)</f>
        <v>0</v>
      </c>
      <c r="AH88" s="53">
        <f>SUMIFS(Actual!$F:$F,Actual!$N:$N,Monitoring!AH$6,Actual!$A:$A,Monitoring!$A88)</f>
        <v>0</v>
      </c>
      <c r="AI88" s="53">
        <f>SUMIFS(Actual!$F:$F,Actual!$N:$N,Monitoring!AI$6,Actual!$A:$A,Monitoring!$A88)</f>
        <v>0</v>
      </c>
      <c r="AJ88" s="53">
        <f>SUMIFS(Actual!$F:$F,Actual!$N:$N,Monitoring!AJ$6,Actual!$A:$A,Monitoring!$A88)</f>
        <v>0</v>
      </c>
      <c r="AK88" s="53">
        <f>SUMIFS(Actual!$F:$F,Actual!$N:$N,Monitoring!AK$6,Actual!$A:$A,Monitoring!$A88)</f>
        <v>0</v>
      </c>
      <c r="AL88" s="53">
        <f>SUMIFS(Actual!$F:$F,Actual!$N:$N,Monitoring!AL$6,Actual!$A:$A,Monitoring!$A88)</f>
        <v>0</v>
      </c>
      <c r="AM88" s="53">
        <f>SUMIFS(Actual!$F:$F,Actual!$N:$N,Monitoring!AM$6,Actual!$A:$A,Monitoring!$A88)</f>
        <v>0</v>
      </c>
      <c r="AN88" s="53">
        <f>SUMIFS(Actual!$F:$F,Actual!$N:$N,Monitoring!AN$6,Actual!$A:$A,Monitoring!$A88)</f>
        <v>0</v>
      </c>
      <c r="AO88" s="53">
        <f>SUMIFS(Actual!$F:$F,Actual!$N:$N,Monitoring!AO$6,Actual!$A:$A,Monitoring!$A88)</f>
        <v>0</v>
      </c>
      <c r="AP88" s="53">
        <f t="shared" si="44"/>
        <v>1000000</v>
      </c>
      <c r="AQ88" s="53">
        <f t="shared" si="45"/>
        <v>0</v>
      </c>
      <c r="AR88" s="53">
        <f t="shared" si="46"/>
        <v>0</v>
      </c>
      <c r="AS88" s="1">
        <f t="shared" si="47"/>
        <v>1000000</v>
      </c>
      <c r="AT88" s="12">
        <f t="shared" si="48"/>
        <v>0</v>
      </c>
      <c r="AU88" s="1"/>
      <c r="AV88" s="53">
        <f t="shared" si="49"/>
        <v>0</v>
      </c>
      <c r="AW88" s="1">
        <f t="shared" si="50"/>
        <v>0</v>
      </c>
      <c r="AX88" s="1">
        <f t="shared" si="51"/>
        <v>0</v>
      </c>
      <c r="AY88" s="1">
        <f t="shared" si="52"/>
        <v>0</v>
      </c>
      <c r="AZ88" s="1">
        <f t="shared" si="53"/>
        <v>0</v>
      </c>
      <c r="BA88" s="1">
        <f t="shared" si="54"/>
        <v>0</v>
      </c>
      <c r="BB88" s="1">
        <f t="shared" si="55"/>
        <v>0</v>
      </c>
      <c r="BC88" s="1">
        <f t="shared" si="56"/>
        <v>0</v>
      </c>
      <c r="BD88" s="1">
        <f t="shared" si="57"/>
        <v>0</v>
      </c>
      <c r="BE88" s="1">
        <f t="shared" si="58"/>
        <v>1000000</v>
      </c>
      <c r="BF88" s="1">
        <f t="shared" si="59"/>
        <v>1000000</v>
      </c>
      <c r="BG88" s="1">
        <f t="shared" si="60"/>
        <v>1000000</v>
      </c>
      <c r="BH88">
        <f t="shared" si="61"/>
        <v>82</v>
      </c>
    </row>
    <row r="89" spans="1:60" x14ac:dyDescent="0.35">
      <c r="A89">
        <v>10001412</v>
      </c>
      <c r="B89" t="str">
        <f t="shared" si="41"/>
        <v>SC1 REINSULATION OF AHU DUCTING (5 UNITS)</v>
      </c>
      <c r="C89" t="s">
        <v>93</v>
      </c>
      <c r="D89" t="s">
        <v>93</v>
      </c>
      <c r="E89" t="s">
        <v>693</v>
      </c>
      <c r="F89" s="72" t="s">
        <v>1814</v>
      </c>
      <c r="G89" t="s">
        <v>1</v>
      </c>
      <c r="H89" t="s">
        <v>255</v>
      </c>
      <c r="I89">
        <v>1110</v>
      </c>
      <c r="J89" t="s">
        <v>671</v>
      </c>
      <c r="K89" s="3">
        <f t="shared" si="65"/>
        <v>41</v>
      </c>
      <c r="L89" s="3" t="str">
        <f t="shared" si="66"/>
        <v>8100</v>
      </c>
      <c r="M89">
        <v>81322201</v>
      </c>
      <c r="N89" s="3" t="str">
        <f>_xlfn.XLOOKUP(M89,[2]Sheet1!$A:$A,[2]Sheet1!$D:$D)</f>
        <v>SC 1 - OFFICE</v>
      </c>
      <c r="O89" t="s">
        <v>668</v>
      </c>
      <c r="P89" t="s">
        <v>91</v>
      </c>
      <c r="Q89" s="2" t="s">
        <v>785</v>
      </c>
      <c r="R89" s="1">
        <f>1000000-1000000</f>
        <v>0</v>
      </c>
      <c r="S89" s="63">
        <v>46358</v>
      </c>
      <c r="T89" t="str">
        <f>_xlfn.XLOOKUP(M89,[2]Sheet1!$A:$A,[2]Sheet1!$E:$E)</f>
        <v>OFFICES</v>
      </c>
      <c r="U89" s="63" t="s">
        <v>22</v>
      </c>
      <c r="V89" s="63" t="s">
        <v>27</v>
      </c>
      <c r="W89" s="63" t="s">
        <v>658</v>
      </c>
      <c r="X89" s="63" t="s">
        <v>878</v>
      </c>
      <c r="Z89" s="1">
        <f>_xlfn.XLOOKUP(A89,'SAP Report'!A:A,'SAP Report'!C:C)</f>
        <v>0</v>
      </c>
      <c r="AA89" s="1">
        <f>HLOOKUP($A$4,$AV$6:$BG89,(2+BH88),FALSE)</f>
        <v>0</v>
      </c>
      <c r="AB89" s="1">
        <f>SUMIF('Open PR PO'!A:A,Monitoring!A89,'Open PR PO'!K:K)</f>
        <v>0</v>
      </c>
      <c r="AC89" s="1">
        <f t="shared" si="62"/>
        <v>0</v>
      </c>
      <c r="AD89" s="1">
        <f t="shared" si="63"/>
        <v>0</v>
      </c>
      <c r="AE89" s="1">
        <f t="shared" si="64"/>
        <v>0</v>
      </c>
      <c r="AF89" s="1"/>
      <c r="AG89" s="53">
        <f>SUMIFS(Actual!$F:$F,Actual!$N:$N,Monitoring!AG$6,Actual!$A:$A,Monitoring!$A89)</f>
        <v>0</v>
      </c>
      <c r="AH89" s="53">
        <f>SUMIFS(Actual!$F:$F,Actual!$N:$N,Monitoring!AH$6,Actual!$A:$A,Monitoring!$A89)</f>
        <v>0</v>
      </c>
      <c r="AI89" s="53">
        <f>SUMIFS(Actual!$F:$F,Actual!$N:$N,Monitoring!AI$6,Actual!$A:$A,Monitoring!$A89)</f>
        <v>0</v>
      </c>
      <c r="AJ89" s="53">
        <f>SUMIFS(Actual!$F:$F,Actual!$N:$N,Monitoring!AJ$6,Actual!$A:$A,Monitoring!$A89)</f>
        <v>0</v>
      </c>
      <c r="AK89" s="53">
        <f>SUMIFS(Actual!$F:$F,Actual!$N:$N,Monitoring!AK$6,Actual!$A:$A,Monitoring!$A89)</f>
        <v>0</v>
      </c>
      <c r="AL89" s="53">
        <f>SUMIFS(Actual!$F:$F,Actual!$N:$N,Monitoring!AL$6,Actual!$A:$A,Monitoring!$A89)</f>
        <v>0</v>
      </c>
      <c r="AM89" s="53">
        <f>SUMIFS(Actual!$F:$F,Actual!$N:$N,Monitoring!AM$6,Actual!$A:$A,Monitoring!$A89)</f>
        <v>0</v>
      </c>
      <c r="AN89" s="53">
        <f>SUMIFS(Actual!$F:$F,Actual!$N:$N,Monitoring!AN$6,Actual!$A:$A,Monitoring!$A89)</f>
        <v>0</v>
      </c>
      <c r="AO89" s="53">
        <f>SUMIFS(Actual!$F:$F,Actual!$N:$N,Monitoring!AO$6,Actual!$A:$A,Monitoring!$A89)</f>
        <v>0</v>
      </c>
      <c r="AP89" s="53">
        <f t="shared" si="44"/>
        <v>0</v>
      </c>
      <c r="AQ89" s="53">
        <f t="shared" si="45"/>
        <v>0</v>
      </c>
      <c r="AR89" s="53">
        <f t="shared" si="46"/>
        <v>0</v>
      </c>
      <c r="AS89" s="1">
        <f t="shared" si="47"/>
        <v>0</v>
      </c>
      <c r="AT89" s="12">
        <f t="shared" si="48"/>
        <v>0</v>
      </c>
      <c r="AU89" s="1"/>
      <c r="AV89" s="53">
        <f t="shared" si="49"/>
        <v>0</v>
      </c>
      <c r="AW89" s="1">
        <f t="shared" si="50"/>
        <v>0</v>
      </c>
      <c r="AX89" s="1">
        <f t="shared" si="51"/>
        <v>0</v>
      </c>
      <c r="AY89" s="1">
        <f t="shared" si="52"/>
        <v>0</v>
      </c>
      <c r="AZ89" s="1">
        <f t="shared" si="53"/>
        <v>0</v>
      </c>
      <c r="BA89" s="1">
        <f t="shared" si="54"/>
        <v>0</v>
      </c>
      <c r="BB89" s="1">
        <f t="shared" si="55"/>
        <v>0</v>
      </c>
      <c r="BC89" s="1">
        <f t="shared" si="56"/>
        <v>0</v>
      </c>
      <c r="BD89" s="1">
        <f t="shared" si="57"/>
        <v>0</v>
      </c>
      <c r="BE89" s="1">
        <f t="shared" si="58"/>
        <v>0</v>
      </c>
      <c r="BF89" s="1">
        <f t="shared" si="59"/>
        <v>0</v>
      </c>
      <c r="BG89" s="1">
        <f t="shared" si="60"/>
        <v>0</v>
      </c>
      <c r="BH89">
        <f t="shared" si="61"/>
        <v>83</v>
      </c>
    </row>
    <row r="90" spans="1:60" x14ac:dyDescent="0.35">
      <c r="A90">
        <v>10001364</v>
      </c>
      <c r="B90" t="str">
        <f t="shared" si="41"/>
        <v>SC1 STP REHABILITATION WORKS</v>
      </c>
      <c r="C90" t="s">
        <v>93</v>
      </c>
      <c r="D90" t="s">
        <v>93</v>
      </c>
      <c r="E90" t="s">
        <v>684</v>
      </c>
      <c r="F90" s="72" t="s">
        <v>1814</v>
      </c>
      <c r="G90" t="s">
        <v>1</v>
      </c>
      <c r="H90" t="s">
        <v>225</v>
      </c>
      <c r="I90">
        <v>1100</v>
      </c>
      <c r="J90" t="s">
        <v>672</v>
      </c>
      <c r="K90" s="3">
        <f t="shared" si="65"/>
        <v>28</v>
      </c>
      <c r="L90" s="3" t="str">
        <f t="shared" si="66"/>
        <v>8100</v>
      </c>
      <c r="M90">
        <v>81322201</v>
      </c>
      <c r="N90" s="3" t="str">
        <f>_xlfn.XLOOKUP(M90,[2]Sheet1!$A:$A,[2]Sheet1!$D:$D)</f>
        <v>SC 1 - OFFICE</v>
      </c>
      <c r="O90" t="s">
        <v>668</v>
      </c>
      <c r="P90" t="s">
        <v>91</v>
      </c>
      <c r="Q90" s="2" t="s">
        <v>669</v>
      </c>
      <c r="R90" s="1">
        <v>3191964.29</v>
      </c>
      <c r="S90" s="63">
        <v>46358</v>
      </c>
      <c r="T90" t="str">
        <f>_xlfn.XLOOKUP(M90,[2]Sheet1!$A:$A,[2]Sheet1!$E:$E)</f>
        <v>OFFICES</v>
      </c>
      <c r="U90" s="63" t="s">
        <v>22</v>
      </c>
      <c r="V90" s="63" t="s">
        <v>27</v>
      </c>
      <c r="W90" s="63" t="s">
        <v>658</v>
      </c>
      <c r="X90" s="66" t="s">
        <v>680</v>
      </c>
      <c r="Z90" s="1">
        <f>_xlfn.XLOOKUP(A90,'SAP Report'!A:A,'SAP Report'!C:C)</f>
        <v>3493750</v>
      </c>
      <c r="AA90" s="1">
        <f>HLOOKUP($A$4,$AV$6:$BG90,(2+BH89),FALSE)</f>
        <v>3082801.3499999996</v>
      </c>
      <c r="AB90" s="1">
        <f>SUMIF('Open PR PO'!A:A,Monitoring!A90,'Open PR PO'!K:K)</f>
        <v>342533.48</v>
      </c>
      <c r="AC90" s="1">
        <f t="shared" si="62"/>
        <v>3425334.8299999996</v>
      </c>
      <c r="AD90" s="1">
        <f t="shared" si="63"/>
        <v>68415.170000000391</v>
      </c>
      <c r="AE90" s="1">
        <f t="shared" si="64"/>
        <v>410948.65000000037</v>
      </c>
      <c r="AF90" s="1"/>
      <c r="AG90" s="53">
        <f>SUMIFS(Actual!$F:$F,Actual!$N:$N,Monitoring!AG$6,Actual!$A:$A,Monitoring!$A90)</f>
        <v>0</v>
      </c>
      <c r="AH90" s="53">
        <f>SUMIFS(Actual!$F:$F,Actual!$N:$N,Monitoring!AH$6,Actual!$A:$A,Monitoring!$A90)</f>
        <v>0</v>
      </c>
      <c r="AI90" s="53">
        <f>SUMIFS(Actual!$F:$F,Actual!$N:$N,Monitoring!AI$6,Actual!$A:$A,Monitoring!$A90)</f>
        <v>0</v>
      </c>
      <c r="AJ90" s="53">
        <f>SUMIFS(Actual!$F:$F,Actual!$N:$N,Monitoring!AJ$6,Actual!$A:$A,Monitoring!$A90)</f>
        <v>1027600.45</v>
      </c>
      <c r="AK90" s="53">
        <f>SUMIFS(Actual!$F:$F,Actual!$N:$N,Monitoring!AK$6,Actual!$A:$A,Monitoring!$A90)</f>
        <v>0</v>
      </c>
      <c r="AL90" s="53">
        <f>SUMIFS(Actual!$F:$F,Actual!$N:$N,Monitoring!AL$6,Actual!$A:$A,Monitoring!$A90)</f>
        <v>1027600.45</v>
      </c>
      <c r="AM90" s="53">
        <f>SUMIFS(Actual!$F:$F,Actual!$N:$N,Monitoring!AM$6,Actual!$A:$A,Monitoring!$A90)</f>
        <v>0</v>
      </c>
      <c r="AN90" s="53">
        <f>SUMIFS(Actual!$F:$F,Actual!$N:$N,Monitoring!AN$6,Actual!$A:$A,Monitoring!$A90)</f>
        <v>0</v>
      </c>
      <c r="AO90" s="53">
        <f>SUMIFS(Actual!$F:$F,Actual!$N:$N,Monitoring!AO$6,Actual!$A:$A,Monitoring!$A90)</f>
        <v>1027600.45</v>
      </c>
      <c r="AP90" s="53">
        <f t="shared" si="44"/>
        <v>342533.48</v>
      </c>
      <c r="AQ90" s="53">
        <f t="shared" si="45"/>
        <v>34207.585000000196</v>
      </c>
      <c r="AR90" s="53">
        <f t="shared" si="46"/>
        <v>34207.585000000196</v>
      </c>
      <c r="AS90" s="1">
        <f t="shared" si="47"/>
        <v>3493750</v>
      </c>
      <c r="AT90" s="12">
        <f t="shared" si="48"/>
        <v>0</v>
      </c>
      <c r="AU90" s="1"/>
      <c r="AV90" s="53">
        <f t="shared" si="49"/>
        <v>0</v>
      </c>
      <c r="AW90" s="1">
        <f t="shared" si="50"/>
        <v>0</v>
      </c>
      <c r="AX90" s="1">
        <f t="shared" si="51"/>
        <v>0</v>
      </c>
      <c r="AY90" s="1">
        <f t="shared" si="52"/>
        <v>1027600.45</v>
      </c>
      <c r="AZ90" s="1">
        <f t="shared" si="53"/>
        <v>1027600.45</v>
      </c>
      <c r="BA90" s="1">
        <f t="shared" si="54"/>
        <v>2055200.9</v>
      </c>
      <c r="BB90" s="1">
        <f t="shared" si="55"/>
        <v>2055200.9</v>
      </c>
      <c r="BC90" s="1">
        <f t="shared" si="56"/>
        <v>2055200.9</v>
      </c>
      <c r="BD90" s="1">
        <f t="shared" si="57"/>
        <v>3082801.3499999996</v>
      </c>
      <c r="BE90" s="1">
        <f t="shared" si="58"/>
        <v>3425334.8299999996</v>
      </c>
      <c r="BF90" s="1">
        <f t="shared" si="59"/>
        <v>3459542.415</v>
      </c>
      <c r="BG90" s="1">
        <f t="shared" si="60"/>
        <v>3493750</v>
      </c>
      <c r="BH90">
        <f t="shared" si="61"/>
        <v>84</v>
      </c>
    </row>
    <row r="91" spans="1:60" x14ac:dyDescent="0.35">
      <c r="A91">
        <v>10001406</v>
      </c>
      <c r="B91" t="str">
        <f t="shared" si="41"/>
        <v>SC1A ROOFDECK WATERPROOFING</v>
      </c>
      <c r="C91" t="s">
        <v>93</v>
      </c>
      <c r="D91" t="s">
        <v>93</v>
      </c>
      <c r="E91" t="s">
        <v>683</v>
      </c>
      <c r="F91" s="72" t="s">
        <v>1814</v>
      </c>
      <c r="G91" t="s">
        <v>1</v>
      </c>
      <c r="H91" t="s">
        <v>233</v>
      </c>
      <c r="I91">
        <v>1100</v>
      </c>
      <c r="J91" t="s">
        <v>234</v>
      </c>
      <c r="K91" s="3">
        <f t="shared" si="65"/>
        <v>27</v>
      </c>
      <c r="L91" s="3" t="str">
        <f t="shared" si="66"/>
        <v>8100</v>
      </c>
      <c r="M91">
        <v>81322204</v>
      </c>
      <c r="N91" s="3" t="str">
        <f>_xlfn.XLOOKUP(M91,[2]Sheet1!$A:$A,[2]Sheet1!$D:$D)</f>
        <v>SILVER CITY 1A</v>
      </c>
      <c r="O91" t="s">
        <v>668</v>
      </c>
      <c r="P91" t="s">
        <v>91</v>
      </c>
      <c r="Q91" s="2" t="s">
        <v>673</v>
      </c>
      <c r="R91" s="1">
        <v>2000000</v>
      </c>
      <c r="S91" s="63">
        <v>46358</v>
      </c>
      <c r="T91" t="str">
        <f>_xlfn.XLOOKUP(M91,[2]Sheet1!$A:$A,[2]Sheet1!$E:$E)</f>
        <v>OFFICES</v>
      </c>
      <c r="U91" s="63" t="s">
        <v>22</v>
      </c>
      <c r="V91" s="63" t="s">
        <v>27</v>
      </c>
      <c r="W91" s="63" t="s">
        <v>658</v>
      </c>
      <c r="X91" s="63" t="s">
        <v>677</v>
      </c>
      <c r="Z91" s="1">
        <f>_xlfn.XLOOKUP(A91,'SAP Report'!A:A,'SAP Report'!C:C)</f>
        <v>2000000</v>
      </c>
      <c r="AA91" s="1">
        <f>HLOOKUP($A$4,$AV$6:$BG91,(2+BH90),FALSE)</f>
        <v>0</v>
      </c>
      <c r="AB91" s="1">
        <f>SUMIF('Open PR PO'!A:A,Monitoring!A91,'Open PR PO'!K:K)</f>
        <v>1294642.8600000001</v>
      </c>
      <c r="AC91" s="1">
        <f t="shared" si="62"/>
        <v>1294642.8600000001</v>
      </c>
      <c r="AD91" s="1">
        <f t="shared" si="63"/>
        <v>705357.1399999999</v>
      </c>
      <c r="AE91" s="1">
        <f t="shared" si="64"/>
        <v>2000000</v>
      </c>
      <c r="AF91" s="1"/>
      <c r="AG91" s="53">
        <f>SUMIFS(Actual!$F:$F,Actual!$N:$N,Monitoring!AG$6,Actual!$A:$A,Monitoring!$A91)</f>
        <v>0</v>
      </c>
      <c r="AH91" s="53">
        <f>SUMIFS(Actual!$F:$F,Actual!$N:$N,Monitoring!AH$6,Actual!$A:$A,Monitoring!$A91)</f>
        <v>0</v>
      </c>
      <c r="AI91" s="53">
        <f>SUMIFS(Actual!$F:$F,Actual!$N:$N,Monitoring!AI$6,Actual!$A:$A,Monitoring!$A91)</f>
        <v>0</v>
      </c>
      <c r="AJ91" s="53">
        <f>SUMIFS(Actual!$F:$F,Actual!$N:$N,Monitoring!AJ$6,Actual!$A:$A,Monitoring!$A91)</f>
        <v>0</v>
      </c>
      <c r="AK91" s="53">
        <f>SUMIFS(Actual!$F:$F,Actual!$N:$N,Monitoring!AK$6,Actual!$A:$A,Monitoring!$A91)</f>
        <v>0</v>
      </c>
      <c r="AL91" s="53">
        <f>SUMIFS(Actual!$F:$F,Actual!$N:$N,Monitoring!AL$6,Actual!$A:$A,Monitoring!$A91)</f>
        <v>0</v>
      </c>
      <c r="AM91" s="53">
        <f>SUMIFS(Actual!$F:$F,Actual!$N:$N,Monitoring!AM$6,Actual!$A:$A,Monitoring!$A91)</f>
        <v>0</v>
      </c>
      <c r="AN91" s="53">
        <f>SUMIFS(Actual!$F:$F,Actual!$N:$N,Monitoring!AN$6,Actual!$A:$A,Monitoring!$A91)</f>
        <v>0</v>
      </c>
      <c r="AO91" s="53">
        <f>SUMIFS(Actual!$F:$F,Actual!$N:$N,Monitoring!AO$6,Actual!$A:$A,Monitoring!$A91)</f>
        <v>0</v>
      </c>
      <c r="AP91" s="53">
        <f t="shared" si="44"/>
        <v>1294642.8600000001</v>
      </c>
      <c r="AQ91" s="53">
        <f t="shared" si="45"/>
        <v>352678.56999999995</v>
      </c>
      <c r="AR91" s="53">
        <f t="shared" si="46"/>
        <v>352678.56999999995</v>
      </c>
      <c r="AS91" s="1">
        <f t="shared" si="47"/>
        <v>2000000</v>
      </c>
      <c r="AT91" s="12">
        <f t="shared" si="48"/>
        <v>0</v>
      </c>
      <c r="AU91" s="1"/>
      <c r="AV91" s="53">
        <f t="shared" si="49"/>
        <v>0</v>
      </c>
      <c r="AW91" s="1">
        <f t="shared" si="50"/>
        <v>0</v>
      </c>
      <c r="AX91" s="1">
        <f t="shared" si="51"/>
        <v>0</v>
      </c>
      <c r="AY91" s="1">
        <f t="shared" si="52"/>
        <v>0</v>
      </c>
      <c r="AZ91" s="1">
        <f t="shared" si="53"/>
        <v>0</v>
      </c>
      <c r="BA91" s="1">
        <f t="shared" si="54"/>
        <v>0</v>
      </c>
      <c r="BB91" s="1">
        <f t="shared" si="55"/>
        <v>0</v>
      </c>
      <c r="BC91" s="1">
        <f t="shared" si="56"/>
        <v>0</v>
      </c>
      <c r="BD91" s="1">
        <f t="shared" si="57"/>
        <v>0</v>
      </c>
      <c r="BE91" s="1">
        <f t="shared" si="58"/>
        <v>1294642.8600000001</v>
      </c>
      <c r="BF91" s="1">
        <f t="shared" si="59"/>
        <v>1647321.4300000002</v>
      </c>
      <c r="BG91" s="1">
        <f t="shared" si="60"/>
        <v>2000000</v>
      </c>
      <c r="BH91">
        <f t="shared" si="61"/>
        <v>85</v>
      </c>
    </row>
    <row r="92" spans="1:60" x14ac:dyDescent="0.35">
      <c r="A92">
        <v>10001413</v>
      </c>
      <c r="B92" t="str">
        <f t="shared" si="41"/>
        <v>ENS ROOFDECK WATERPROOFING REPAIR</v>
      </c>
      <c r="C92" t="s">
        <v>93</v>
      </c>
      <c r="D92" t="s">
        <v>93</v>
      </c>
      <c r="E92" t="s">
        <v>683</v>
      </c>
      <c r="F92" s="72" t="s">
        <v>1814</v>
      </c>
      <c r="G92" t="s">
        <v>1</v>
      </c>
      <c r="H92" t="s">
        <v>197</v>
      </c>
      <c r="I92">
        <v>1100</v>
      </c>
      <c r="J92" t="s">
        <v>198</v>
      </c>
      <c r="K92" s="3">
        <f t="shared" si="65"/>
        <v>33</v>
      </c>
      <c r="L92" s="3" t="str">
        <f t="shared" si="66"/>
        <v>8100</v>
      </c>
      <c r="M92">
        <v>81323201</v>
      </c>
      <c r="N92" s="3" t="str">
        <f>_xlfn.XLOOKUP(M92,[2]Sheet1!$A:$A,[2]Sheet1!$D:$D)</f>
        <v>ESTANCIA - OFFICE</v>
      </c>
      <c r="O92" t="s">
        <v>685</v>
      </c>
      <c r="P92" t="s">
        <v>91</v>
      </c>
      <c r="Q92" s="2" t="s">
        <v>3217</v>
      </c>
      <c r="R92" s="1">
        <f>2000000+886000+293000</f>
        <v>3179000</v>
      </c>
      <c r="S92" s="63" t="s">
        <v>686</v>
      </c>
      <c r="T92" t="str">
        <f>_xlfn.XLOOKUP(M92,[2]Sheet1!$A:$A,[2]Sheet1!$E:$E)</f>
        <v>OFFICES</v>
      </c>
      <c r="U92" s="64" t="s">
        <v>696</v>
      </c>
      <c r="V92" s="63" t="s">
        <v>663</v>
      </c>
      <c r="W92" s="63" t="s">
        <v>686</v>
      </c>
      <c r="X92" s="63" t="s">
        <v>3218</v>
      </c>
      <c r="Z92" s="1">
        <f>_xlfn.XLOOKUP(A92,'SAP Report'!A:A,'SAP Report'!C:C)</f>
        <v>3179000</v>
      </c>
      <c r="AA92" s="1">
        <f>HLOOKUP($A$4,$AV$6:$BG92,(2+BH91),FALSE)</f>
        <v>0</v>
      </c>
      <c r="AB92" s="1">
        <f>SUMIF('Open PR PO'!A:A,Monitoring!A92,'Open PR PO'!K:K)</f>
        <v>2576530.61</v>
      </c>
      <c r="AC92" s="1">
        <f t="shared" si="62"/>
        <v>2576530.61</v>
      </c>
      <c r="AD92" s="1">
        <f t="shared" si="63"/>
        <v>602469.39000000013</v>
      </c>
      <c r="AE92" s="1">
        <f t="shared" si="64"/>
        <v>3179000</v>
      </c>
      <c r="AF92" s="1"/>
      <c r="AG92" s="53">
        <f>SUMIFS(Actual!$F:$F,Actual!$N:$N,Monitoring!AG$6,Actual!$A:$A,Monitoring!$A92)</f>
        <v>0</v>
      </c>
      <c r="AH92" s="53">
        <f>SUMIFS(Actual!$F:$F,Actual!$N:$N,Monitoring!AH$6,Actual!$A:$A,Monitoring!$A92)</f>
        <v>0</v>
      </c>
      <c r="AI92" s="53">
        <f>SUMIFS(Actual!$F:$F,Actual!$N:$N,Monitoring!AI$6,Actual!$A:$A,Monitoring!$A92)</f>
        <v>0</v>
      </c>
      <c r="AJ92" s="53">
        <f>SUMIFS(Actual!$F:$F,Actual!$N:$N,Monitoring!AJ$6,Actual!$A:$A,Monitoring!$A92)</f>
        <v>0</v>
      </c>
      <c r="AK92" s="53">
        <f>SUMIFS(Actual!$F:$F,Actual!$N:$N,Monitoring!AK$6,Actual!$A:$A,Monitoring!$A92)</f>
        <v>0</v>
      </c>
      <c r="AL92" s="53">
        <f>SUMIFS(Actual!$F:$F,Actual!$N:$N,Monitoring!AL$6,Actual!$A:$A,Monitoring!$A92)</f>
        <v>0</v>
      </c>
      <c r="AM92" s="53">
        <f>SUMIFS(Actual!$F:$F,Actual!$N:$N,Monitoring!AM$6,Actual!$A:$A,Monitoring!$A92)</f>
        <v>0</v>
      </c>
      <c r="AN92" s="53">
        <f>SUMIFS(Actual!$F:$F,Actual!$N:$N,Monitoring!AN$6,Actual!$A:$A,Monitoring!$A92)</f>
        <v>0</v>
      </c>
      <c r="AO92" s="53">
        <f>SUMIFS(Actual!$F:$F,Actual!$N:$N,Monitoring!AO$6,Actual!$A:$A,Monitoring!$A92)</f>
        <v>0</v>
      </c>
      <c r="AP92" s="53">
        <f t="shared" si="44"/>
        <v>2576530.61</v>
      </c>
      <c r="AQ92" s="53">
        <f t="shared" si="45"/>
        <v>301234.69500000007</v>
      </c>
      <c r="AR92" s="53">
        <f t="shared" si="46"/>
        <v>301234.69500000007</v>
      </c>
      <c r="AS92" s="1">
        <f t="shared" si="47"/>
        <v>3179000</v>
      </c>
      <c r="AT92" s="12">
        <f t="shared" si="48"/>
        <v>0</v>
      </c>
      <c r="AU92" s="1"/>
      <c r="AV92" s="53">
        <f t="shared" si="49"/>
        <v>0</v>
      </c>
      <c r="AW92" s="1">
        <f t="shared" si="50"/>
        <v>0</v>
      </c>
      <c r="AX92" s="1">
        <f t="shared" si="51"/>
        <v>0</v>
      </c>
      <c r="AY92" s="1">
        <f t="shared" si="52"/>
        <v>0</v>
      </c>
      <c r="AZ92" s="1">
        <f t="shared" si="53"/>
        <v>0</v>
      </c>
      <c r="BA92" s="1">
        <f t="shared" si="54"/>
        <v>0</v>
      </c>
      <c r="BB92" s="1">
        <f t="shared" si="55"/>
        <v>0</v>
      </c>
      <c r="BC92" s="1">
        <f t="shared" si="56"/>
        <v>0</v>
      </c>
      <c r="BD92" s="1">
        <f t="shared" si="57"/>
        <v>0</v>
      </c>
      <c r="BE92" s="1">
        <f t="shared" si="58"/>
        <v>2576530.61</v>
      </c>
      <c r="BF92" s="1">
        <f t="shared" si="59"/>
        <v>2877765.3049999997</v>
      </c>
      <c r="BG92" s="1">
        <f t="shared" si="60"/>
        <v>3179000</v>
      </c>
      <c r="BH92">
        <f t="shared" si="61"/>
        <v>86</v>
      </c>
    </row>
    <row r="93" spans="1:60" x14ac:dyDescent="0.35">
      <c r="A93">
        <v>10001414</v>
      </c>
      <c r="B93" t="str">
        <f t="shared" si="41"/>
        <v>ENS MAJOR ELEVATOR PARTS REPLACEMENT</v>
      </c>
      <c r="C93" t="s">
        <v>93</v>
      </c>
      <c r="D93" t="s">
        <v>93</v>
      </c>
      <c r="E93" t="s">
        <v>687</v>
      </c>
      <c r="F93" s="72" t="s">
        <v>1814</v>
      </c>
      <c r="G93" t="s">
        <v>1</v>
      </c>
      <c r="H93" t="s">
        <v>200</v>
      </c>
      <c r="I93">
        <v>1110</v>
      </c>
      <c r="J93" t="s">
        <v>688</v>
      </c>
      <c r="K93" s="3">
        <f t="shared" si="65"/>
        <v>36</v>
      </c>
      <c r="L93" s="3" t="str">
        <f t="shared" si="66"/>
        <v>8100</v>
      </c>
      <c r="M93">
        <v>81323201</v>
      </c>
      <c r="N93" s="3" t="str">
        <f>_xlfn.XLOOKUP(M93,[2]Sheet1!$A:$A,[2]Sheet1!$D:$D)</f>
        <v>ESTANCIA - OFFICE</v>
      </c>
      <c r="O93" t="s">
        <v>689</v>
      </c>
      <c r="P93" t="s">
        <v>91</v>
      </c>
      <c r="Q93" s="2" t="s">
        <v>2537</v>
      </c>
      <c r="R93" s="1">
        <f>3000000-645000</f>
        <v>2355000</v>
      </c>
      <c r="S93" s="63" t="s">
        <v>686</v>
      </c>
      <c r="T93" t="str">
        <f>_xlfn.XLOOKUP(M93,[2]Sheet1!$A:$A,[2]Sheet1!$E:$E)</f>
        <v>OFFICES</v>
      </c>
      <c r="U93" s="64" t="s">
        <v>696</v>
      </c>
      <c r="V93" s="63" t="s">
        <v>663</v>
      </c>
      <c r="W93" s="63" t="s">
        <v>686</v>
      </c>
      <c r="X93" s="63" t="s">
        <v>2539</v>
      </c>
      <c r="Z93" s="1">
        <f>_xlfn.XLOOKUP(A93,'SAP Report'!A:A,'SAP Report'!C:C)</f>
        <v>2355000</v>
      </c>
      <c r="AA93" s="1">
        <f>HLOOKUP($A$4,$AV$6:$BG93,(2+BH92),FALSE)</f>
        <v>0</v>
      </c>
      <c r="AB93" s="1">
        <f>SUMIF('Open PR PO'!A:A,Monitoring!A93,'Open PR PO'!K:K)</f>
        <v>1929261.49</v>
      </c>
      <c r="AC93" s="1">
        <f t="shared" si="62"/>
        <v>1929261.49</v>
      </c>
      <c r="AD93" s="1">
        <f t="shared" si="63"/>
        <v>425738.51</v>
      </c>
      <c r="AE93" s="1">
        <f t="shared" si="64"/>
        <v>2355000</v>
      </c>
      <c r="AF93" s="1"/>
      <c r="AG93" s="53">
        <f>SUMIFS(Actual!$F:$F,Actual!$N:$N,Monitoring!AG$6,Actual!$A:$A,Monitoring!$A93)</f>
        <v>0</v>
      </c>
      <c r="AH93" s="53">
        <f>SUMIFS(Actual!$F:$F,Actual!$N:$N,Monitoring!AH$6,Actual!$A:$A,Monitoring!$A93)</f>
        <v>0</v>
      </c>
      <c r="AI93" s="53">
        <f>SUMIFS(Actual!$F:$F,Actual!$N:$N,Monitoring!AI$6,Actual!$A:$A,Monitoring!$A93)</f>
        <v>0</v>
      </c>
      <c r="AJ93" s="53">
        <f>SUMIFS(Actual!$F:$F,Actual!$N:$N,Monitoring!AJ$6,Actual!$A:$A,Monitoring!$A93)</f>
        <v>0</v>
      </c>
      <c r="AK93" s="53">
        <f>SUMIFS(Actual!$F:$F,Actual!$N:$N,Monitoring!AK$6,Actual!$A:$A,Monitoring!$A93)</f>
        <v>0</v>
      </c>
      <c r="AL93" s="53">
        <f>SUMIFS(Actual!$F:$F,Actual!$N:$N,Monitoring!AL$6,Actual!$A:$A,Monitoring!$A93)</f>
        <v>0</v>
      </c>
      <c r="AM93" s="53">
        <f>SUMIFS(Actual!$F:$F,Actual!$N:$N,Monitoring!AM$6,Actual!$A:$A,Monitoring!$A93)</f>
        <v>0</v>
      </c>
      <c r="AN93" s="53">
        <f>SUMIFS(Actual!$F:$F,Actual!$N:$N,Monitoring!AN$6,Actual!$A:$A,Monitoring!$A93)</f>
        <v>0</v>
      </c>
      <c r="AO93" s="53">
        <f>SUMIFS(Actual!$F:$F,Actual!$N:$N,Monitoring!AO$6,Actual!$A:$A,Monitoring!$A93)</f>
        <v>0</v>
      </c>
      <c r="AP93" s="53">
        <f t="shared" si="44"/>
        <v>1929261.49</v>
      </c>
      <c r="AQ93" s="53">
        <f t="shared" si="45"/>
        <v>212869.255</v>
      </c>
      <c r="AR93" s="53">
        <f t="shared" si="46"/>
        <v>212869.255</v>
      </c>
      <c r="AS93" s="1">
        <f t="shared" si="47"/>
        <v>2355000</v>
      </c>
      <c r="AT93" s="12">
        <f t="shared" si="48"/>
        <v>0</v>
      </c>
      <c r="AU93" s="1"/>
      <c r="AV93" s="53">
        <f t="shared" si="49"/>
        <v>0</v>
      </c>
      <c r="AW93" s="1">
        <f t="shared" si="50"/>
        <v>0</v>
      </c>
      <c r="AX93" s="1">
        <f t="shared" si="51"/>
        <v>0</v>
      </c>
      <c r="AY93" s="1">
        <f t="shared" si="52"/>
        <v>0</v>
      </c>
      <c r="AZ93" s="1">
        <f t="shared" si="53"/>
        <v>0</v>
      </c>
      <c r="BA93" s="1">
        <f t="shared" si="54"/>
        <v>0</v>
      </c>
      <c r="BB93" s="1">
        <f t="shared" si="55"/>
        <v>0</v>
      </c>
      <c r="BC93" s="1">
        <f t="shared" si="56"/>
        <v>0</v>
      </c>
      <c r="BD93" s="1">
        <f t="shared" si="57"/>
        <v>0</v>
      </c>
      <c r="BE93" s="1">
        <f t="shared" si="58"/>
        <v>1929261.49</v>
      </c>
      <c r="BF93" s="1">
        <f t="shared" si="59"/>
        <v>2142130.7450000001</v>
      </c>
      <c r="BG93" s="1">
        <f t="shared" si="60"/>
        <v>2355000</v>
      </c>
      <c r="BH93">
        <f t="shared" si="61"/>
        <v>87</v>
      </c>
    </row>
    <row r="94" spans="1:60" x14ac:dyDescent="0.35">
      <c r="A94">
        <v>10001415</v>
      </c>
      <c r="B94" t="str">
        <f t="shared" si="41"/>
        <v>ENS REPLACEMENT OF AHU MOTORIZED VALVES AND THERMOSTAT</v>
      </c>
      <c r="C94" t="s">
        <v>93</v>
      </c>
      <c r="D94" t="s">
        <v>93</v>
      </c>
      <c r="E94" t="s">
        <v>693</v>
      </c>
      <c r="F94" s="72" t="s">
        <v>1814</v>
      </c>
      <c r="G94" t="s">
        <v>1</v>
      </c>
      <c r="H94" t="s">
        <v>251</v>
      </c>
      <c r="I94">
        <v>1110</v>
      </c>
      <c r="J94" t="s">
        <v>690</v>
      </c>
      <c r="K94" s="3">
        <f t="shared" si="65"/>
        <v>54</v>
      </c>
      <c r="L94" s="3" t="str">
        <f t="shared" si="66"/>
        <v>8100</v>
      </c>
      <c r="M94">
        <v>81323201</v>
      </c>
      <c r="N94" s="3" t="str">
        <f>_xlfn.XLOOKUP(M94,[2]Sheet1!$A:$A,[2]Sheet1!$D:$D)</f>
        <v>ESTANCIA - OFFICE</v>
      </c>
      <c r="O94" t="s">
        <v>689</v>
      </c>
      <c r="P94" t="s">
        <v>91</v>
      </c>
      <c r="Q94" s="2" t="s">
        <v>691</v>
      </c>
      <c r="R94" s="1">
        <v>2000000</v>
      </c>
      <c r="S94" s="63" t="s">
        <v>686</v>
      </c>
      <c r="T94" t="str">
        <f>_xlfn.XLOOKUP(M94,[2]Sheet1!$A:$A,[2]Sheet1!$E:$E)</f>
        <v>OFFICES</v>
      </c>
      <c r="U94" s="64" t="s">
        <v>696</v>
      </c>
      <c r="V94" s="63" t="s">
        <v>663</v>
      </c>
      <c r="W94" s="63" t="s">
        <v>686</v>
      </c>
      <c r="X94" s="63" t="s">
        <v>692</v>
      </c>
      <c r="Z94" s="1">
        <f>_xlfn.XLOOKUP(A94,'SAP Report'!A:A,'SAP Report'!C:C)</f>
        <v>2000000</v>
      </c>
      <c r="AA94" s="1">
        <f>HLOOKUP($A$4,$AV$6:$BG94,(2+BH93),FALSE)</f>
        <v>0</v>
      </c>
      <c r="AB94" s="1">
        <f>SUMIF('Open PR PO'!A:A,Monitoring!A94,'Open PR PO'!K:K)</f>
        <v>0</v>
      </c>
      <c r="AC94" s="1">
        <f t="shared" si="62"/>
        <v>0</v>
      </c>
      <c r="AD94" s="1">
        <f t="shared" si="63"/>
        <v>2000000</v>
      </c>
      <c r="AE94" s="1">
        <f t="shared" si="64"/>
        <v>2000000</v>
      </c>
      <c r="AF94" s="1"/>
      <c r="AG94" s="53">
        <f>SUMIFS(Actual!$F:$F,Actual!$N:$N,Monitoring!AG$6,Actual!$A:$A,Monitoring!$A94)</f>
        <v>0</v>
      </c>
      <c r="AH94" s="53">
        <f>SUMIFS(Actual!$F:$F,Actual!$N:$N,Monitoring!AH$6,Actual!$A:$A,Monitoring!$A94)</f>
        <v>0</v>
      </c>
      <c r="AI94" s="53">
        <f>SUMIFS(Actual!$F:$F,Actual!$N:$N,Monitoring!AI$6,Actual!$A:$A,Monitoring!$A94)</f>
        <v>0</v>
      </c>
      <c r="AJ94" s="53">
        <f>SUMIFS(Actual!$F:$F,Actual!$N:$N,Monitoring!AJ$6,Actual!$A:$A,Monitoring!$A94)</f>
        <v>0</v>
      </c>
      <c r="AK94" s="53">
        <f>SUMIFS(Actual!$F:$F,Actual!$N:$N,Monitoring!AK$6,Actual!$A:$A,Monitoring!$A94)</f>
        <v>0</v>
      </c>
      <c r="AL94" s="53">
        <f>SUMIFS(Actual!$F:$F,Actual!$N:$N,Monitoring!AL$6,Actual!$A:$A,Monitoring!$A94)</f>
        <v>0</v>
      </c>
      <c r="AM94" s="53">
        <f>SUMIFS(Actual!$F:$F,Actual!$N:$N,Monitoring!AM$6,Actual!$A:$A,Monitoring!$A94)</f>
        <v>0</v>
      </c>
      <c r="AN94" s="53">
        <f>SUMIFS(Actual!$F:$F,Actual!$N:$N,Monitoring!AN$6,Actual!$A:$A,Monitoring!$A94)</f>
        <v>0</v>
      </c>
      <c r="AO94" s="53">
        <f>SUMIFS(Actual!$F:$F,Actual!$N:$N,Monitoring!AO$6,Actual!$A:$A,Monitoring!$A94)</f>
        <v>0</v>
      </c>
      <c r="AP94" s="53">
        <f t="shared" si="44"/>
        <v>0</v>
      </c>
      <c r="AQ94" s="53">
        <f t="shared" si="45"/>
        <v>1000000</v>
      </c>
      <c r="AR94" s="53">
        <f t="shared" si="46"/>
        <v>1000000</v>
      </c>
      <c r="AS94" s="1">
        <f t="shared" si="47"/>
        <v>2000000</v>
      </c>
      <c r="AT94" s="12">
        <f t="shared" si="48"/>
        <v>0</v>
      </c>
      <c r="AU94" s="1"/>
      <c r="AV94" s="53">
        <f t="shared" si="49"/>
        <v>0</v>
      </c>
      <c r="AW94" s="1">
        <f t="shared" si="50"/>
        <v>0</v>
      </c>
      <c r="AX94" s="1">
        <f t="shared" si="51"/>
        <v>0</v>
      </c>
      <c r="AY94" s="1">
        <f t="shared" si="52"/>
        <v>0</v>
      </c>
      <c r="AZ94" s="1">
        <f t="shared" si="53"/>
        <v>0</v>
      </c>
      <c r="BA94" s="1">
        <f t="shared" si="54"/>
        <v>0</v>
      </c>
      <c r="BB94" s="1">
        <f t="shared" si="55"/>
        <v>0</v>
      </c>
      <c r="BC94" s="1">
        <f t="shared" si="56"/>
        <v>0</v>
      </c>
      <c r="BD94" s="1">
        <f t="shared" si="57"/>
        <v>0</v>
      </c>
      <c r="BE94" s="1">
        <f t="shared" si="58"/>
        <v>0</v>
      </c>
      <c r="BF94" s="1">
        <f t="shared" si="59"/>
        <v>1000000</v>
      </c>
      <c r="BG94" s="1">
        <f t="shared" si="60"/>
        <v>2000000</v>
      </c>
      <c r="BH94">
        <f t="shared" si="61"/>
        <v>88</v>
      </c>
    </row>
    <row r="95" spans="1:60" x14ac:dyDescent="0.35">
      <c r="A95">
        <v>10001416</v>
      </c>
      <c r="B95" t="str">
        <f t="shared" si="41"/>
        <v>ENS REINSULATION OF MAIN CHILLED WATER PIPES AND CHILLERS</v>
      </c>
      <c r="C95" t="s">
        <v>93</v>
      </c>
      <c r="D95" t="s">
        <v>93</v>
      </c>
      <c r="E95" t="s">
        <v>693</v>
      </c>
      <c r="F95" s="72" t="s">
        <v>1814</v>
      </c>
      <c r="G95" t="s">
        <v>1</v>
      </c>
      <c r="H95" t="s">
        <v>257</v>
      </c>
      <c r="I95">
        <v>1110</v>
      </c>
      <c r="J95" t="s">
        <v>694</v>
      </c>
      <c r="K95" s="3">
        <f t="shared" si="65"/>
        <v>57</v>
      </c>
      <c r="L95" s="3" t="str">
        <f t="shared" si="66"/>
        <v>8100</v>
      </c>
      <c r="M95">
        <v>81323201</v>
      </c>
      <c r="N95" s="3" t="str">
        <f>_xlfn.XLOOKUP(M95,[2]Sheet1!$A:$A,[2]Sheet1!$D:$D)</f>
        <v>ESTANCIA - OFFICE</v>
      </c>
      <c r="O95" t="s">
        <v>689</v>
      </c>
      <c r="P95" t="s">
        <v>91</v>
      </c>
      <c r="Q95" s="2" t="s">
        <v>695</v>
      </c>
      <c r="R95" s="1">
        <v>800000</v>
      </c>
      <c r="S95" s="63" t="s">
        <v>686</v>
      </c>
      <c r="T95" t="str">
        <f>_xlfn.XLOOKUP(M95,[2]Sheet1!$A:$A,[2]Sheet1!$E:$E)</f>
        <v>OFFICES</v>
      </c>
      <c r="U95" s="64" t="s">
        <v>662</v>
      </c>
      <c r="V95" s="63" t="s">
        <v>663</v>
      </c>
      <c r="W95" s="63" t="s">
        <v>686</v>
      </c>
      <c r="X95" s="63" t="s">
        <v>697</v>
      </c>
      <c r="Z95" s="1">
        <f>_xlfn.XLOOKUP(A95,'SAP Report'!A:A,'SAP Report'!C:C)</f>
        <v>800000</v>
      </c>
      <c r="AA95" s="1">
        <f>HLOOKUP($A$4,$AV$6:$BG95,(2+BH94),FALSE)</f>
        <v>43750</v>
      </c>
      <c r="AB95" s="1">
        <f>SUMIF('Open PR PO'!A:A,Monitoring!A95,'Open PR PO'!K:K)</f>
        <v>0</v>
      </c>
      <c r="AC95" s="1">
        <f t="shared" si="62"/>
        <v>43750</v>
      </c>
      <c r="AD95" s="1">
        <f t="shared" si="63"/>
        <v>756250</v>
      </c>
      <c r="AE95" s="1">
        <f t="shared" si="64"/>
        <v>756250</v>
      </c>
      <c r="AF95" s="1"/>
      <c r="AG95" s="53">
        <f>SUMIFS(Actual!$F:$F,Actual!$N:$N,Monitoring!AG$6,Actual!$A:$A,Monitoring!$A95)</f>
        <v>0</v>
      </c>
      <c r="AH95" s="53">
        <f>SUMIFS(Actual!$F:$F,Actual!$N:$N,Monitoring!AH$6,Actual!$A:$A,Monitoring!$A95)</f>
        <v>0</v>
      </c>
      <c r="AI95" s="53">
        <f>SUMIFS(Actual!$F:$F,Actual!$N:$N,Monitoring!AI$6,Actual!$A:$A,Monitoring!$A95)</f>
        <v>0</v>
      </c>
      <c r="AJ95" s="53">
        <f>SUMIFS(Actual!$F:$F,Actual!$N:$N,Monitoring!AJ$6,Actual!$A:$A,Monitoring!$A95)</f>
        <v>0</v>
      </c>
      <c r="AK95" s="53">
        <f>SUMIFS(Actual!$F:$F,Actual!$N:$N,Monitoring!AK$6,Actual!$A:$A,Monitoring!$A95)</f>
        <v>0</v>
      </c>
      <c r="AL95" s="53">
        <f>SUMIFS(Actual!$F:$F,Actual!$N:$N,Monitoring!AL$6,Actual!$A:$A,Monitoring!$A95)</f>
        <v>0</v>
      </c>
      <c r="AM95" s="53">
        <f>SUMIFS(Actual!$F:$F,Actual!$N:$N,Monitoring!AM$6,Actual!$A:$A,Monitoring!$A95)</f>
        <v>43750</v>
      </c>
      <c r="AN95" s="53">
        <f>SUMIFS(Actual!$F:$F,Actual!$N:$N,Monitoring!AN$6,Actual!$A:$A,Monitoring!$A95)</f>
        <v>0</v>
      </c>
      <c r="AO95" s="53">
        <f>SUMIFS(Actual!$F:$F,Actual!$N:$N,Monitoring!AO$6,Actual!$A:$A,Monitoring!$A95)</f>
        <v>0</v>
      </c>
      <c r="AP95" s="53">
        <f t="shared" si="44"/>
        <v>0</v>
      </c>
      <c r="AQ95" s="53">
        <f t="shared" si="45"/>
        <v>378125</v>
      </c>
      <c r="AR95" s="53">
        <f t="shared" si="46"/>
        <v>378125</v>
      </c>
      <c r="AS95" s="1">
        <f t="shared" si="47"/>
        <v>800000</v>
      </c>
      <c r="AT95" s="12">
        <f t="shared" si="48"/>
        <v>0</v>
      </c>
      <c r="AU95" s="1"/>
      <c r="AV95" s="53">
        <f t="shared" si="49"/>
        <v>0</v>
      </c>
      <c r="AW95" s="1">
        <f t="shared" si="50"/>
        <v>0</v>
      </c>
      <c r="AX95" s="1">
        <f t="shared" si="51"/>
        <v>0</v>
      </c>
      <c r="AY95" s="1">
        <f t="shared" si="52"/>
        <v>0</v>
      </c>
      <c r="AZ95" s="1">
        <f t="shared" si="53"/>
        <v>0</v>
      </c>
      <c r="BA95" s="1">
        <f t="shared" si="54"/>
        <v>0</v>
      </c>
      <c r="BB95" s="1">
        <f t="shared" si="55"/>
        <v>43750</v>
      </c>
      <c r="BC95" s="1">
        <f t="shared" si="56"/>
        <v>43750</v>
      </c>
      <c r="BD95" s="1">
        <f t="shared" si="57"/>
        <v>43750</v>
      </c>
      <c r="BE95" s="1">
        <f t="shared" si="58"/>
        <v>43750</v>
      </c>
      <c r="BF95" s="1">
        <f t="shared" si="59"/>
        <v>421875</v>
      </c>
      <c r="BG95" s="1">
        <f t="shared" si="60"/>
        <v>800000</v>
      </c>
      <c r="BH95">
        <f t="shared" si="61"/>
        <v>89</v>
      </c>
    </row>
    <row r="96" spans="1:60" x14ac:dyDescent="0.35">
      <c r="A96">
        <v>10001417</v>
      </c>
      <c r="B96" t="str">
        <f t="shared" si="41"/>
        <v>ENS REPLACEMENT OF BARSCREEN WITH STAINLESS STEEL</v>
      </c>
      <c r="C96" t="s">
        <v>93</v>
      </c>
      <c r="D96" t="s">
        <v>93</v>
      </c>
      <c r="E96" t="s">
        <v>684</v>
      </c>
      <c r="F96" s="72" t="s">
        <v>1814</v>
      </c>
      <c r="G96" t="s">
        <v>1</v>
      </c>
      <c r="H96" t="s">
        <v>265</v>
      </c>
      <c r="I96">
        <v>1110</v>
      </c>
      <c r="J96" t="s">
        <v>700</v>
      </c>
      <c r="K96" s="3">
        <f t="shared" si="65"/>
        <v>49</v>
      </c>
      <c r="L96" s="3" t="str">
        <f t="shared" si="66"/>
        <v>8100</v>
      </c>
      <c r="M96">
        <v>81323201</v>
      </c>
      <c r="N96" s="3" t="str">
        <f>_xlfn.XLOOKUP(M96,[2]Sheet1!$A:$A,[2]Sheet1!$D:$D)</f>
        <v>ESTANCIA - OFFICE</v>
      </c>
      <c r="O96" t="s">
        <v>689</v>
      </c>
      <c r="P96" t="s">
        <v>91</v>
      </c>
      <c r="Q96" s="2" t="s">
        <v>701</v>
      </c>
      <c r="R96" s="1">
        <v>800000</v>
      </c>
      <c r="S96" s="63" t="s">
        <v>686</v>
      </c>
      <c r="T96" t="str">
        <f>_xlfn.XLOOKUP(M96,[2]Sheet1!$A:$A,[2]Sheet1!$E:$E)</f>
        <v>OFFICES</v>
      </c>
      <c r="U96" s="64" t="s">
        <v>662</v>
      </c>
      <c r="V96" s="63" t="s">
        <v>663</v>
      </c>
      <c r="W96" s="63" t="s">
        <v>686</v>
      </c>
      <c r="X96" s="63" t="s">
        <v>702</v>
      </c>
      <c r="Z96" s="1">
        <f>_xlfn.XLOOKUP(A96,'SAP Report'!A:A,'SAP Report'!C:C)</f>
        <v>800000</v>
      </c>
      <c r="AA96" s="1">
        <f>HLOOKUP($A$4,$AV$6:$BG96,(2+BH95),FALSE)</f>
        <v>126000</v>
      </c>
      <c r="AB96" s="1">
        <f>SUMIF('Open PR PO'!A:A,Monitoring!A96,'Open PR PO'!K:K)</f>
        <v>0</v>
      </c>
      <c r="AC96" s="1">
        <f t="shared" si="62"/>
        <v>126000</v>
      </c>
      <c r="AD96" s="1">
        <f t="shared" si="63"/>
        <v>674000</v>
      </c>
      <c r="AE96" s="1">
        <f t="shared" si="64"/>
        <v>674000</v>
      </c>
      <c r="AF96" s="1"/>
      <c r="AG96" s="53">
        <f>SUMIFS(Actual!$F:$F,Actual!$N:$N,Monitoring!AG$6,Actual!$A:$A,Monitoring!$A96)</f>
        <v>0</v>
      </c>
      <c r="AH96" s="53">
        <f>SUMIFS(Actual!$F:$F,Actual!$N:$N,Monitoring!AH$6,Actual!$A:$A,Monitoring!$A96)</f>
        <v>0</v>
      </c>
      <c r="AI96" s="53">
        <f>SUMIFS(Actual!$F:$F,Actual!$N:$N,Monitoring!AI$6,Actual!$A:$A,Monitoring!$A96)</f>
        <v>0</v>
      </c>
      <c r="AJ96" s="53">
        <f>SUMIFS(Actual!$F:$F,Actual!$N:$N,Monitoring!AJ$6,Actual!$A:$A,Monitoring!$A96)</f>
        <v>0</v>
      </c>
      <c r="AK96" s="53">
        <f>SUMIFS(Actual!$F:$F,Actual!$N:$N,Monitoring!AK$6,Actual!$A:$A,Monitoring!$A96)</f>
        <v>0</v>
      </c>
      <c r="AL96" s="53">
        <f>SUMIFS(Actual!$F:$F,Actual!$N:$N,Monitoring!AL$6,Actual!$A:$A,Monitoring!$A96)</f>
        <v>126000</v>
      </c>
      <c r="AM96" s="53">
        <f>SUMIFS(Actual!$F:$F,Actual!$N:$N,Monitoring!AM$6,Actual!$A:$A,Monitoring!$A96)</f>
        <v>0</v>
      </c>
      <c r="AN96" s="53">
        <f>SUMIFS(Actual!$F:$F,Actual!$N:$N,Monitoring!AN$6,Actual!$A:$A,Monitoring!$A96)</f>
        <v>0</v>
      </c>
      <c r="AO96" s="53">
        <f>SUMIFS(Actual!$F:$F,Actual!$N:$N,Monitoring!AO$6,Actual!$A:$A,Monitoring!$A96)</f>
        <v>0</v>
      </c>
      <c r="AP96" s="53">
        <f t="shared" si="44"/>
        <v>0</v>
      </c>
      <c r="AQ96" s="53">
        <f t="shared" si="45"/>
        <v>337000</v>
      </c>
      <c r="AR96" s="53">
        <f t="shared" si="46"/>
        <v>337000</v>
      </c>
      <c r="AS96" s="1">
        <f t="shared" si="47"/>
        <v>800000</v>
      </c>
      <c r="AT96" s="12">
        <f t="shared" si="48"/>
        <v>0</v>
      </c>
      <c r="AU96" s="1"/>
      <c r="AV96" s="53">
        <f t="shared" si="49"/>
        <v>0</v>
      </c>
      <c r="AW96" s="1">
        <f t="shared" si="50"/>
        <v>0</v>
      </c>
      <c r="AX96" s="1">
        <f t="shared" si="51"/>
        <v>0</v>
      </c>
      <c r="AY96" s="1">
        <f t="shared" si="52"/>
        <v>0</v>
      </c>
      <c r="AZ96" s="1">
        <f t="shared" si="53"/>
        <v>0</v>
      </c>
      <c r="BA96" s="1">
        <f t="shared" si="54"/>
        <v>126000</v>
      </c>
      <c r="BB96" s="1">
        <f t="shared" si="55"/>
        <v>126000</v>
      </c>
      <c r="BC96" s="1">
        <f t="shared" si="56"/>
        <v>126000</v>
      </c>
      <c r="BD96" s="1">
        <f t="shared" si="57"/>
        <v>126000</v>
      </c>
      <c r="BE96" s="1">
        <f t="shared" si="58"/>
        <v>126000</v>
      </c>
      <c r="BF96" s="1">
        <f t="shared" si="59"/>
        <v>463000</v>
      </c>
      <c r="BG96" s="1">
        <f t="shared" si="60"/>
        <v>800000</v>
      </c>
      <c r="BH96">
        <f t="shared" si="61"/>
        <v>90</v>
      </c>
    </row>
    <row r="97" spans="1:60" x14ac:dyDescent="0.35">
      <c r="A97">
        <v>10001418</v>
      </c>
      <c r="B97" t="str">
        <f t="shared" si="41"/>
        <v>EWW MAJOR ELEVATOR PARTS REPLACEMENT (OTIS)</v>
      </c>
      <c r="C97" t="s">
        <v>93</v>
      </c>
      <c r="D97" t="s">
        <v>93</v>
      </c>
      <c r="E97" t="s">
        <v>687</v>
      </c>
      <c r="F97" s="72" t="s">
        <v>1814</v>
      </c>
      <c r="G97" t="s">
        <v>1</v>
      </c>
      <c r="H97" t="s">
        <v>205</v>
      </c>
      <c r="I97">
        <v>1110</v>
      </c>
      <c r="J97" t="s">
        <v>705</v>
      </c>
      <c r="K97" s="3">
        <f t="shared" si="65"/>
        <v>43</v>
      </c>
      <c r="L97" s="3" t="str">
        <f t="shared" si="66"/>
        <v>8100</v>
      </c>
      <c r="M97">
        <v>81323202</v>
      </c>
      <c r="N97" s="3" t="str">
        <f>_xlfn.XLOOKUP(M97,[2]Sheet1!$A:$A,[2]Sheet1!$D:$D)</f>
        <v>EST WSTWING - OFFICE</v>
      </c>
      <c r="O97" t="s">
        <v>689</v>
      </c>
      <c r="P97" t="s">
        <v>91</v>
      </c>
      <c r="Q97" s="2" t="s">
        <v>703</v>
      </c>
      <c r="R97" s="1">
        <v>3000000</v>
      </c>
      <c r="S97" s="63" t="s">
        <v>686</v>
      </c>
      <c r="T97" t="str">
        <f>_xlfn.XLOOKUP(M97,[2]Sheet1!$A:$A,[2]Sheet1!$E:$E)</f>
        <v>OFFICES</v>
      </c>
      <c r="U97" s="63" t="s">
        <v>22</v>
      </c>
      <c r="V97" s="63" t="s">
        <v>663</v>
      </c>
      <c r="W97" s="63" t="s">
        <v>686</v>
      </c>
      <c r="X97" s="63" t="s">
        <v>704</v>
      </c>
      <c r="Z97" s="1">
        <f>_xlfn.XLOOKUP(A97,'SAP Report'!A:A,'SAP Report'!C:C)</f>
        <v>3000000</v>
      </c>
      <c r="AA97" s="1">
        <f>HLOOKUP($A$4,$AV$6:$BG97,(2+BH96),FALSE)</f>
        <v>0</v>
      </c>
      <c r="AB97" s="1">
        <f>SUMIF('Open PR PO'!A:A,Monitoring!A97,'Open PR PO'!K:K)</f>
        <v>2589285.71</v>
      </c>
      <c r="AC97" s="1">
        <f t="shared" si="62"/>
        <v>2589285.71</v>
      </c>
      <c r="AD97" s="1">
        <f t="shared" si="63"/>
        <v>410714.29000000004</v>
      </c>
      <c r="AE97" s="1">
        <f t="shared" si="64"/>
        <v>3000000</v>
      </c>
      <c r="AF97" s="1"/>
      <c r="AG97" s="53">
        <f>SUMIFS(Actual!$F:$F,Actual!$N:$N,Monitoring!AG$6,Actual!$A:$A,Monitoring!$A97)</f>
        <v>0</v>
      </c>
      <c r="AH97" s="53">
        <f>SUMIFS(Actual!$F:$F,Actual!$N:$N,Monitoring!AH$6,Actual!$A:$A,Monitoring!$A97)</f>
        <v>0</v>
      </c>
      <c r="AI97" s="53">
        <f>SUMIFS(Actual!$F:$F,Actual!$N:$N,Monitoring!AI$6,Actual!$A:$A,Monitoring!$A97)</f>
        <v>0</v>
      </c>
      <c r="AJ97" s="53">
        <f>SUMIFS(Actual!$F:$F,Actual!$N:$N,Monitoring!AJ$6,Actual!$A:$A,Monitoring!$A97)</f>
        <v>0</v>
      </c>
      <c r="AK97" s="53">
        <f>SUMIFS(Actual!$F:$F,Actual!$N:$N,Monitoring!AK$6,Actual!$A:$A,Monitoring!$A97)</f>
        <v>0</v>
      </c>
      <c r="AL97" s="53">
        <f>SUMIFS(Actual!$F:$F,Actual!$N:$N,Monitoring!AL$6,Actual!$A:$A,Monitoring!$A97)</f>
        <v>0</v>
      </c>
      <c r="AM97" s="53">
        <f>SUMIFS(Actual!$F:$F,Actual!$N:$N,Monitoring!AM$6,Actual!$A:$A,Monitoring!$A97)</f>
        <v>0</v>
      </c>
      <c r="AN97" s="53">
        <f>SUMIFS(Actual!$F:$F,Actual!$N:$N,Monitoring!AN$6,Actual!$A:$A,Monitoring!$A97)</f>
        <v>0</v>
      </c>
      <c r="AO97" s="53">
        <f>SUMIFS(Actual!$F:$F,Actual!$N:$N,Monitoring!AO$6,Actual!$A:$A,Monitoring!$A97)</f>
        <v>0</v>
      </c>
      <c r="AP97" s="53">
        <f t="shared" si="44"/>
        <v>2589285.71</v>
      </c>
      <c r="AQ97" s="53">
        <f t="shared" si="45"/>
        <v>205357.14500000002</v>
      </c>
      <c r="AR97" s="53">
        <f t="shared" si="46"/>
        <v>205357.14500000002</v>
      </c>
      <c r="AS97" s="1">
        <f t="shared" si="47"/>
        <v>3000000</v>
      </c>
      <c r="AT97" s="12">
        <f t="shared" si="48"/>
        <v>0</v>
      </c>
      <c r="AU97" s="1"/>
      <c r="AV97" s="53">
        <f t="shared" si="49"/>
        <v>0</v>
      </c>
      <c r="AW97" s="1">
        <f t="shared" si="50"/>
        <v>0</v>
      </c>
      <c r="AX97" s="1">
        <f t="shared" si="51"/>
        <v>0</v>
      </c>
      <c r="AY97" s="1">
        <f t="shared" si="52"/>
        <v>0</v>
      </c>
      <c r="AZ97" s="1">
        <f t="shared" si="53"/>
        <v>0</v>
      </c>
      <c r="BA97" s="1">
        <f t="shared" si="54"/>
        <v>0</v>
      </c>
      <c r="BB97" s="1">
        <f t="shared" si="55"/>
        <v>0</v>
      </c>
      <c r="BC97" s="1">
        <f t="shared" si="56"/>
        <v>0</v>
      </c>
      <c r="BD97" s="1">
        <f t="shared" si="57"/>
        <v>0</v>
      </c>
      <c r="BE97" s="1">
        <f t="shared" si="58"/>
        <v>2589285.71</v>
      </c>
      <c r="BF97" s="1">
        <f t="shared" si="59"/>
        <v>2794642.855</v>
      </c>
      <c r="BG97" s="1">
        <f t="shared" si="60"/>
        <v>3000000</v>
      </c>
      <c r="BH97">
        <f t="shared" si="61"/>
        <v>91</v>
      </c>
    </row>
    <row r="98" spans="1:60" x14ac:dyDescent="0.35">
      <c r="A98">
        <v>10001419</v>
      </c>
      <c r="B98" t="str">
        <f t="shared" si="41"/>
        <v>EWW ROOFDECK WATERPROOFING REPAIR AND REPAINTING OF FAÇADE</v>
      </c>
      <c r="C98" t="s">
        <v>93</v>
      </c>
      <c r="D98" t="s">
        <v>93</v>
      </c>
      <c r="E98" t="s">
        <v>683</v>
      </c>
      <c r="F98" s="72" t="s">
        <v>1814</v>
      </c>
      <c r="G98" t="s">
        <v>1</v>
      </c>
      <c r="H98" t="s">
        <v>203</v>
      </c>
      <c r="I98">
        <v>1100</v>
      </c>
      <c r="J98" t="s">
        <v>706</v>
      </c>
      <c r="K98" s="3">
        <f t="shared" si="65"/>
        <v>58</v>
      </c>
      <c r="L98" s="3" t="str">
        <f t="shared" si="66"/>
        <v>8100</v>
      </c>
      <c r="M98">
        <v>81323202</v>
      </c>
      <c r="N98" s="3" t="str">
        <f>_xlfn.XLOOKUP(M98,[2]Sheet1!$A:$A,[2]Sheet1!$D:$D)</f>
        <v>EST WSTWING - OFFICE</v>
      </c>
      <c r="O98" t="s">
        <v>685</v>
      </c>
      <c r="P98" t="s">
        <v>91</v>
      </c>
      <c r="Q98" s="2" t="s">
        <v>3216</v>
      </c>
      <c r="R98" s="1">
        <f>8000000-886000-821500-293000</f>
        <v>5999500</v>
      </c>
      <c r="S98" s="63" t="s">
        <v>686</v>
      </c>
      <c r="T98" t="str">
        <f>_xlfn.XLOOKUP(M98,[2]Sheet1!$A:$A,[2]Sheet1!$E:$E)</f>
        <v>OFFICES</v>
      </c>
      <c r="U98" s="64" t="s">
        <v>696</v>
      </c>
      <c r="V98" s="63" t="s">
        <v>663</v>
      </c>
      <c r="W98" s="63" t="s">
        <v>686</v>
      </c>
      <c r="X98" s="63" t="s">
        <v>3219</v>
      </c>
      <c r="Z98" s="1">
        <f>_xlfn.XLOOKUP(A98,'SAP Report'!A:A,'SAP Report'!C:C)</f>
        <v>5999500</v>
      </c>
      <c r="AA98" s="1">
        <f>HLOOKUP($A$4,$AV$6:$BG98,(2+BH97),FALSE)</f>
        <v>1318750</v>
      </c>
      <c r="AB98" s="1">
        <f>SUMIF('Open PR PO'!A:A,Monitoring!A98,'Open PR PO'!K:K)</f>
        <v>2725892.85</v>
      </c>
      <c r="AC98" s="1">
        <f t="shared" si="62"/>
        <v>4044642.85</v>
      </c>
      <c r="AD98" s="1">
        <f t="shared" si="63"/>
        <v>1954857.15</v>
      </c>
      <c r="AE98" s="1">
        <f t="shared" si="64"/>
        <v>4680750</v>
      </c>
      <c r="AF98" s="1"/>
      <c r="AG98" s="53">
        <f>SUMIFS(Actual!$F:$F,Actual!$N:$N,Monitoring!AG$6,Actual!$A:$A,Monitoring!$A98)</f>
        <v>0</v>
      </c>
      <c r="AH98" s="53">
        <f>SUMIFS(Actual!$F:$F,Actual!$N:$N,Monitoring!AH$6,Actual!$A:$A,Monitoring!$A98)</f>
        <v>0</v>
      </c>
      <c r="AI98" s="53">
        <f>SUMIFS(Actual!$F:$F,Actual!$N:$N,Monitoring!AI$6,Actual!$A:$A,Monitoring!$A98)</f>
        <v>0</v>
      </c>
      <c r="AJ98" s="53">
        <f>SUMIFS(Actual!$F:$F,Actual!$N:$N,Monitoring!AJ$6,Actual!$A:$A,Monitoring!$A98)</f>
        <v>0</v>
      </c>
      <c r="AK98" s="53">
        <f>SUMIFS(Actual!$F:$F,Actual!$N:$N,Monitoring!AK$6,Actual!$A:$A,Monitoring!$A98)</f>
        <v>0</v>
      </c>
      <c r="AL98" s="53">
        <f>SUMIFS(Actual!$F:$F,Actual!$N:$N,Monitoring!AL$6,Actual!$A:$A,Monitoring!$A98)</f>
        <v>205357.14</v>
      </c>
      <c r="AM98" s="53">
        <f>SUMIFS(Actual!$F:$F,Actual!$N:$N,Monitoring!AM$6,Actual!$A:$A,Monitoring!$A98)</f>
        <v>0</v>
      </c>
      <c r="AN98" s="53">
        <f>SUMIFS(Actual!$F:$F,Actual!$N:$N,Monitoring!AN$6,Actual!$A:$A,Monitoring!$A98)</f>
        <v>1113392.8600000001</v>
      </c>
      <c r="AO98" s="53">
        <f>SUMIFS(Actual!$F:$F,Actual!$N:$N,Monitoring!AO$6,Actual!$A:$A,Monitoring!$A98)</f>
        <v>0</v>
      </c>
      <c r="AP98" s="53">
        <f t="shared" si="44"/>
        <v>2725892.85</v>
      </c>
      <c r="AQ98" s="53">
        <f t="shared" si="45"/>
        <v>977428.57499999995</v>
      </c>
      <c r="AR98" s="53">
        <f t="shared" si="46"/>
        <v>977428.57499999995</v>
      </c>
      <c r="AS98" s="1">
        <f t="shared" si="47"/>
        <v>5999500</v>
      </c>
      <c r="AT98" s="12">
        <f t="shared" si="48"/>
        <v>0</v>
      </c>
      <c r="AU98" s="1"/>
      <c r="AV98" s="53">
        <f t="shared" si="49"/>
        <v>0</v>
      </c>
      <c r="AW98" s="1">
        <f t="shared" si="50"/>
        <v>0</v>
      </c>
      <c r="AX98" s="1">
        <f t="shared" si="51"/>
        <v>0</v>
      </c>
      <c r="AY98" s="1">
        <f t="shared" si="52"/>
        <v>0</v>
      </c>
      <c r="AZ98" s="1">
        <f t="shared" si="53"/>
        <v>0</v>
      </c>
      <c r="BA98" s="1">
        <f t="shared" si="54"/>
        <v>205357.14</v>
      </c>
      <c r="BB98" s="1">
        <f t="shared" si="55"/>
        <v>205357.14</v>
      </c>
      <c r="BC98" s="1">
        <f t="shared" si="56"/>
        <v>1318750</v>
      </c>
      <c r="BD98" s="1">
        <f t="shared" si="57"/>
        <v>1318750</v>
      </c>
      <c r="BE98" s="1">
        <f t="shared" si="58"/>
        <v>4044642.85</v>
      </c>
      <c r="BF98" s="1">
        <f t="shared" si="59"/>
        <v>5022071.4249999998</v>
      </c>
      <c r="BG98" s="1">
        <f t="shared" si="60"/>
        <v>5999500</v>
      </c>
      <c r="BH98">
        <f t="shared" si="61"/>
        <v>92</v>
      </c>
    </row>
    <row r="99" spans="1:60" x14ac:dyDescent="0.35">
      <c r="A99">
        <v>10001420</v>
      </c>
      <c r="B99" t="str">
        <f t="shared" si="41"/>
        <v>EWW WATERPROOFING OF ELEVATOR PIT'S PERIMETER WALL</v>
      </c>
      <c r="C99" t="s">
        <v>93</v>
      </c>
      <c r="D99" t="s">
        <v>93</v>
      </c>
      <c r="E99" t="s">
        <v>683</v>
      </c>
      <c r="F99" s="72" t="s">
        <v>1814</v>
      </c>
      <c r="G99" t="s">
        <v>1</v>
      </c>
      <c r="H99" t="s">
        <v>207</v>
      </c>
      <c r="I99">
        <v>1100</v>
      </c>
      <c r="J99" t="s">
        <v>707</v>
      </c>
      <c r="K99" s="3">
        <f t="shared" si="65"/>
        <v>50</v>
      </c>
      <c r="L99" s="3" t="str">
        <f t="shared" si="66"/>
        <v>8100</v>
      </c>
      <c r="M99">
        <v>81323202</v>
      </c>
      <c r="N99" s="3" t="str">
        <f>_xlfn.XLOOKUP(M99,[2]Sheet1!$A:$A,[2]Sheet1!$D:$D)</f>
        <v>EST WSTWING - OFFICE</v>
      </c>
      <c r="O99" t="s">
        <v>689</v>
      </c>
      <c r="P99" t="s">
        <v>91</v>
      </c>
      <c r="Q99" s="2" t="s">
        <v>708</v>
      </c>
      <c r="R99" s="1">
        <v>600000</v>
      </c>
      <c r="S99" s="63" t="s">
        <v>686</v>
      </c>
      <c r="T99" t="str">
        <f>_xlfn.XLOOKUP(M99,[2]Sheet1!$A:$A,[2]Sheet1!$E:$E)</f>
        <v>OFFICES</v>
      </c>
      <c r="U99" s="64" t="s">
        <v>662</v>
      </c>
      <c r="V99" s="63" t="s">
        <v>663</v>
      </c>
      <c r="W99" s="63" t="s">
        <v>686</v>
      </c>
      <c r="X99" s="63" t="s">
        <v>709</v>
      </c>
      <c r="Z99" s="1">
        <f>_xlfn.XLOOKUP(A99,'SAP Report'!A:A,'SAP Report'!C:C)</f>
        <v>600000</v>
      </c>
      <c r="AA99" s="1">
        <f>HLOOKUP($A$4,$AV$6:$BG99,(2+BH98),FALSE)</f>
        <v>282142.86</v>
      </c>
      <c r="AB99" s="1">
        <f>SUMIF('Open PR PO'!A:A,Monitoring!A99,'Open PR PO'!K:K)</f>
        <v>240741.96</v>
      </c>
      <c r="AC99" s="1">
        <f t="shared" si="62"/>
        <v>522884.81999999995</v>
      </c>
      <c r="AD99" s="1">
        <f t="shared" si="63"/>
        <v>77115.180000000051</v>
      </c>
      <c r="AE99" s="1">
        <f t="shared" si="64"/>
        <v>317857.14</v>
      </c>
      <c r="AF99" s="1"/>
      <c r="AG99" s="53">
        <f>SUMIFS(Actual!$F:$F,Actual!$N:$N,Monitoring!AG$6,Actual!$A:$A,Monitoring!$A99)</f>
        <v>0</v>
      </c>
      <c r="AH99" s="53">
        <f>SUMIFS(Actual!$F:$F,Actual!$N:$N,Monitoring!AH$6,Actual!$A:$A,Monitoring!$A99)</f>
        <v>0</v>
      </c>
      <c r="AI99" s="53">
        <f>SUMIFS(Actual!$F:$F,Actual!$N:$N,Monitoring!AI$6,Actual!$A:$A,Monitoring!$A99)</f>
        <v>0</v>
      </c>
      <c r="AJ99" s="53">
        <f>SUMIFS(Actual!$F:$F,Actual!$N:$N,Monitoring!AJ$6,Actual!$A:$A,Monitoring!$A99)</f>
        <v>0</v>
      </c>
      <c r="AK99" s="53">
        <f>SUMIFS(Actual!$F:$F,Actual!$N:$N,Monitoring!AK$6,Actual!$A:$A,Monitoring!$A99)</f>
        <v>0</v>
      </c>
      <c r="AL99" s="53">
        <f>SUMIFS(Actual!$F:$F,Actual!$N:$N,Monitoring!AL$6,Actual!$A:$A,Monitoring!$A99)</f>
        <v>282142.86</v>
      </c>
      <c r="AM99" s="53">
        <f>SUMIFS(Actual!$F:$F,Actual!$N:$N,Monitoring!AM$6,Actual!$A:$A,Monitoring!$A99)</f>
        <v>0</v>
      </c>
      <c r="AN99" s="53">
        <f>SUMIFS(Actual!$F:$F,Actual!$N:$N,Monitoring!AN$6,Actual!$A:$A,Monitoring!$A99)</f>
        <v>0</v>
      </c>
      <c r="AO99" s="53">
        <f>SUMIFS(Actual!$F:$F,Actual!$N:$N,Monitoring!AO$6,Actual!$A:$A,Monitoring!$A99)</f>
        <v>0</v>
      </c>
      <c r="AP99" s="53">
        <f t="shared" si="44"/>
        <v>240741.96</v>
      </c>
      <c r="AQ99" s="53">
        <f t="shared" si="45"/>
        <v>38557.590000000026</v>
      </c>
      <c r="AR99" s="53">
        <f t="shared" si="46"/>
        <v>38557.590000000026</v>
      </c>
      <c r="AS99" s="1">
        <f t="shared" si="47"/>
        <v>600000</v>
      </c>
      <c r="AT99" s="12">
        <f t="shared" si="48"/>
        <v>0</v>
      </c>
      <c r="AU99" s="1"/>
      <c r="AV99" s="53">
        <f t="shared" si="49"/>
        <v>0</v>
      </c>
      <c r="AW99" s="1">
        <f t="shared" si="50"/>
        <v>0</v>
      </c>
      <c r="AX99" s="1">
        <f t="shared" si="51"/>
        <v>0</v>
      </c>
      <c r="AY99" s="1">
        <f t="shared" si="52"/>
        <v>0</v>
      </c>
      <c r="AZ99" s="1">
        <f t="shared" si="53"/>
        <v>0</v>
      </c>
      <c r="BA99" s="1">
        <f t="shared" si="54"/>
        <v>282142.86</v>
      </c>
      <c r="BB99" s="1">
        <f t="shared" si="55"/>
        <v>282142.86</v>
      </c>
      <c r="BC99" s="1">
        <f t="shared" si="56"/>
        <v>282142.86</v>
      </c>
      <c r="BD99" s="1">
        <f t="shared" si="57"/>
        <v>282142.86</v>
      </c>
      <c r="BE99" s="1">
        <f t="shared" si="58"/>
        <v>522884.81999999995</v>
      </c>
      <c r="BF99" s="1">
        <f t="shared" si="59"/>
        <v>561442.40999999992</v>
      </c>
      <c r="BG99" s="1">
        <f t="shared" si="60"/>
        <v>600000</v>
      </c>
      <c r="BH99">
        <f t="shared" si="61"/>
        <v>93</v>
      </c>
    </row>
    <row r="100" spans="1:60" x14ac:dyDescent="0.35">
      <c r="A100">
        <v>10001421</v>
      </c>
      <c r="B100" t="str">
        <f t="shared" si="41"/>
        <v>EWW BACK-UP SUBMERSIBLE PUMP FOR LIFT STATION</v>
      </c>
      <c r="C100" t="s">
        <v>93</v>
      </c>
      <c r="D100" t="s">
        <v>93</v>
      </c>
      <c r="E100" t="s">
        <v>711</v>
      </c>
      <c r="F100" s="72" t="s">
        <v>1814</v>
      </c>
      <c r="G100" t="s">
        <v>1</v>
      </c>
      <c r="H100" t="s">
        <v>268</v>
      </c>
      <c r="I100">
        <v>1110</v>
      </c>
      <c r="J100" t="s">
        <v>712</v>
      </c>
      <c r="K100" s="3">
        <f t="shared" si="65"/>
        <v>45</v>
      </c>
      <c r="L100" s="3" t="str">
        <f t="shared" si="66"/>
        <v>8100</v>
      </c>
      <c r="M100">
        <v>81323202</v>
      </c>
      <c r="N100" s="3" t="str">
        <f>_xlfn.XLOOKUP(M100,[2]Sheet1!$A:$A,[2]Sheet1!$D:$D)</f>
        <v>EST WSTWING - OFFICE</v>
      </c>
      <c r="O100" t="s">
        <v>689</v>
      </c>
      <c r="P100" t="s">
        <v>91</v>
      </c>
      <c r="Q100" s="2" t="s">
        <v>710</v>
      </c>
      <c r="R100" s="1">
        <v>600000</v>
      </c>
      <c r="S100" s="63" t="s">
        <v>686</v>
      </c>
      <c r="T100" t="str">
        <f>_xlfn.XLOOKUP(M100,[2]Sheet1!$A:$A,[2]Sheet1!$E:$E)</f>
        <v>OFFICES</v>
      </c>
      <c r="U100" s="64" t="s">
        <v>662</v>
      </c>
      <c r="V100" s="63" t="s">
        <v>663</v>
      </c>
      <c r="W100" s="63" t="s">
        <v>686</v>
      </c>
      <c r="X100" s="63" t="s">
        <v>713</v>
      </c>
      <c r="Z100" s="1">
        <f>_xlfn.XLOOKUP(A100,'SAP Report'!A:A,'SAP Report'!C:C)</f>
        <v>600000</v>
      </c>
      <c r="AA100" s="1">
        <f>HLOOKUP($A$4,$AV$6:$BG100,(2+BH99),FALSE)</f>
        <v>0</v>
      </c>
      <c r="AB100" s="1">
        <f>SUMIF('Open PR PO'!A:A,Monitoring!A100,'Open PR PO'!K:K)</f>
        <v>224000</v>
      </c>
      <c r="AC100" s="1">
        <f t="shared" si="62"/>
        <v>224000</v>
      </c>
      <c r="AD100" s="1">
        <f t="shared" si="63"/>
        <v>376000</v>
      </c>
      <c r="AE100" s="1">
        <f t="shared" si="64"/>
        <v>600000</v>
      </c>
      <c r="AF100" s="1"/>
      <c r="AG100" s="53">
        <f>SUMIFS(Actual!$F:$F,Actual!$N:$N,Monitoring!AG$6,Actual!$A:$A,Monitoring!$A100)</f>
        <v>0</v>
      </c>
      <c r="AH100" s="53">
        <f>SUMIFS(Actual!$F:$F,Actual!$N:$N,Monitoring!AH$6,Actual!$A:$A,Monitoring!$A100)</f>
        <v>0</v>
      </c>
      <c r="AI100" s="53">
        <f>SUMIFS(Actual!$F:$F,Actual!$N:$N,Monitoring!AI$6,Actual!$A:$A,Monitoring!$A100)</f>
        <v>0</v>
      </c>
      <c r="AJ100" s="53">
        <f>SUMIFS(Actual!$F:$F,Actual!$N:$N,Monitoring!AJ$6,Actual!$A:$A,Monitoring!$A100)</f>
        <v>0</v>
      </c>
      <c r="AK100" s="53">
        <f>SUMIFS(Actual!$F:$F,Actual!$N:$N,Monitoring!AK$6,Actual!$A:$A,Monitoring!$A100)</f>
        <v>0</v>
      </c>
      <c r="AL100" s="53">
        <f>SUMIFS(Actual!$F:$F,Actual!$N:$N,Monitoring!AL$6,Actual!$A:$A,Monitoring!$A100)</f>
        <v>0</v>
      </c>
      <c r="AM100" s="53">
        <f>SUMIFS(Actual!$F:$F,Actual!$N:$N,Monitoring!AM$6,Actual!$A:$A,Monitoring!$A100)</f>
        <v>0</v>
      </c>
      <c r="AN100" s="53">
        <f>SUMIFS(Actual!$F:$F,Actual!$N:$N,Monitoring!AN$6,Actual!$A:$A,Monitoring!$A100)</f>
        <v>0</v>
      </c>
      <c r="AO100" s="53">
        <f>SUMIFS(Actual!$F:$F,Actual!$N:$N,Monitoring!AO$6,Actual!$A:$A,Monitoring!$A100)</f>
        <v>0</v>
      </c>
      <c r="AP100" s="53">
        <f t="shared" si="44"/>
        <v>224000</v>
      </c>
      <c r="AQ100" s="53">
        <f t="shared" si="45"/>
        <v>188000</v>
      </c>
      <c r="AR100" s="53">
        <f t="shared" si="46"/>
        <v>188000</v>
      </c>
      <c r="AS100" s="1">
        <f t="shared" si="47"/>
        <v>600000</v>
      </c>
      <c r="AT100" s="12">
        <f t="shared" si="48"/>
        <v>0</v>
      </c>
      <c r="AU100" s="1"/>
      <c r="AV100" s="53">
        <f t="shared" si="49"/>
        <v>0</v>
      </c>
      <c r="AW100" s="1">
        <f t="shared" si="50"/>
        <v>0</v>
      </c>
      <c r="AX100" s="1">
        <f t="shared" si="51"/>
        <v>0</v>
      </c>
      <c r="AY100" s="1">
        <f t="shared" si="52"/>
        <v>0</v>
      </c>
      <c r="AZ100" s="1">
        <f t="shared" si="53"/>
        <v>0</v>
      </c>
      <c r="BA100" s="1">
        <f t="shared" si="54"/>
        <v>0</v>
      </c>
      <c r="BB100" s="1">
        <f t="shared" si="55"/>
        <v>0</v>
      </c>
      <c r="BC100" s="1">
        <f t="shared" si="56"/>
        <v>0</v>
      </c>
      <c r="BD100" s="1">
        <f t="shared" si="57"/>
        <v>0</v>
      </c>
      <c r="BE100" s="1">
        <f t="shared" si="58"/>
        <v>224000</v>
      </c>
      <c r="BF100" s="1">
        <f t="shared" si="59"/>
        <v>412000</v>
      </c>
      <c r="BG100" s="1">
        <f t="shared" si="60"/>
        <v>600000</v>
      </c>
      <c r="BH100">
        <f t="shared" si="61"/>
        <v>94</v>
      </c>
    </row>
    <row r="101" spans="1:60" x14ac:dyDescent="0.35">
      <c r="A101">
        <v>10001422</v>
      </c>
      <c r="B101" t="str">
        <f t="shared" si="41"/>
        <v>ENS INSTALLATION OF VENTILATION SYSTEM AT SUBSTATION</v>
      </c>
      <c r="C101" t="s">
        <v>93</v>
      </c>
      <c r="D101" t="s">
        <v>93</v>
      </c>
      <c r="E101" t="s">
        <v>693</v>
      </c>
      <c r="F101" s="72" t="s">
        <v>1814</v>
      </c>
      <c r="G101" t="s">
        <v>1</v>
      </c>
      <c r="H101" t="s">
        <v>261</v>
      </c>
      <c r="I101">
        <v>1110</v>
      </c>
      <c r="J101" t="s">
        <v>715</v>
      </c>
      <c r="K101" s="3">
        <f t="shared" si="65"/>
        <v>52</v>
      </c>
      <c r="L101" s="3" t="str">
        <f t="shared" si="66"/>
        <v>8100</v>
      </c>
      <c r="M101">
        <v>81323201</v>
      </c>
      <c r="N101" s="3" t="str">
        <f>_xlfn.XLOOKUP(M101,[2]Sheet1!$A:$A,[2]Sheet1!$D:$D)</f>
        <v>ESTANCIA - OFFICE</v>
      </c>
      <c r="O101" t="s">
        <v>689</v>
      </c>
      <c r="P101" t="s">
        <v>91</v>
      </c>
      <c r="Q101" s="2" t="s">
        <v>716</v>
      </c>
      <c r="R101" s="1">
        <v>700000</v>
      </c>
      <c r="S101" s="63" t="s">
        <v>686</v>
      </c>
      <c r="T101" t="str">
        <f>_xlfn.XLOOKUP(M101,[2]Sheet1!$A:$A,[2]Sheet1!$E:$E)</f>
        <v>OFFICES</v>
      </c>
      <c r="U101" s="64" t="s">
        <v>662</v>
      </c>
      <c r="V101" s="63" t="s">
        <v>663</v>
      </c>
      <c r="W101" s="63" t="s">
        <v>686</v>
      </c>
      <c r="X101" s="63" t="s">
        <v>717</v>
      </c>
      <c r="Z101" s="1">
        <f>_xlfn.XLOOKUP(A101,'SAP Report'!A:A,'SAP Report'!C:C)</f>
        <v>700000</v>
      </c>
      <c r="AA101" s="1">
        <f>HLOOKUP($A$4,$AV$6:$BG101,(2+BH100),FALSE)</f>
        <v>459821.43</v>
      </c>
      <c r="AB101" s="1">
        <f>SUMIF('Open PR PO'!A:A,Monitoring!A101,'Open PR PO'!K:K)</f>
        <v>0</v>
      </c>
      <c r="AC101" s="1">
        <f t="shared" si="62"/>
        <v>459821.43</v>
      </c>
      <c r="AD101" s="1">
        <f t="shared" si="63"/>
        <v>240178.57</v>
      </c>
      <c r="AE101" s="1">
        <f t="shared" si="64"/>
        <v>240178.57</v>
      </c>
      <c r="AF101" s="1"/>
      <c r="AG101" s="53">
        <f>SUMIFS(Actual!$F:$F,Actual!$N:$N,Monitoring!AG$6,Actual!$A:$A,Monitoring!$A101)</f>
        <v>0</v>
      </c>
      <c r="AH101" s="53">
        <f>SUMIFS(Actual!$F:$F,Actual!$N:$N,Monitoring!AH$6,Actual!$A:$A,Monitoring!$A101)</f>
        <v>0</v>
      </c>
      <c r="AI101" s="53">
        <f>SUMIFS(Actual!$F:$F,Actual!$N:$N,Monitoring!AI$6,Actual!$A:$A,Monitoring!$A101)</f>
        <v>0</v>
      </c>
      <c r="AJ101" s="53">
        <f>SUMIFS(Actual!$F:$F,Actual!$N:$N,Monitoring!AJ$6,Actual!$A:$A,Monitoring!$A101)</f>
        <v>0</v>
      </c>
      <c r="AK101" s="53">
        <f>SUMIFS(Actual!$F:$F,Actual!$N:$N,Monitoring!AK$6,Actual!$A:$A,Monitoring!$A101)</f>
        <v>0</v>
      </c>
      <c r="AL101" s="53">
        <f>SUMIFS(Actual!$F:$F,Actual!$N:$N,Monitoring!AL$6,Actual!$A:$A,Monitoring!$A101)</f>
        <v>0</v>
      </c>
      <c r="AM101" s="53">
        <f>SUMIFS(Actual!$F:$F,Actual!$N:$N,Monitoring!AM$6,Actual!$A:$A,Monitoring!$A101)</f>
        <v>0</v>
      </c>
      <c r="AN101" s="53">
        <f>SUMIFS(Actual!$F:$F,Actual!$N:$N,Monitoring!AN$6,Actual!$A:$A,Monitoring!$A101)</f>
        <v>459821.43</v>
      </c>
      <c r="AO101" s="53">
        <f>SUMIFS(Actual!$F:$F,Actual!$N:$N,Monitoring!AO$6,Actual!$A:$A,Monitoring!$A101)</f>
        <v>0</v>
      </c>
      <c r="AP101" s="53">
        <f t="shared" si="44"/>
        <v>0</v>
      </c>
      <c r="AQ101" s="53">
        <f t="shared" si="45"/>
        <v>120089.285</v>
      </c>
      <c r="AR101" s="53">
        <f t="shared" si="46"/>
        <v>120089.285</v>
      </c>
      <c r="AS101" s="1">
        <f t="shared" si="47"/>
        <v>700000</v>
      </c>
      <c r="AT101" s="12">
        <f t="shared" si="48"/>
        <v>0</v>
      </c>
      <c r="AU101" s="1"/>
      <c r="AV101" s="53">
        <f t="shared" si="49"/>
        <v>0</v>
      </c>
      <c r="AW101" s="1">
        <f t="shared" si="50"/>
        <v>0</v>
      </c>
      <c r="AX101" s="1">
        <f t="shared" si="51"/>
        <v>0</v>
      </c>
      <c r="AY101" s="1">
        <f t="shared" si="52"/>
        <v>0</v>
      </c>
      <c r="AZ101" s="1">
        <f t="shared" si="53"/>
        <v>0</v>
      </c>
      <c r="BA101" s="1">
        <f t="shared" si="54"/>
        <v>0</v>
      </c>
      <c r="BB101" s="1">
        <f t="shared" si="55"/>
        <v>0</v>
      </c>
      <c r="BC101" s="1">
        <f t="shared" si="56"/>
        <v>459821.43</v>
      </c>
      <c r="BD101" s="1">
        <f t="shared" si="57"/>
        <v>459821.43</v>
      </c>
      <c r="BE101" s="1">
        <f t="shared" si="58"/>
        <v>459821.43</v>
      </c>
      <c r="BF101" s="1">
        <f t="shared" si="59"/>
        <v>579910.71499999997</v>
      </c>
      <c r="BG101" s="1">
        <f t="shared" si="60"/>
        <v>700000</v>
      </c>
      <c r="BH101">
        <f t="shared" si="61"/>
        <v>95</v>
      </c>
    </row>
    <row r="102" spans="1:60" x14ac:dyDescent="0.35">
      <c r="A102">
        <v>10001423</v>
      </c>
      <c r="B102" t="str">
        <f>J102</f>
        <v>SC1 FIRE AND JOCKEY PUMPS PARTS REPLACEMENT</v>
      </c>
      <c r="C102" t="s">
        <v>93</v>
      </c>
      <c r="D102" t="s">
        <v>93</v>
      </c>
      <c r="E102" t="s">
        <v>720</v>
      </c>
      <c r="F102" s="72" t="s">
        <v>1814</v>
      </c>
      <c r="G102" t="s">
        <v>1</v>
      </c>
      <c r="H102" t="s">
        <v>247</v>
      </c>
      <c r="I102">
        <v>1110</v>
      </c>
      <c r="J102" t="s">
        <v>721</v>
      </c>
      <c r="K102" s="3">
        <f t="shared" ref="K102:K104" si="67">LEN(J102)</f>
        <v>43</v>
      </c>
      <c r="L102" s="3" t="str">
        <f t="shared" ref="L102:L104" si="68">LEFT(M102,2)&amp;"00"</f>
        <v>8100</v>
      </c>
      <c r="M102">
        <v>81322201</v>
      </c>
      <c r="N102" s="3" t="str">
        <f>_xlfn.XLOOKUP(M102,[2]Sheet1!$A:$A,[2]Sheet1!$D:$D)</f>
        <v>SC 1 - OFFICE</v>
      </c>
      <c r="O102" t="s">
        <v>665</v>
      </c>
      <c r="P102" t="s">
        <v>91</v>
      </c>
      <c r="Q102" s="2" t="s">
        <v>718</v>
      </c>
      <c r="R102" s="1">
        <v>295600</v>
      </c>
      <c r="S102" s="63" t="s">
        <v>719</v>
      </c>
      <c r="T102" t="str">
        <f>_xlfn.XLOOKUP(M102,[2]Sheet1!$A:$A,[2]Sheet1!$E:$E)</f>
        <v>OFFICES</v>
      </c>
      <c r="U102" s="64" t="s">
        <v>22</v>
      </c>
      <c r="V102" s="63" t="s">
        <v>14</v>
      </c>
      <c r="W102" s="63" t="s">
        <v>686</v>
      </c>
      <c r="X102" s="63" t="s">
        <v>727</v>
      </c>
      <c r="Z102" s="1">
        <f>_xlfn.XLOOKUP(A102,'SAP Report'!A:A,'SAP Report'!C:C)</f>
        <v>295600</v>
      </c>
      <c r="AA102" s="1">
        <f>HLOOKUP($A$4,$AV$6:$BG102,(2+BH101),FALSE)</f>
        <v>96875</v>
      </c>
      <c r="AB102" s="1">
        <f>SUMIF('Open PR PO'!A:A,Monitoring!A102,'Open PR PO'!K:K)</f>
        <v>0</v>
      </c>
      <c r="AC102" s="1">
        <f t="shared" si="62"/>
        <v>96875</v>
      </c>
      <c r="AD102" s="1">
        <f t="shared" si="63"/>
        <v>198725</v>
      </c>
      <c r="AE102" s="1">
        <f t="shared" si="64"/>
        <v>198725</v>
      </c>
      <c r="AF102" s="1"/>
      <c r="AG102" s="53">
        <f>SUMIFS(Actual!$F:$F,Actual!$N:$N,Monitoring!AG$6,Actual!$A:$A,Monitoring!$A102)</f>
        <v>0</v>
      </c>
      <c r="AH102" s="53">
        <f>SUMIFS(Actual!$F:$F,Actual!$N:$N,Monitoring!AH$6,Actual!$A:$A,Monitoring!$A102)</f>
        <v>0</v>
      </c>
      <c r="AI102" s="53">
        <f>SUMIFS(Actual!$F:$F,Actual!$N:$N,Monitoring!AI$6,Actual!$A:$A,Monitoring!$A102)</f>
        <v>0</v>
      </c>
      <c r="AJ102" s="53">
        <f>SUMIFS(Actual!$F:$F,Actual!$N:$N,Monitoring!AJ$6,Actual!$A:$A,Monitoring!$A102)</f>
        <v>0</v>
      </c>
      <c r="AK102" s="53">
        <f>SUMIFS(Actual!$F:$F,Actual!$N:$N,Monitoring!AK$6,Actual!$A:$A,Monitoring!$A102)</f>
        <v>0</v>
      </c>
      <c r="AL102" s="53">
        <f>SUMIFS(Actual!$F:$F,Actual!$N:$N,Monitoring!AL$6,Actual!$A:$A,Monitoring!$A102)</f>
        <v>0</v>
      </c>
      <c r="AM102" s="53">
        <f>SUMIFS(Actual!$F:$F,Actual!$N:$N,Monitoring!AM$6,Actual!$A:$A,Monitoring!$A102)</f>
        <v>96875</v>
      </c>
      <c r="AN102" s="53">
        <f>SUMIFS(Actual!$F:$F,Actual!$N:$N,Monitoring!AN$6,Actual!$A:$A,Monitoring!$A102)</f>
        <v>0</v>
      </c>
      <c r="AO102" s="53">
        <f>SUMIFS(Actual!$F:$F,Actual!$N:$N,Monitoring!AO$6,Actual!$A:$A,Monitoring!$A102)</f>
        <v>0</v>
      </c>
      <c r="AP102" s="53">
        <f t="shared" si="44"/>
        <v>0</v>
      </c>
      <c r="AQ102" s="53">
        <f t="shared" si="45"/>
        <v>99362.5</v>
      </c>
      <c r="AR102" s="53">
        <f t="shared" si="46"/>
        <v>99362.5</v>
      </c>
      <c r="AS102" s="1">
        <f t="shared" si="47"/>
        <v>295600</v>
      </c>
      <c r="AT102" s="12">
        <f t="shared" si="48"/>
        <v>0</v>
      </c>
      <c r="AU102" s="1"/>
      <c r="AV102" s="53">
        <f t="shared" si="49"/>
        <v>0</v>
      </c>
      <c r="AW102" s="1">
        <f t="shared" si="50"/>
        <v>0</v>
      </c>
      <c r="AX102" s="1">
        <f t="shared" si="51"/>
        <v>0</v>
      </c>
      <c r="AY102" s="1">
        <f t="shared" si="52"/>
        <v>0</v>
      </c>
      <c r="AZ102" s="1">
        <f t="shared" si="53"/>
        <v>0</v>
      </c>
      <c r="BA102" s="1">
        <f t="shared" si="54"/>
        <v>0</v>
      </c>
      <c r="BB102" s="1">
        <f t="shared" si="55"/>
        <v>96875</v>
      </c>
      <c r="BC102" s="1">
        <f t="shared" si="56"/>
        <v>96875</v>
      </c>
      <c r="BD102" s="1">
        <f t="shared" si="57"/>
        <v>96875</v>
      </c>
      <c r="BE102" s="1">
        <f t="shared" si="58"/>
        <v>96875</v>
      </c>
      <c r="BF102" s="1">
        <f t="shared" si="59"/>
        <v>196237.5</v>
      </c>
      <c r="BG102" s="1">
        <f t="shared" si="60"/>
        <v>295600</v>
      </c>
      <c r="BH102">
        <f t="shared" si="61"/>
        <v>96</v>
      </c>
    </row>
    <row r="103" spans="1:60" x14ac:dyDescent="0.35">
      <c r="A103">
        <v>10001424</v>
      </c>
      <c r="B103" t="str">
        <f>J103</f>
        <v>SC1A FIRE AND JOCKEY PUMPS PARTS REPLACEMENT</v>
      </c>
      <c r="C103" t="s">
        <v>93</v>
      </c>
      <c r="D103" t="s">
        <v>93</v>
      </c>
      <c r="E103" t="s">
        <v>720</v>
      </c>
      <c r="F103" s="72" t="s">
        <v>1814</v>
      </c>
      <c r="G103" t="s">
        <v>1</v>
      </c>
      <c r="H103" t="s">
        <v>247</v>
      </c>
      <c r="I103">
        <v>1110</v>
      </c>
      <c r="J103" t="s">
        <v>722</v>
      </c>
      <c r="K103" s="3">
        <f t="shared" si="67"/>
        <v>44</v>
      </c>
      <c r="L103" s="3" t="str">
        <f t="shared" si="68"/>
        <v>8100</v>
      </c>
      <c r="M103">
        <v>81322204</v>
      </c>
      <c r="N103" s="3" t="str">
        <f>_xlfn.XLOOKUP(M103,[2]Sheet1!$A:$A,[2]Sheet1!$D:$D)</f>
        <v>SILVER CITY 1A</v>
      </c>
      <c r="O103" t="s">
        <v>665</v>
      </c>
      <c r="P103" t="s">
        <v>91</v>
      </c>
      <c r="Q103" s="2" t="s">
        <v>786</v>
      </c>
      <c r="R103" s="1">
        <f>147800-147800</f>
        <v>0</v>
      </c>
      <c r="S103" s="63" t="s">
        <v>719</v>
      </c>
      <c r="T103" t="str">
        <f>_xlfn.XLOOKUP(M103,[2]Sheet1!$A:$A,[2]Sheet1!$E:$E)</f>
        <v>OFFICES</v>
      </c>
      <c r="U103" s="64" t="s">
        <v>22</v>
      </c>
      <c r="V103" s="63" t="s">
        <v>14</v>
      </c>
      <c r="W103" s="63" t="s">
        <v>686</v>
      </c>
      <c r="X103" s="63" t="s">
        <v>879</v>
      </c>
      <c r="Z103" s="1">
        <f>_xlfn.XLOOKUP(A103,'SAP Report'!A:A,'SAP Report'!C:C)</f>
        <v>0</v>
      </c>
      <c r="AA103" s="1">
        <f>HLOOKUP($A$4,$AV$6:$BG103,(2+BH102),FALSE)</f>
        <v>0</v>
      </c>
      <c r="AB103" s="1">
        <f>SUMIF('Open PR PO'!A:A,Monitoring!A103,'Open PR PO'!K:K)</f>
        <v>0</v>
      </c>
      <c r="AC103" s="1">
        <f t="shared" si="62"/>
        <v>0</v>
      </c>
      <c r="AD103" s="1">
        <f t="shared" si="63"/>
        <v>0</v>
      </c>
      <c r="AE103" s="1">
        <f t="shared" si="64"/>
        <v>0</v>
      </c>
      <c r="AF103" s="1"/>
      <c r="AG103" s="53">
        <f>SUMIFS(Actual!$F:$F,Actual!$N:$N,Monitoring!AG$6,Actual!$A:$A,Monitoring!$A103)</f>
        <v>0</v>
      </c>
      <c r="AH103" s="53">
        <f>SUMIFS(Actual!$F:$F,Actual!$N:$N,Monitoring!AH$6,Actual!$A:$A,Monitoring!$A103)</f>
        <v>0</v>
      </c>
      <c r="AI103" s="53">
        <f>SUMIFS(Actual!$F:$F,Actual!$N:$N,Monitoring!AI$6,Actual!$A:$A,Monitoring!$A103)</f>
        <v>0</v>
      </c>
      <c r="AJ103" s="53">
        <f>SUMIFS(Actual!$F:$F,Actual!$N:$N,Monitoring!AJ$6,Actual!$A:$A,Monitoring!$A103)</f>
        <v>0</v>
      </c>
      <c r="AK103" s="53">
        <f>SUMIFS(Actual!$F:$F,Actual!$N:$N,Monitoring!AK$6,Actual!$A:$A,Monitoring!$A103)</f>
        <v>0</v>
      </c>
      <c r="AL103" s="53">
        <f>SUMIFS(Actual!$F:$F,Actual!$N:$N,Monitoring!AL$6,Actual!$A:$A,Monitoring!$A103)</f>
        <v>0</v>
      </c>
      <c r="AM103" s="53">
        <f>SUMIFS(Actual!$F:$F,Actual!$N:$N,Monitoring!AM$6,Actual!$A:$A,Monitoring!$A103)</f>
        <v>0</v>
      </c>
      <c r="AN103" s="53">
        <f>SUMIFS(Actual!$F:$F,Actual!$N:$N,Monitoring!AN$6,Actual!$A:$A,Monitoring!$A103)</f>
        <v>0</v>
      </c>
      <c r="AO103" s="53">
        <f>SUMIFS(Actual!$F:$F,Actual!$N:$N,Monitoring!AO$6,Actual!$A:$A,Monitoring!$A103)</f>
        <v>0</v>
      </c>
      <c r="AP103" s="53">
        <f t="shared" si="44"/>
        <v>0</v>
      </c>
      <c r="AQ103" s="53">
        <f t="shared" si="45"/>
        <v>0</v>
      </c>
      <c r="AR103" s="53">
        <f t="shared" si="46"/>
        <v>0</v>
      </c>
      <c r="AS103" s="1">
        <f t="shared" si="47"/>
        <v>0</v>
      </c>
      <c r="AT103" s="12">
        <f t="shared" si="48"/>
        <v>0</v>
      </c>
      <c r="AU103" s="1"/>
      <c r="AV103" s="53">
        <f t="shared" si="49"/>
        <v>0</v>
      </c>
      <c r="AW103" s="1">
        <f t="shared" si="50"/>
        <v>0</v>
      </c>
      <c r="AX103" s="1">
        <f t="shared" si="51"/>
        <v>0</v>
      </c>
      <c r="AY103" s="1">
        <f t="shared" si="52"/>
        <v>0</v>
      </c>
      <c r="AZ103" s="1">
        <f t="shared" si="53"/>
        <v>0</v>
      </c>
      <c r="BA103" s="1">
        <f t="shared" si="54"/>
        <v>0</v>
      </c>
      <c r="BB103" s="1">
        <f t="shared" si="55"/>
        <v>0</v>
      </c>
      <c r="BC103" s="1">
        <f t="shared" si="56"/>
        <v>0</v>
      </c>
      <c r="BD103" s="1">
        <f t="shared" si="57"/>
        <v>0</v>
      </c>
      <c r="BE103" s="1">
        <f t="shared" si="58"/>
        <v>0</v>
      </c>
      <c r="BF103" s="1">
        <f t="shared" si="59"/>
        <v>0</v>
      </c>
      <c r="BG103" s="1">
        <f t="shared" si="60"/>
        <v>0</v>
      </c>
      <c r="BH103">
        <f t="shared" si="61"/>
        <v>97</v>
      </c>
    </row>
    <row r="104" spans="1:60" x14ac:dyDescent="0.35">
      <c r="A104">
        <v>10001425</v>
      </c>
      <c r="B104" t="str">
        <f>J104</f>
        <v>SC2 FIRE AND JOCKEY PUMPS PARTS REPLACEMENT</v>
      </c>
      <c r="C104" t="s">
        <v>93</v>
      </c>
      <c r="D104" t="s">
        <v>93</v>
      </c>
      <c r="E104" t="s">
        <v>720</v>
      </c>
      <c r="F104" s="72" t="s">
        <v>1814</v>
      </c>
      <c r="G104" t="s">
        <v>1</v>
      </c>
      <c r="H104" t="s">
        <v>247</v>
      </c>
      <c r="I104">
        <v>1110</v>
      </c>
      <c r="J104" t="s">
        <v>723</v>
      </c>
      <c r="K104" s="3">
        <f t="shared" si="67"/>
        <v>43</v>
      </c>
      <c r="L104" s="3" t="str">
        <f t="shared" si="68"/>
        <v>8100</v>
      </c>
      <c r="M104">
        <v>81322202</v>
      </c>
      <c r="N104" s="3" t="str">
        <f>_xlfn.XLOOKUP(M104,[2]Sheet1!$A:$A,[2]Sheet1!$D:$D)</f>
        <v>SILVER CITY 2 &amp; 3</v>
      </c>
      <c r="O104" t="s">
        <v>665</v>
      </c>
      <c r="P104" t="s">
        <v>91</v>
      </c>
      <c r="Q104" s="2" t="s">
        <v>718</v>
      </c>
      <c r="R104" s="1">
        <v>147800</v>
      </c>
      <c r="S104" s="63" t="s">
        <v>719</v>
      </c>
      <c r="T104" t="str">
        <f>_xlfn.XLOOKUP(M104,[2]Sheet1!$A:$A,[2]Sheet1!$E:$E)</f>
        <v>OFFICES</v>
      </c>
      <c r="U104" s="64" t="s">
        <v>22</v>
      </c>
      <c r="V104" s="63" t="s">
        <v>14</v>
      </c>
      <c r="W104" s="63" t="s">
        <v>686</v>
      </c>
      <c r="X104" s="63" t="s">
        <v>728</v>
      </c>
      <c r="Z104" s="1">
        <f>_xlfn.XLOOKUP(A104,'SAP Report'!A:A,'SAP Report'!C:C)</f>
        <v>147800</v>
      </c>
      <c r="AA104" s="1">
        <f>HLOOKUP($A$4,$AV$6:$BG104,(2+BH103),FALSE)</f>
        <v>37053.57</v>
      </c>
      <c r="AB104" s="1">
        <f>SUMIF('Open PR PO'!A:A,Monitoring!A104,'Open PR PO'!K:K)</f>
        <v>0</v>
      </c>
      <c r="AC104" s="1">
        <f t="shared" si="62"/>
        <v>37053.57</v>
      </c>
      <c r="AD104" s="1">
        <f t="shared" si="63"/>
        <v>110746.43</v>
      </c>
      <c r="AE104" s="1">
        <f t="shared" si="64"/>
        <v>110746.43</v>
      </c>
      <c r="AF104" s="1"/>
      <c r="AG104" s="53">
        <f>SUMIFS(Actual!$F:$F,Actual!$N:$N,Monitoring!AG$6,Actual!$A:$A,Monitoring!$A104)</f>
        <v>0</v>
      </c>
      <c r="AH104" s="53">
        <f>SUMIFS(Actual!$F:$F,Actual!$N:$N,Monitoring!AH$6,Actual!$A:$A,Monitoring!$A104)</f>
        <v>0</v>
      </c>
      <c r="AI104" s="53">
        <f>SUMIFS(Actual!$F:$F,Actual!$N:$N,Monitoring!AI$6,Actual!$A:$A,Monitoring!$A104)</f>
        <v>0</v>
      </c>
      <c r="AJ104" s="53">
        <f>SUMIFS(Actual!$F:$F,Actual!$N:$N,Monitoring!AJ$6,Actual!$A:$A,Monitoring!$A104)</f>
        <v>0</v>
      </c>
      <c r="AK104" s="53">
        <f>SUMIFS(Actual!$F:$F,Actual!$N:$N,Monitoring!AK$6,Actual!$A:$A,Monitoring!$A104)</f>
        <v>0</v>
      </c>
      <c r="AL104" s="53">
        <f>SUMIFS(Actual!$F:$F,Actual!$N:$N,Monitoring!AL$6,Actual!$A:$A,Monitoring!$A104)</f>
        <v>0</v>
      </c>
      <c r="AM104" s="53">
        <f>SUMIFS(Actual!$F:$F,Actual!$N:$N,Monitoring!AM$6,Actual!$A:$A,Monitoring!$A104)</f>
        <v>37053.57</v>
      </c>
      <c r="AN104" s="53">
        <f>SUMIFS(Actual!$F:$F,Actual!$N:$N,Monitoring!AN$6,Actual!$A:$A,Monitoring!$A104)</f>
        <v>0</v>
      </c>
      <c r="AO104" s="53">
        <f>SUMIFS(Actual!$F:$F,Actual!$N:$N,Monitoring!AO$6,Actual!$A:$A,Monitoring!$A104)</f>
        <v>0</v>
      </c>
      <c r="AP104" s="53">
        <f t="shared" si="44"/>
        <v>0</v>
      </c>
      <c r="AQ104" s="53">
        <f t="shared" si="45"/>
        <v>55373.214999999997</v>
      </c>
      <c r="AR104" s="53">
        <f t="shared" si="46"/>
        <v>55373.214999999997</v>
      </c>
      <c r="AS104" s="1">
        <f t="shared" si="47"/>
        <v>147800</v>
      </c>
      <c r="AT104" s="12">
        <f t="shared" si="48"/>
        <v>0</v>
      </c>
      <c r="AU104" s="1"/>
      <c r="AV104" s="53">
        <f t="shared" si="49"/>
        <v>0</v>
      </c>
      <c r="AW104" s="1">
        <f t="shared" si="50"/>
        <v>0</v>
      </c>
      <c r="AX104" s="1">
        <f t="shared" si="51"/>
        <v>0</v>
      </c>
      <c r="AY104" s="1">
        <f t="shared" si="52"/>
        <v>0</v>
      </c>
      <c r="AZ104" s="1">
        <f t="shared" si="53"/>
        <v>0</v>
      </c>
      <c r="BA104" s="1">
        <f t="shared" si="54"/>
        <v>0</v>
      </c>
      <c r="BB104" s="1">
        <f t="shared" si="55"/>
        <v>37053.57</v>
      </c>
      <c r="BC104" s="1">
        <f t="shared" si="56"/>
        <v>37053.57</v>
      </c>
      <c r="BD104" s="1">
        <f t="shared" si="57"/>
        <v>37053.57</v>
      </c>
      <c r="BE104" s="1">
        <f t="shared" si="58"/>
        <v>37053.57</v>
      </c>
      <c r="BF104" s="1">
        <f t="shared" si="59"/>
        <v>92426.785000000003</v>
      </c>
      <c r="BG104" s="1">
        <f t="shared" si="60"/>
        <v>147800</v>
      </c>
      <c r="BH104">
        <f t="shared" si="61"/>
        <v>98</v>
      </c>
    </row>
    <row r="105" spans="1:60" x14ac:dyDescent="0.35">
      <c r="A105">
        <v>10001426</v>
      </c>
      <c r="B105" t="str">
        <f t="shared" ref="B105:B106" si="69">J105</f>
        <v>SC3 FIRE AND JOCKEY PUMPS PARTS REPLACEMENT</v>
      </c>
      <c r="C105" t="s">
        <v>93</v>
      </c>
      <c r="D105" t="s">
        <v>93</v>
      </c>
      <c r="E105" t="s">
        <v>720</v>
      </c>
      <c r="F105" s="72" t="s">
        <v>1814</v>
      </c>
      <c r="G105" t="s">
        <v>1</v>
      </c>
      <c r="H105" t="s">
        <v>247</v>
      </c>
      <c r="I105">
        <v>1110</v>
      </c>
      <c r="J105" t="s">
        <v>724</v>
      </c>
      <c r="K105" s="3">
        <f t="shared" ref="K105:K106" si="70">LEN(J105)</f>
        <v>43</v>
      </c>
      <c r="L105" s="3" t="str">
        <f t="shared" ref="L105:L106" si="71">LEFT(M105,2)&amp;"00"</f>
        <v>8100</v>
      </c>
      <c r="M105">
        <v>81322202</v>
      </c>
      <c r="N105" s="3" t="str">
        <f>_xlfn.XLOOKUP(M105,[2]Sheet1!$A:$A,[2]Sheet1!$D:$D)</f>
        <v>SILVER CITY 2 &amp; 3</v>
      </c>
      <c r="O105" t="s">
        <v>665</v>
      </c>
      <c r="P105" t="s">
        <v>91</v>
      </c>
      <c r="Q105" s="2" t="s">
        <v>718</v>
      </c>
      <c r="R105" s="1">
        <v>435000</v>
      </c>
      <c r="S105" s="63" t="s">
        <v>719</v>
      </c>
      <c r="T105" t="str">
        <f>_xlfn.XLOOKUP(M105,[2]Sheet1!$A:$A,[2]Sheet1!$E:$E)</f>
        <v>OFFICES</v>
      </c>
      <c r="U105" s="64" t="s">
        <v>22</v>
      </c>
      <c r="V105" s="63" t="s">
        <v>14</v>
      </c>
      <c r="W105" s="63" t="s">
        <v>686</v>
      </c>
      <c r="X105" s="63" t="s">
        <v>729</v>
      </c>
      <c r="Z105" s="1">
        <f>_xlfn.XLOOKUP(A105,'SAP Report'!A:A,'SAP Report'!C:C)</f>
        <v>435000</v>
      </c>
      <c r="AA105" s="1">
        <f>HLOOKUP($A$4,$AV$6:$BG105,(2+BH104),FALSE)</f>
        <v>348214.29</v>
      </c>
      <c r="AB105" s="1">
        <f>SUMIF('Open PR PO'!A:A,Monitoring!A105,'Open PR PO'!K:K)</f>
        <v>0</v>
      </c>
      <c r="AC105" s="1">
        <f t="shared" si="62"/>
        <v>348214.29</v>
      </c>
      <c r="AD105" s="1">
        <f t="shared" si="63"/>
        <v>86785.710000000021</v>
      </c>
      <c r="AE105" s="1">
        <f t="shared" si="64"/>
        <v>86785.710000000021</v>
      </c>
      <c r="AF105" s="1"/>
      <c r="AG105" s="53">
        <f>SUMIFS(Actual!$F:$F,Actual!$N:$N,Monitoring!AG$6,Actual!$A:$A,Monitoring!$A105)</f>
        <v>0</v>
      </c>
      <c r="AH105" s="53">
        <f>SUMIFS(Actual!$F:$F,Actual!$N:$N,Monitoring!AH$6,Actual!$A:$A,Monitoring!$A105)</f>
        <v>0</v>
      </c>
      <c r="AI105" s="53">
        <f>SUMIFS(Actual!$F:$F,Actual!$N:$N,Monitoring!AI$6,Actual!$A:$A,Monitoring!$A105)</f>
        <v>0</v>
      </c>
      <c r="AJ105" s="53">
        <f>SUMIFS(Actual!$F:$F,Actual!$N:$N,Monitoring!AJ$6,Actual!$A:$A,Monitoring!$A105)</f>
        <v>348214.29</v>
      </c>
      <c r="AK105" s="53">
        <f>SUMIFS(Actual!$F:$F,Actual!$N:$N,Monitoring!AK$6,Actual!$A:$A,Monitoring!$A105)</f>
        <v>0</v>
      </c>
      <c r="AL105" s="53">
        <f>SUMIFS(Actual!$F:$F,Actual!$N:$N,Monitoring!AL$6,Actual!$A:$A,Monitoring!$A105)</f>
        <v>0</v>
      </c>
      <c r="AM105" s="53">
        <f>SUMIFS(Actual!$F:$F,Actual!$N:$N,Monitoring!AM$6,Actual!$A:$A,Monitoring!$A105)</f>
        <v>0</v>
      </c>
      <c r="AN105" s="53">
        <f>SUMIFS(Actual!$F:$F,Actual!$N:$N,Monitoring!AN$6,Actual!$A:$A,Monitoring!$A105)</f>
        <v>0</v>
      </c>
      <c r="AO105" s="53">
        <f>SUMIFS(Actual!$F:$F,Actual!$N:$N,Monitoring!AO$6,Actual!$A:$A,Monitoring!$A105)</f>
        <v>0</v>
      </c>
      <c r="AP105" s="53">
        <f t="shared" si="44"/>
        <v>0</v>
      </c>
      <c r="AQ105" s="53">
        <f t="shared" si="45"/>
        <v>43392.85500000001</v>
      </c>
      <c r="AR105" s="53">
        <f t="shared" si="46"/>
        <v>43392.85500000001</v>
      </c>
      <c r="AS105" s="1">
        <f t="shared" si="47"/>
        <v>435000</v>
      </c>
      <c r="AT105" s="12">
        <f t="shared" si="48"/>
        <v>0</v>
      </c>
      <c r="AU105" s="1"/>
      <c r="AV105" s="53">
        <f t="shared" si="49"/>
        <v>0</v>
      </c>
      <c r="AW105" s="1">
        <f t="shared" si="50"/>
        <v>0</v>
      </c>
      <c r="AX105" s="1">
        <f t="shared" si="51"/>
        <v>0</v>
      </c>
      <c r="AY105" s="1">
        <f t="shared" si="52"/>
        <v>348214.29</v>
      </c>
      <c r="AZ105" s="1">
        <f t="shared" si="53"/>
        <v>348214.29</v>
      </c>
      <c r="BA105" s="1">
        <f t="shared" si="54"/>
        <v>348214.29</v>
      </c>
      <c r="BB105" s="1">
        <f t="shared" si="55"/>
        <v>348214.29</v>
      </c>
      <c r="BC105" s="1">
        <f t="shared" si="56"/>
        <v>348214.29</v>
      </c>
      <c r="BD105" s="1">
        <f t="shared" si="57"/>
        <v>348214.29</v>
      </c>
      <c r="BE105" s="1">
        <f t="shared" si="58"/>
        <v>348214.29</v>
      </c>
      <c r="BF105" s="1">
        <f t="shared" si="59"/>
        <v>391607.14500000002</v>
      </c>
      <c r="BG105" s="1">
        <f t="shared" si="60"/>
        <v>435000</v>
      </c>
      <c r="BH105">
        <f t="shared" si="61"/>
        <v>99</v>
      </c>
    </row>
    <row r="106" spans="1:60" x14ac:dyDescent="0.35">
      <c r="A106">
        <v>10001427</v>
      </c>
      <c r="B106" t="str">
        <f t="shared" si="69"/>
        <v>SC4 FIRE AND JOCKEY PUMPS PARTS REPLACEMENT</v>
      </c>
      <c r="C106" t="s">
        <v>93</v>
      </c>
      <c r="D106" t="s">
        <v>93</v>
      </c>
      <c r="E106" t="s">
        <v>720</v>
      </c>
      <c r="F106" s="72" t="s">
        <v>1814</v>
      </c>
      <c r="G106" t="s">
        <v>1</v>
      </c>
      <c r="H106" t="s">
        <v>247</v>
      </c>
      <c r="I106">
        <v>1110</v>
      </c>
      <c r="J106" t="s">
        <v>725</v>
      </c>
      <c r="K106" s="3">
        <f t="shared" si="70"/>
        <v>43</v>
      </c>
      <c r="L106" s="3" t="str">
        <f t="shared" si="71"/>
        <v>8100</v>
      </c>
      <c r="M106">
        <v>81322203</v>
      </c>
      <c r="N106" s="3" t="str">
        <f>_xlfn.XLOOKUP(M106,[2]Sheet1!$A:$A,[2]Sheet1!$D:$D)</f>
        <v>SILVER CITY 4</v>
      </c>
      <c r="O106" t="s">
        <v>665</v>
      </c>
      <c r="P106" t="s">
        <v>91</v>
      </c>
      <c r="Q106" s="2" t="s">
        <v>786</v>
      </c>
      <c r="R106" s="1">
        <f>295600-295600</f>
        <v>0</v>
      </c>
      <c r="S106" s="63" t="s">
        <v>719</v>
      </c>
      <c r="T106" t="str">
        <f>_xlfn.XLOOKUP(M106,[2]Sheet1!$A:$A,[2]Sheet1!$E:$E)</f>
        <v>OFFICES</v>
      </c>
      <c r="U106" s="64" t="s">
        <v>22</v>
      </c>
      <c r="V106" s="63" t="s">
        <v>14</v>
      </c>
      <c r="W106" s="63" t="s">
        <v>686</v>
      </c>
      <c r="X106" s="63" t="s">
        <v>880</v>
      </c>
      <c r="Z106" s="1">
        <f>_xlfn.XLOOKUP(A106,'SAP Report'!A:A,'SAP Report'!C:C)</f>
        <v>0</v>
      </c>
      <c r="AA106" s="1">
        <f>HLOOKUP($A$4,$AV$6:$BG106,(2+BH105),FALSE)</f>
        <v>0</v>
      </c>
      <c r="AB106" s="1">
        <f>SUMIF('Open PR PO'!A:A,Monitoring!A106,'Open PR PO'!K:K)</f>
        <v>0</v>
      </c>
      <c r="AC106" s="1">
        <f t="shared" si="62"/>
        <v>0</v>
      </c>
      <c r="AD106" s="1">
        <f t="shared" si="63"/>
        <v>0</v>
      </c>
      <c r="AE106" s="1">
        <f t="shared" si="64"/>
        <v>0</v>
      </c>
      <c r="AF106" s="1"/>
      <c r="AG106" s="53">
        <f>SUMIFS(Actual!$F:$F,Actual!$N:$N,Monitoring!AG$6,Actual!$A:$A,Monitoring!$A106)</f>
        <v>0</v>
      </c>
      <c r="AH106" s="53">
        <f>SUMIFS(Actual!$F:$F,Actual!$N:$N,Monitoring!AH$6,Actual!$A:$A,Monitoring!$A106)</f>
        <v>0</v>
      </c>
      <c r="AI106" s="53">
        <f>SUMIFS(Actual!$F:$F,Actual!$N:$N,Monitoring!AI$6,Actual!$A:$A,Monitoring!$A106)</f>
        <v>0</v>
      </c>
      <c r="AJ106" s="53">
        <f>SUMIFS(Actual!$F:$F,Actual!$N:$N,Monitoring!AJ$6,Actual!$A:$A,Monitoring!$A106)</f>
        <v>0</v>
      </c>
      <c r="AK106" s="53">
        <f>SUMIFS(Actual!$F:$F,Actual!$N:$N,Monitoring!AK$6,Actual!$A:$A,Monitoring!$A106)</f>
        <v>0</v>
      </c>
      <c r="AL106" s="53">
        <f>SUMIFS(Actual!$F:$F,Actual!$N:$N,Monitoring!AL$6,Actual!$A:$A,Monitoring!$A106)</f>
        <v>0</v>
      </c>
      <c r="AM106" s="53">
        <f>SUMIFS(Actual!$F:$F,Actual!$N:$N,Monitoring!AM$6,Actual!$A:$A,Monitoring!$A106)</f>
        <v>0</v>
      </c>
      <c r="AN106" s="53">
        <f>SUMIFS(Actual!$F:$F,Actual!$N:$N,Monitoring!AN$6,Actual!$A:$A,Monitoring!$A106)</f>
        <v>0</v>
      </c>
      <c r="AO106" s="53">
        <f>SUMIFS(Actual!$F:$F,Actual!$N:$N,Monitoring!AO$6,Actual!$A:$A,Monitoring!$A106)</f>
        <v>0</v>
      </c>
      <c r="AP106" s="53">
        <f t="shared" si="44"/>
        <v>0</v>
      </c>
      <c r="AQ106" s="53">
        <f t="shared" si="45"/>
        <v>0</v>
      </c>
      <c r="AR106" s="53">
        <f t="shared" si="46"/>
        <v>0</v>
      </c>
      <c r="AS106" s="1">
        <f t="shared" si="47"/>
        <v>0</v>
      </c>
      <c r="AT106" s="12">
        <f t="shared" si="48"/>
        <v>0</v>
      </c>
      <c r="AU106" s="1"/>
      <c r="AV106" s="53">
        <f t="shared" si="49"/>
        <v>0</v>
      </c>
      <c r="AW106" s="1">
        <f t="shared" si="50"/>
        <v>0</v>
      </c>
      <c r="AX106" s="1">
        <f t="shared" si="51"/>
        <v>0</v>
      </c>
      <c r="AY106" s="1">
        <f t="shared" si="52"/>
        <v>0</v>
      </c>
      <c r="AZ106" s="1">
        <f t="shared" si="53"/>
        <v>0</v>
      </c>
      <c r="BA106" s="1">
        <f t="shared" si="54"/>
        <v>0</v>
      </c>
      <c r="BB106" s="1">
        <f t="shared" si="55"/>
        <v>0</v>
      </c>
      <c r="BC106" s="1">
        <f t="shared" si="56"/>
        <v>0</v>
      </c>
      <c r="BD106" s="1">
        <f t="shared" si="57"/>
        <v>0</v>
      </c>
      <c r="BE106" s="1">
        <f t="shared" si="58"/>
        <v>0</v>
      </c>
      <c r="BF106" s="1">
        <f t="shared" si="59"/>
        <v>0</v>
      </c>
      <c r="BG106" s="1">
        <f t="shared" si="60"/>
        <v>0</v>
      </c>
      <c r="BH106">
        <f t="shared" si="61"/>
        <v>100</v>
      </c>
    </row>
    <row r="107" spans="1:60" x14ac:dyDescent="0.35">
      <c r="A107">
        <v>10001428</v>
      </c>
      <c r="B107" t="str">
        <f t="shared" ref="B107:B125" si="72">J107</f>
        <v>SC5 FIRE AND JOCKEY PUMPS PARTS REPLACEMENT</v>
      </c>
      <c r="C107" t="s">
        <v>93</v>
      </c>
      <c r="D107" t="s">
        <v>93</v>
      </c>
      <c r="E107" t="s">
        <v>720</v>
      </c>
      <c r="F107" s="72" t="s">
        <v>1814</v>
      </c>
      <c r="G107" t="s">
        <v>1</v>
      </c>
      <c r="H107" t="s">
        <v>247</v>
      </c>
      <c r="I107">
        <v>1110</v>
      </c>
      <c r="J107" t="s">
        <v>726</v>
      </c>
      <c r="K107" s="3">
        <f t="shared" ref="K107:K125" si="73">LEN(J107)</f>
        <v>43</v>
      </c>
      <c r="L107" s="3" t="str">
        <f t="shared" ref="L107:L125" si="74">LEFT(M107,2)&amp;"00"</f>
        <v>8100</v>
      </c>
      <c r="M107">
        <v>81322301</v>
      </c>
      <c r="N107" s="3" t="str">
        <f>_xlfn.XLOOKUP(M107,[2]Sheet1!$A:$A,[2]Sheet1!$D:$D)</f>
        <v>SILVER CITY 5 OFFICE</v>
      </c>
      <c r="O107" t="s">
        <v>665</v>
      </c>
      <c r="P107" t="s">
        <v>91</v>
      </c>
      <c r="Q107" s="2" t="s">
        <v>718</v>
      </c>
      <c r="R107" s="1">
        <v>678200</v>
      </c>
      <c r="S107" s="63" t="s">
        <v>719</v>
      </c>
      <c r="T107" t="str">
        <f>_xlfn.XLOOKUP(M107,[2]Sheet1!$A:$A,[2]Sheet1!$E:$E)</f>
        <v>OFFICES</v>
      </c>
      <c r="U107" s="64" t="s">
        <v>22</v>
      </c>
      <c r="V107" s="63" t="s">
        <v>14</v>
      </c>
      <c r="W107" s="63" t="s">
        <v>686</v>
      </c>
      <c r="X107" s="63" t="s">
        <v>730</v>
      </c>
      <c r="Z107" s="1">
        <f>_xlfn.XLOOKUP(A107,'SAP Report'!A:A,'SAP Report'!C:C)</f>
        <v>678200</v>
      </c>
      <c r="AA107" s="1">
        <f>HLOOKUP($A$4,$AV$6:$BG107,(2+BH106),FALSE)</f>
        <v>437500</v>
      </c>
      <c r="AB107" s="1">
        <f>SUMIF('Open PR PO'!A:A,Monitoring!A107,'Open PR PO'!K:K)</f>
        <v>0</v>
      </c>
      <c r="AC107" s="1">
        <f t="shared" si="62"/>
        <v>437500</v>
      </c>
      <c r="AD107" s="1">
        <f t="shared" si="63"/>
        <v>240700</v>
      </c>
      <c r="AE107" s="1">
        <f t="shared" si="64"/>
        <v>240700</v>
      </c>
      <c r="AF107" s="1"/>
      <c r="AG107" s="53">
        <f>SUMIFS(Actual!$F:$F,Actual!$N:$N,Monitoring!AG$6,Actual!$A:$A,Monitoring!$A107)</f>
        <v>0</v>
      </c>
      <c r="AH107" s="53">
        <f>SUMIFS(Actual!$F:$F,Actual!$N:$N,Monitoring!AH$6,Actual!$A:$A,Monitoring!$A107)</f>
        <v>0</v>
      </c>
      <c r="AI107" s="53">
        <f>SUMIFS(Actual!$F:$F,Actual!$N:$N,Monitoring!AI$6,Actual!$A:$A,Monitoring!$A107)</f>
        <v>0</v>
      </c>
      <c r="AJ107" s="53">
        <f>SUMIFS(Actual!$F:$F,Actual!$N:$N,Monitoring!AJ$6,Actual!$A:$A,Monitoring!$A107)</f>
        <v>0</v>
      </c>
      <c r="AK107" s="53">
        <f>SUMIFS(Actual!$F:$F,Actual!$N:$N,Monitoring!AK$6,Actual!$A:$A,Monitoring!$A107)</f>
        <v>0</v>
      </c>
      <c r="AL107" s="53">
        <f>SUMIFS(Actual!$F:$F,Actual!$N:$N,Monitoring!AL$6,Actual!$A:$A,Monitoring!$A107)</f>
        <v>437500</v>
      </c>
      <c r="AM107" s="53">
        <f>SUMIFS(Actual!$F:$F,Actual!$N:$N,Monitoring!AM$6,Actual!$A:$A,Monitoring!$A107)</f>
        <v>0</v>
      </c>
      <c r="AN107" s="53">
        <f>SUMIFS(Actual!$F:$F,Actual!$N:$N,Monitoring!AN$6,Actual!$A:$A,Monitoring!$A107)</f>
        <v>0</v>
      </c>
      <c r="AO107" s="53">
        <f>SUMIFS(Actual!$F:$F,Actual!$N:$N,Monitoring!AO$6,Actual!$A:$A,Monitoring!$A107)</f>
        <v>0</v>
      </c>
      <c r="AP107" s="53">
        <f t="shared" si="44"/>
        <v>0</v>
      </c>
      <c r="AQ107" s="53">
        <f t="shared" si="45"/>
        <v>120350</v>
      </c>
      <c r="AR107" s="53">
        <f t="shared" si="46"/>
        <v>120350</v>
      </c>
      <c r="AS107" s="1">
        <f t="shared" si="47"/>
        <v>678200</v>
      </c>
      <c r="AT107" s="12">
        <f t="shared" si="48"/>
        <v>0</v>
      </c>
      <c r="AU107" s="1"/>
      <c r="AV107" s="53">
        <f t="shared" si="49"/>
        <v>0</v>
      </c>
      <c r="AW107" s="1">
        <f t="shared" si="50"/>
        <v>0</v>
      </c>
      <c r="AX107" s="1">
        <f t="shared" si="51"/>
        <v>0</v>
      </c>
      <c r="AY107" s="1">
        <f t="shared" si="52"/>
        <v>0</v>
      </c>
      <c r="AZ107" s="1">
        <f t="shared" si="53"/>
        <v>0</v>
      </c>
      <c r="BA107" s="1">
        <f t="shared" si="54"/>
        <v>437500</v>
      </c>
      <c r="BB107" s="1">
        <f t="shared" si="55"/>
        <v>437500</v>
      </c>
      <c r="BC107" s="1">
        <f t="shared" si="56"/>
        <v>437500</v>
      </c>
      <c r="BD107" s="1">
        <f t="shared" si="57"/>
        <v>437500</v>
      </c>
      <c r="BE107" s="1">
        <f t="shared" si="58"/>
        <v>437500</v>
      </c>
      <c r="BF107" s="1">
        <f t="shared" si="59"/>
        <v>557850</v>
      </c>
      <c r="BG107" s="1">
        <f t="shared" si="60"/>
        <v>678200</v>
      </c>
      <c r="BH107">
        <f t="shared" si="61"/>
        <v>101</v>
      </c>
    </row>
    <row r="108" spans="1:60" x14ac:dyDescent="0.35">
      <c r="A108">
        <v>10001296</v>
      </c>
      <c r="B108" t="str">
        <f t="shared" si="72"/>
        <v>GH MALL ADMIN RELOCATION AND CONVERSION TO TIANGGE</v>
      </c>
      <c r="C108" t="s">
        <v>9</v>
      </c>
      <c r="D108" t="s">
        <v>9</v>
      </c>
      <c r="E108" t="s">
        <v>736</v>
      </c>
      <c r="F108" s="72" t="s">
        <v>1814</v>
      </c>
      <c r="G108" t="s">
        <v>1</v>
      </c>
      <c r="H108" t="s">
        <v>527</v>
      </c>
      <c r="I108">
        <v>1100</v>
      </c>
      <c r="J108" t="s">
        <v>737</v>
      </c>
      <c r="K108" s="3">
        <f t="shared" si="73"/>
        <v>50</v>
      </c>
      <c r="L108" s="3" t="str">
        <f t="shared" si="74"/>
        <v>8100</v>
      </c>
      <c r="M108">
        <v>81221201</v>
      </c>
      <c r="N108" s="3" t="str">
        <f>_xlfn.XLOOKUP(M108,[2]Sheet1!$A:$A,[2]Sheet1!$D:$D)</f>
        <v>GSC OLD BLDGS</v>
      </c>
      <c r="O108" t="s">
        <v>738</v>
      </c>
      <c r="P108" t="s">
        <v>13</v>
      </c>
      <c r="Q108" s="2" t="s">
        <v>739</v>
      </c>
      <c r="R108" s="89">
        <f>48435.32+458035.71</f>
        <v>506471.03</v>
      </c>
      <c r="S108" s="63" t="s">
        <v>686</v>
      </c>
      <c r="T108" t="str">
        <f>_xlfn.XLOOKUP(M108,[2]Sheet1!$A:$A,[2]Sheet1!$E:$E)</f>
        <v>MALLS</v>
      </c>
      <c r="U108" s="64" t="s">
        <v>22</v>
      </c>
      <c r="V108" s="63" t="s">
        <v>14</v>
      </c>
      <c r="W108" s="63" t="s">
        <v>740</v>
      </c>
      <c r="X108" s="63" t="s">
        <v>741</v>
      </c>
      <c r="Z108" s="1">
        <f>_xlfn.XLOOKUP(A108,'SAP Report'!A:A,'SAP Report'!C:C)</f>
        <v>506471.03</v>
      </c>
      <c r="AA108" s="1">
        <f>HLOOKUP($A$4,$AV$6:$BG108,(2+BH107),FALSE)</f>
        <v>437499.99000000005</v>
      </c>
      <c r="AB108" s="1">
        <f>SUMIF('Open PR PO'!A:A,Monitoring!A108,'Open PR PO'!K:K)</f>
        <v>20810.32</v>
      </c>
      <c r="AC108" s="1">
        <f t="shared" si="62"/>
        <v>458310.31000000006</v>
      </c>
      <c r="AD108" s="1">
        <f t="shared" si="63"/>
        <v>48160.719999999972</v>
      </c>
      <c r="AE108" s="1">
        <f t="shared" si="64"/>
        <v>68971.039999999979</v>
      </c>
      <c r="AF108" s="1"/>
      <c r="AG108" s="53">
        <f>SUMIFS(Actual!$F:$F,Actual!$N:$N,Monitoring!AG$6,Actual!$A:$A,Monitoring!$A108)</f>
        <v>169696.43</v>
      </c>
      <c r="AH108" s="53">
        <f>SUMIFS(Actual!$F:$F,Actual!$N:$N,Monitoring!AH$6,Actual!$A:$A,Monitoring!$A108)</f>
        <v>-196482.14999999997</v>
      </c>
      <c r="AI108" s="53">
        <f>SUMIFS(Actual!$F:$F,Actual!$N:$N,Monitoring!AI$6,Actual!$A:$A,Monitoring!$A108)</f>
        <v>464285.71</v>
      </c>
      <c r="AJ108" s="53">
        <f>SUMIFS(Actual!$F:$F,Actual!$N:$N,Monitoring!AJ$6,Actual!$A:$A,Monitoring!$A108)</f>
        <v>0</v>
      </c>
      <c r="AK108" s="53">
        <f>SUMIFS(Actual!$F:$F,Actual!$N:$N,Monitoring!AK$6,Actual!$A:$A,Monitoring!$A108)</f>
        <v>0</v>
      </c>
      <c r="AL108" s="53">
        <f>SUMIFS(Actual!$F:$F,Actual!$N:$N,Monitoring!AL$6,Actual!$A:$A,Monitoring!$A108)</f>
        <v>0</v>
      </c>
      <c r="AM108" s="53">
        <f>SUMIFS(Actual!$F:$F,Actual!$N:$N,Monitoring!AM$6,Actual!$A:$A,Monitoring!$A108)</f>
        <v>0</v>
      </c>
      <c r="AN108" s="53">
        <f>SUMIFS(Actual!$F:$F,Actual!$N:$N,Monitoring!AN$6,Actual!$A:$A,Monitoring!$A108)</f>
        <v>0</v>
      </c>
      <c r="AO108" s="53">
        <f>SUMIFS(Actual!$F:$F,Actual!$N:$N,Monitoring!AO$6,Actual!$A:$A,Monitoring!$A108)</f>
        <v>0</v>
      </c>
      <c r="AP108" s="53">
        <f t="shared" si="44"/>
        <v>20810.32</v>
      </c>
      <c r="AQ108" s="53">
        <f t="shared" si="45"/>
        <v>24080.359999999986</v>
      </c>
      <c r="AR108" s="53">
        <f t="shared" si="46"/>
        <v>24080.359999999986</v>
      </c>
      <c r="AS108" s="1">
        <f t="shared" si="47"/>
        <v>506471.03</v>
      </c>
      <c r="AT108" s="12">
        <f t="shared" si="48"/>
        <v>0</v>
      </c>
      <c r="AU108" s="1"/>
      <c r="AV108" s="53">
        <f t="shared" si="49"/>
        <v>169696.43</v>
      </c>
      <c r="AW108" s="1">
        <f t="shared" si="50"/>
        <v>-26785.719999999972</v>
      </c>
      <c r="AX108" s="1">
        <f t="shared" si="51"/>
        <v>437499.99000000005</v>
      </c>
      <c r="AY108" s="1">
        <f t="shared" si="52"/>
        <v>437499.99000000005</v>
      </c>
      <c r="AZ108" s="1">
        <f t="shared" si="53"/>
        <v>437499.99000000005</v>
      </c>
      <c r="BA108" s="1">
        <f t="shared" si="54"/>
        <v>437499.99000000005</v>
      </c>
      <c r="BB108" s="1">
        <f t="shared" si="55"/>
        <v>437499.99000000005</v>
      </c>
      <c r="BC108" s="1">
        <f t="shared" si="56"/>
        <v>437499.99000000005</v>
      </c>
      <c r="BD108" s="1">
        <f t="shared" si="57"/>
        <v>437499.99000000005</v>
      </c>
      <c r="BE108" s="1">
        <f t="shared" si="58"/>
        <v>458310.31000000006</v>
      </c>
      <c r="BF108" s="1">
        <f t="shared" si="59"/>
        <v>482390.67000000004</v>
      </c>
      <c r="BG108" s="1">
        <f t="shared" si="60"/>
        <v>506471.03</v>
      </c>
      <c r="BH108">
        <f t="shared" si="61"/>
        <v>102</v>
      </c>
    </row>
    <row r="109" spans="1:60" x14ac:dyDescent="0.35">
      <c r="A109">
        <v>40001263</v>
      </c>
      <c r="B109" t="str">
        <f t="shared" si="72"/>
        <v>HCI MIGRATION PROJECT</v>
      </c>
      <c r="C109" t="s">
        <v>85</v>
      </c>
      <c r="D109" t="s">
        <v>797</v>
      </c>
      <c r="E109" t="s">
        <v>804</v>
      </c>
      <c r="F109" s="72" t="s">
        <v>1814</v>
      </c>
      <c r="G109" t="s">
        <v>1</v>
      </c>
      <c r="H109" t="s">
        <v>427</v>
      </c>
      <c r="I109">
        <v>1312</v>
      </c>
      <c r="J109" t="s">
        <v>742</v>
      </c>
      <c r="K109" s="3">
        <f t="shared" si="73"/>
        <v>21</v>
      </c>
      <c r="L109" s="3" t="str">
        <f t="shared" si="74"/>
        <v>8100</v>
      </c>
      <c r="M109">
        <v>81124101</v>
      </c>
      <c r="N109" s="3" t="str">
        <f>_xlfn.XLOOKUP(M109,[2]Sheet1!$A:$A,[2]Sheet1!$D:$D)</f>
        <v>IS &amp; IT</v>
      </c>
      <c r="O109" t="s">
        <v>397</v>
      </c>
      <c r="P109" t="s">
        <v>743</v>
      </c>
      <c r="Q109" s="2" t="s">
        <v>744</v>
      </c>
      <c r="R109" s="1">
        <f>15383132.52-1677775.38</f>
        <v>13705357.140000001</v>
      </c>
      <c r="S109" s="63" t="s">
        <v>740</v>
      </c>
      <c r="T109" t="str">
        <f>_xlfn.XLOOKUP(M109,[2]Sheet1!$A:$A,[2]Sheet1!$E:$E)</f>
        <v>CORPORATE</v>
      </c>
      <c r="U109" s="64" t="s">
        <v>746</v>
      </c>
      <c r="V109" s="63" t="s">
        <v>14</v>
      </c>
      <c r="W109" s="64" t="s">
        <v>746</v>
      </c>
      <c r="X109" s="63" t="s">
        <v>747</v>
      </c>
      <c r="Z109" s="1">
        <f>_xlfn.XLOOKUP(A109,'SAP Report'!A:A,'SAP Report'!C:C)</f>
        <v>13705357.140000001</v>
      </c>
      <c r="AA109" s="1">
        <f>HLOOKUP($A$4,$AV$6:$BG109,(2+BH108),FALSE)</f>
        <v>13705357.140000001</v>
      </c>
      <c r="AB109" s="1">
        <f>SUMIF('Open PR PO'!A:A,Monitoring!A109,'Open PR PO'!K:K)</f>
        <v>0</v>
      </c>
      <c r="AC109" s="1">
        <f t="shared" si="62"/>
        <v>13705357.140000001</v>
      </c>
      <c r="AD109" s="1">
        <f t="shared" si="63"/>
        <v>0</v>
      </c>
      <c r="AE109" s="1">
        <f t="shared" si="64"/>
        <v>0</v>
      </c>
      <c r="AF109" s="1"/>
      <c r="AG109" s="53">
        <f>SUMIFS(Actual!$F:$F,Actual!$N:$N,Monitoring!AG$6,Actual!$A:$A,Monitoring!$A109)</f>
        <v>0</v>
      </c>
      <c r="AH109" s="53">
        <f>SUMIFS(Actual!$F:$F,Actual!$N:$N,Monitoring!AH$6,Actual!$A:$A,Monitoring!$A109)</f>
        <v>0</v>
      </c>
      <c r="AI109" s="53">
        <f>SUMIFS(Actual!$F:$F,Actual!$N:$N,Monitoring!AI$6,Actual!$A:$A,Monitoring!$A109)</f>
        <v>0</v>
      </c>
      <c r="AJ109" s="53">
        <f>SUMIFS(Actual!$F:$F,Actual!$N:$N,Monitoring!AJ$6,Actual!$A:$A,Monitoring!$A109)</f>
        <v>0</v>
      </c>
      <c r="AK109" s="53">
        <f>SUMIFS(Actual!$F:$F,Actual!$N:$N,Monitoring!AK$6,Actual!$A:$A,Monitoring!$A109)</f>
        <v>13705357.140000001</v>
      </c>
      <c r="AL109" s="53">
        <f>SUMIFS(Actual!$F:$F,Actual!$N:$N,Monitoring!AL$6,Actual!$A:$A,Monitoring!$A109)</f>
        <v>0</v>
      </c>
      <c r="AM109" s="53">
        <f>SUMIFS(Actual!$F:$F,Actual!$N:$N,Monitoring!AM$6,Actual!$A:$A,Monitoring!$A109)</f>
        <v>0</v>
      </c>
      <c r="AN109" s="53">
        <f>SUMIFS(Actual!$F:$F,Actual!$N:$N,Monitoring!AN$6,Actual!$A:$A,Monitoring!$A109)</f>
        <v>0</v>
      </c>
      <c r="AO109" s="53">
        <f>SUMIFS(Actual!$F:$F,Actual!$N:$N,Monitoring!AO$6,Actual!$A:$A,Monitoring!$A109)</f>
        <v>0</v>
      </c>
      <c r="AP109" s="53">
        <f t="shared" si="44"/>
        <v>0</v>
      </c>
      <c r="AQ109" s="53">
        <f t="shared" si="45"/>
        <v>0</v>
      </c>
      <c r="AR109" s="53">
        <f t="shared" si="46"/>
        <v>0</v>
      </c>
      <c r="AS109" s="1">
        <f t="shared" si="47"/>
        <v>13705357.140000001</v>
      </c>
      <c r="AT109" s="12">
        <f t="shared" si="48"/>
        <v>0</v>
      </c>
      <c r="AU109" s="1"/>
      <c r="AV109" s="53">
        <f t="shared" si="49"/>
        <v>0</v>
      </c>
      <c r="AW109" s="1">
        <f t="shared" si="50"/>
        <v>0</v>
      </c>
      <c r="AX109" s="1">
        <f t="shared" si="51"/>
        <v>0</v>
      </c>
      <c r="AY109" s="1">
        <f t="shared" si="52"/>
        <v>0</v>
      </c>
      <c r="AZ109" s="1">
        <f t="shared" si="53"/>
        <v>13705357.140000001</v>
      </c>
      <c r="BA109" s="1">
        <f t="shared" si="54"/>
        <v>13705357.140000001</v>
      </c>
      <c r="BB109" s="1">
        <f t="shared" si="55"/>
        <v>13705357.140000001</v>
      </c>
      <c r="BC109" s="1">
        <f t="shared" si="56"/>
        <v>13705357.140000001</v>
      </c>
      <c r="BD109" s="1">
        <f t="shared" si="57"/>
        <v>13705357.140000001</v>
      </c>
      <c r="BE109" s="1">
        <f t="shared" si="58"/>
        <v>13705357.140000001</v>
      </c>
      <c r="BF109" s="1">
        <f t="shared" si="59"/>
        <v>13705357.140000001</v>
      </c>
      <c r="BG109" s="1">
        <f t="shared" si="60"/>
        <v>13705357.140000001</v>
      </c>
      <c r="BH109">
        <f t="shared" si="61"/>
        <v>103</v>
      </c>
    </row>
    <row r="110" spans="1:60" x14ac:dyDescent="0.35">
      <c r="A110">
        <v>40001264</v>
      </c>
      <c r="B110" t="str">
        <f t="shared" si="72"/>
        <v>HPE ARUBA NETWORKING</v>
      </c>
      <c r="C110" t="s">
        <v>85</v>
      </c>
      <c r="D110" t="s">
        <v>797</v>
      </c>
      <c r="E110" t="s">
        <v>745</v>
      </c>
      <c r="F110" s="72" t="s">
        <v>1814</v>
      </c>
      <c r="G110" t="s">
        <v>1</v>
      </c>
      <c r="H110" t="s">
        <v>454</v>
      </c>
      <c r="I110">
        <v>1312</v>
      </c>
      <c r="J110" t="s">
        <v>748</v>
      </c>
      <c r="K110" s="3">
        <f t="shared" si="73"/>
        <v>20</v>
      </c>
      <c r="L110" s="3" t="str">
        <f t="shared" si="74"/>
        <v>8100</v>
      </c>
      <c r="M110">
        <v>81124101</v>
      </c>
      <c r="N110" s="3" t="str">
        <f>_xlfn.XLOOKUP(M110,[2]Sheet1!$A:$A,[2]Sheet1!$D:$D)</f>
        <v>IS &amp; IT</v>
      </c>
      <c r="O110" t="s">
        <v>397</v>
      </c>
      <c r="P110" t="s">
        <v>743</v>
      </c>
      <c r="Q110" s="2" t="s">
        <v>456</v>
      </c>
      <c r="R110" s="1">
        <v>148658.82</v>
      </c>
      <c r="S110" s="63" t="s">
        <v>749</v>
      </c>
      <c r="T110" t="str">
        <f>_xlfn.XLOOKUP(M110,[2]Sheet1!$A:$A,[2]Sheet1!$E:$E)</f>
        <v>CORPORATE</v>
      </c>
      <c r="U110" s="64" t="s">
        <v>746</v>
      </c>
      <c r="V110" s="63" t="s">
        <v>14</v>
      </c>
      <c r="W110" s="64" t="s">
        <v>746</v>
      </c>
      <c r="X110" s="63" t="s">
        <v>750</v>
      </c>
      <c r="Z110" s="1">
        <f>_xlfn.XLOOKUP(A110,'SAP Report'!A:A,'SAP Report'!C:C)</f>
        <v>148658.82</v>
      </c>
      <c r="AA110" s="1">
        <f>HLOOKUP($A$4,$AV$6:$BG110,(2+BH109),FALSE)</f>
        <v>128571.43</v>
      </c>
      <c r="AB110" s="1">
        <f>SUMIF('Open PR PO'!A:A,Monitoring!A110,'Open PR PO'!K:K)</f>
        <v>0</v>
      </c>
      <c r="AC110" s="1">
        <f t="shared" si="62"/>
        <v>128571.43</v>
      </c>
      <c r="AD110" s="1">
        <f t="shared" si="63"/>
        <v>20087.390000000014</v>
      </c>
      <c r="AE110" s="1">
        <f t="shared" si="64"/>
        <v>20087.390000000014</v>
      </c>
      <c r="AF110" s="1"/>
      <c r="AG110" s="53">
        <f>SUMIFS(Actual!$F:$F,Actual!$N:$N,Monitoring!AG$6,Actual!$A:$A,Monitoring!$A110)</f>
        <v>0</v>
      </c>
      <c r="AH110" s="53">
        <f>SUMIFS(Actual!$F:$F,Actual!$N:$N,Monitoring!AH$6,Actual!$A:$A,Monitoring!$A110)</f>
        <v>0</v>
      </c>
      <c r="AI110" s="53">
        <f>SUMIFS(Actual!$F:$F,Actual!$N:$N,Monitoring!AI$6,Actual!$A:$A,Monitoring!$A110)</f>
        <v>0</v>
      </c>
      <c r="AJ110" s="53">
        <f>SUMIFS(Actual!$F:$F,Actual!$N:$N,Monitoring!AJ$6,Actual!$A:$A,Monitoring!$A110)</f>
        <v>128571.43</v>
      </c>
      <c r="AK110" s="53">
        <f>SUMIFS(Actual!$F:$F,Actual!$N:$N,Monitoring!AK$6,Actual!$A:$A,Monitoring!$A110)</f>
        <v>0</v>
      </c>
      <c r="AL110" s="53">
        <f>SUMIFS(Actual!$F:$F,Actual!$N:$N,Monitoring!AL$6,Actual!$A:$A,Monitoring!$A110)</f>
        <v>0</v>
      </c>
      <c r="AM110" s="53">
        <f>SUMIFS(Actual!$F:$F,Actual!$N:$N,Monitoring!AM$6,Actual!$A:$A,Monitoring!$A110)</f>
        <v>0</v>
      </c>
      <c r="AN110" s="53">
        <f>SUMIFS(Actual!$F:$F,Actual!$N:$N,Monitoring!AN$6,Actual!$A:$A,Monitoring!$A110)</f>
        <v>0</v>
      </c>
      <c r="AO110" s="53">
        <f>SUMIFS(Actual!$F:$F,Actual!$N:$N,Monitoring!AO$6,Actual!$A:$A,Monitoring!$A110)</f>
        <v>0</v>
      </c>
      <c r="AP110" s="53">
        <f t="shared" si="44"/>
        <v>0</v>
      </c>
      <c r="AQ110" s="53">
        <f t="shared" si="45"/>
        <v>10043.695000000007</v>
      </c>
      <c r="AR110" s="53">
        <f t="shared" si="46"/>
        <v>10043.695000000007</v>
      </c>
      <c r="AS110" s="1">
        <f t="shared" si="47"/>
        <v>148658.82</v>
      </c>
      <c r="AT110" s="12">
        <f t="shared" si="48"/>
        <v>0</v>
      </c>
      <c r="AU110" s="1"/>
      <c r="AV110" s="53">
        <f t="shared" si="49"/>
        <v>0</v>
      </c>
      <c r="AW110" s="1">
        <f t="shared" si="50"/>
        <v>0</v>
      </c>
      <c r="AX110" s="1">
        <f t="shared" si="51"/>
        <v>0</v>
      </c>
      <c r="AY110" s="1">
        <f t="shared" si="52"/>
        <v>128571.43</v>
      </c>
      <c r="AZ110" s="1">
        <f t="shared" si="53"/>
        <v>128571.43</v>
      </c>
      <c r="BA110" s="1">
        <f t="shared" si="54"/>
        <v>128571.43</v>
      </c>
      <c r="BB110" s="1">
        <f t="shared" si="55"/>
        <v>128571.43</v>
      </c>
      <c r="BC110" s="1">
        <f t="shared" si="56"/>
        <v>128571.43</v>
      </c>
      <c r="BD110" s="1">
        <f t="shared" si="57"/>
        <v>128571.43</v>
      </c>
      <c r="BE110" s="1">
        <f t="shared" si="58"/>
        <v>128571.43</v>
      </c>
      <c r="BF110" s="1">
        <f t="shared" si="59"/>
        <v>138615.125</v>
      </c>
      <c r="BG110" s="1">
        <f t="shared" si="60"/>
        <v>148658.82</v>
      </c>
      <c r="BH110">
        <f t="shared" si="61"/>
        <v>104</v>
      </c>
    </row>
    <row r="111" spans="1:60" x14ac:dyDescent="0.35">
      <c r="A111">
        <v>10001429</v>
      </c>
      <c r="B111" t="str">
        <f t="shared" si="72"/>
        <v>GH MALL CINEMA CINE-LUXE SEATING ENHANCEMENT</v>
      </c>
      <c r="C111" t="s">
        <v>9</v>
      </c>
      <c r="D111" t="s">
        <v>9</v>
      </c>
      <c r="E111" t="s">
        <v>758</v>
      </c>
      <c r="F111" s="72" t="s">
        <v>1814</v>
      </c>
      <c r="G111" t="s">
        <v>1</v>
      </c>
      <c r="H111" t="s">
        <v>500</v>
      </c>
      <c r="I111">
        <v>1120</v>
      </c>
      <c r="J111" t="s">
        <v>757</v>
      </c>
      <c r="K111" s="3">
        <f t="shared" si="73"/>
        <v>44</v>
      </c>
      <c r="L111" s="3" t="str">
        <f t="shared" si="74"/>
        <v>8100</v>
      </c>
      <c r="M111" s="5">
        <v>81221705</v>
      </c>
      <c r="N111" s="3" t="str">
        <f>_xlfn.XLOOKUP(M111,[2]Sheet1!$A:$A,[2]Sheet1!$D:$D)</f>
        <v>GH CINEMA</v>
      </c>
      <c r="O111" t="s">
        <v>756</v>
      </c>
      <c r="P111" t="s">
        <v>20</v>
      </c>
      <c r="Q111" s="2" t="s">
        <v>751</v>
      </c>
      <c r="R111" s="89">
        <v>6000000</v>
      </c>
      <c r="S111" s="63" t="s">
        <v>754</v>
      </c>
      <c r="T111" t="str">
        <f>_xlfn.XLOOKUP(M111,[2]Sheet1!$A:$A,[2]Sheet1!$E:$E)</f>
        <v>MALLS</v>
      </c>
      <c r="U111" s="64" t="s">
        <v>755</v>
      </c>
      <c r="V111" s="63" t="s">
        <v>27</v>
      </c>
      <c r="W111" s="63" t="s">
        <v>754</v>
      </c>
      <c r="X111" s="63" t="s">
        <v>759</v>
      </c>
      <c r="Z111" s="1">
        <f>_xlfn.XLOOKUP(A111,'SAP Report'!A:A,'SAP Report'!C:C)</f>
        <v>6000000</v>
      </c>
      <c r="AA111" s="1">
        <f>HLOOKUP($A$4,$AV$6:$BG111,(2+BH110),FALSE)</f>
        <v>0</v>
      </c>
      <c r="AB111" s="1">
        <f>SUMIF('Open PR PO'!A:A,Monitoring!A111,'Open PR PO'!K:K)</f>
        <v>0</v>
      </c>
      <c r="AC111" s="1">
        <f t="shared" si="62"/>
        <v>0</v>
      </c>
      <c r="AD111" s="1">
        <f t="shared" si="63"/>
        <v>6000000</v>
      </c>
      <c r="AE111" s="1">
        <f t="shared" si="64"/>
        <v>6000000</v>
      </c>
      <c r="AF111" s="1"/>
      <c r="AG111" s="53">
        <f>SUMIFS(Actual!$F:$F,Actual!$N:$N,Monitoring!AG$6,Actual!$A:$A,Monitoring!$A111)</f>
        <v>0</v>
      </c>
      <c r="AH111" s="53">
        <f>SUMIFS(Actual!$F:$F,Actual!$N:$N,Monitoring!AH$6,Actual!$A:$A,Monitoring!$A111)</f>
        <v>0</v>
      </c>
      <c r="AI111" s="53">
        <f>SUMIFS(Actual!$F:$F,Actual!$N:$N,Monitoring!AI$6,Actual!$A:$A,Monitoring!$A111)</f>
        <v>0</v>
      </c>
      <c r="AJ111" s="53">
        <f>SUMIFS(Actual!$F:$F,Actual!$N:$N,Monitoring!AJ$6,Actual!$A:$A,Monitoring!$A111)</f>
        <v>0</v>
      </c>
      <c r="AK111" s="53">
        <f>SUMIFS(Actual!$F:$F,Actual!$N:$N,Monitoring!AK$6,Actual!$A:$A,Monitoring!$A111)</f>
        <v>0</v>
      </c>
      <c r="AL111" s="53">
        <f>SUMIFS(Actual!$F:$F,Actual!$N:$N,Monitoring!AL$6,Actual!$A:$A,Monitoring!$A111)</f>
        <v>0</v>
      </c>
      <c r="AM111" s="53">
        <f>SUMIFS(Actual!$F:$F,Actual!$N:$N,Monitoring!AM$6,Actual!$A:$A,Monitoring!$A111)</f>
        <v>0</v>
      </c>
      <c r="AN111" s="53">
        <f>SUMIFS(Actual!$F:$F,Actual!$N:$N,Monitoring!AN$6,Actual!$A:$A,Monitoring!$A111)</f>
        <v>0</v>
      </c>
      <c r="AO111" s="53">
        <f>SUMIFS(Actual!$F:$F,Actual!$N:$N,Monitoring!AO$6,Actual!$A:$A,Monitoring!$A111)</f>
        <v>0</v>
      </c>
      <c r="AP111" s="53">
        <f t="shared" si="44"/>
        <v>0</v>
      </c>
      <c r="AQ111" s="53">
        <f t="shared" si="45"/>
        <v>3000000</v>
      </c>
      <c r="AR111" s="53">
        <f t="shared" si="46"/>
        <v>3000000</v>
      </c>
      <c r="AS111" s="1">
        <f t="shared" si="47"/>
        <v>6000000</v>
      </c>
      <c r="AT111" s="12">
        <f t="shared" si="48"/>
        <v>0</v>
      </c>
      <c r="AU111" s="1"/>
      <c r="AV111" s="53">
        <f t="shared" si="49"/>
        <v>0</v>
      </c>
      <c r="AW111" s="1">
        <f t="shared" si="50"/>
        <v>0</v>
      </c>
      <c r="AX111" s="1">
        <f t="shared" si="51"/>
        <v>0</v>
      </c>
      <c r="AY111" s="1">
        <f t="shared" si="52"/>
        <v>0</v>
      </c>
      <c r="AZ111" s="1">
        <f t="shared" si="53"/>
        <v>0</v>
      </c>
      <c r="BA111" s="1">
        <f t="shared" si="54"/>
        <v>0</v>
      </c>
      <c r="BB111" s="1">
        <f t="shared" si="55"/>
        <v>0</v>
      </c>
      <c r="BC111" s="1">
        <f t="shared" si="56"/>
        <v>0</v>
      </c>
      <c r="BD111" s="1">
        <f t="shared" si="57"/>
        <v>0</v>
      </c>
      <c r="BE111" s="1">
        <f t="shared" si="58"/>
        <v>0</v>
      </c>
      <c r="BF111" s="1">
        <f t="shared" si="59"/>
        <v>3000000</v>
      </c>
      <c r="BG111" s="1">
        <f t="shared" si="60"/>
        <v>6000000</v>
      </c>
      <c r="BH111">
        <f t="shared" si="61"/>
        <v>105</v>
      </c>
    </row>
    <row r="112" spans="1:60" x14ac:dyDescent="0.35">
      <c r="A112">
        <v>10001430</v>
      </c>
      <c r="B112" t="str">
        <f t="shared" si="72"/>
        <v>PROMENADE CINEMA 8 SEAT ENHANCEMENT</v>
      </c>
      <c r="C112" t="s">
        <v>9</v>
      </c>
      <c r="D112" t="s">
        <v>9</v>
      </c>
      <c r="E112" t="s">
        <v>758</v>
      </c>
      <c r="F112" s="72" t="s">
        <v>1814</v>
      </c>
      <c r="G112" t="s">
        <v>1</v>
      </c>
      <c r="H112" t="s">
        <v>507</v>
      </c>
      <c r="I112">
        <v>1120</v>
      </c>
      <c r="J112" t="s">
        <v>760</v>
      </c>
      <c r="K112" s="3">
        <f t="shared" si="73"/>
        <v>35</v>
      </c>
      <c r="L112" s="3" t="str">
        <f t="shared" si="74"/>
        <v>8100</v>
      </c>
      <c r="M112" s="5">
        <v>81221210</v>
      </c>
      <c r="N112" s="3" t="str">
        <f>_xlfn.XLOOKUP(M112,[2]Sheet1!$A:$A,[2]Sheet1!$D:$D)</f>
        <v>PROMENADE CINEMA</v>
      </c>
      <c r="O112" t="s">
        <v>756</v>
      </c>
      <c r="P112" t="s">
        <v>20</v>
      </c>
      <c r="Q112" s="2" t="s">
        <v>752</v>
      </c>
      <c r="R112" s="89">
        <v>2100000</v>
      </c>
      <c r="S112" s="63" t="s">
        <v>754</v>
      </c>
      <c r="T112" t="str">
        <f>_xlfn.XLOOKUP(M112,[2]Sheet1!$A:$A,[2]Sheet1!$E:$E)</f>
        <v>MALLS</v>
      </c>
      <c r="U112" s="64" t="s">
        <v>755</v>
      </c>
      <c r="V112" s="63" t="s">
        <v>761</v>
      </c>
      <c r="W112" s="63" t="s">
        <v>754</v>
      </c>
      <c r="X112" s="63" t="s">
        <v>762</v>
      </c>
      <c r="Z112" s="1">
        <f>_xlfn.XLOOKUP(A112,'SAP Report'!A:A,'SAP Report'!C:C)</f>
        <v>2100000</v>
      </c>
      <c r="AA112" s="1">
        <f>HLOOKUP($A$4,$AV$6:$BG112,(2+BH111),FALSE)</f>
        <v>0</v>
      </c>
      <c r="AB112" s="1">
        <f>SUMIF('Open PR PO'!A:A,Monitoring!A112,'Open PR PO'!K:K)</f>
        <v>0</v>
      </c>
      <c r="AC112" s="1">
        <f t="shared" si="62"/>
        <v>0</v>
      </c>
      <c r="AD112" s="1">
        <f t="shared" si="63"/>
        <v>2100000</v>
      </c>
      <c r="AE112" s="1">
        <f t="shared" si="64"/>
        <v>2100000</v>
      </c>
      <c r="AF112" s="1"/>
      <c r="AG112" s="53">
        <f>SUMIFS(Actual!$F:$F,Actual!$N:$N,Monitoring!AG$6,Actual!$A:$A,Monitoring!$A112)</f>
        <v>0</v>
      </c>
      <c r="AH112" s="53">
        <f>SUMIFS(Actual!$F:$F,Actual!$N:$N,Monitoring!AH$6,Actual!$A:$A,Monitoring!$A112)</f>
        <v>0</v>
      </c>
      <c r="AI112" s="53">
        <f>SUMIFS(Actual!$F:$F,Actual!$N:$N,Monitoring!AI$6,Actual!$A:$A,Monitoring!$A112)</f>
        <v>0</v>
      </c>
      <c r="AJ112" s="53">
        <f>SUMIFS(Actual!$F:$F,Actual!$N:$N,Monitoring!AJ$6,Actual!$A:$A,Monitoring!$A112)</f>
        <v>0</v>
      </c>
      <c r="AK112" s="53">
        <f>SUMIFS(Actual!$F:$F,Actual!$N:$N,Monitoring!AK$6,Actual!$A:$A,Monitoring!$A112)</f>
        <v>0</v>
      </c>
      <c r="AL112" s="53">
        <f>SUMIFS(Actual!$F:$F,Actual!$N:$N,Monitoring!AL$6,Actual!$A:$A,Monitoring!$A112)</f>
        <v>0</v>
      </c>
      <c r="AM112" s="53">
        <f>SUMIFS(Actual!$F:$F,Actual!$N:$N,Monitoring!AM$6,Actual!$A:$A,Monitoring!$A112)</f>
        <v>0</v>
      </c>
      <c r="AN112" s="53">
        <f>SUMIFS(Actual!$F:$F,Actual!$N:$N,Monitoring!AN$6,Actual!$A:$A,Monitoring!$A112)</f>
        <v>0</v>
      </c>
      <c r="AO112" s="53">
        <f>SUMIFS(Actual!$F:$F,Actual!$N:$N,Monitoring!AO$6,Actual!$A:$A,Monitoring!$A112)</f>
        <v>0</v>
      </c>
      <c r="AP112" s="53">
        <f t="shared" si="44"/>
        <v>0</v>
      </c>
      <c r="AQ112" s="53">
        <f t="shared" si="45"/>
        <v>1050000</v>
      </c>
      <c r="AR112" s="53">
        <f t="shared" si="46"/>
        <v>1050000</v>
      </c>
      <c r="AS112" s="1">
        <f t="shared" si="47"/>
        <v>2100000</v>
      </c>
      <c r="AT112" s="12">
        <f t="shared" si="48"/>
        <v>0</v>
      </c>
      <c r="AU112" s="1"/>
      <c r="AV112" s="53">
        <f t="shared" si="49"/>
        <v>0</v>
      </c>
      <c r="AW112" s="1">
        <f t="shared" si="50"/>
        <v>0</v>
      </c>
      <c r="AX112" s="1">
        <f t="shared" si="51"/>
        <v>0</v>
      </c>
      <c r="AY112" s="1">
        <f t="shared" si="52"/>
        <v>0</v>
      </c>
      <c r="AZ112" s="1">
        <f t="shared" si="53"/>
        <v>0</v>
      </c>
      <c r="BA112" s="1">
        <f t="shared" si="54"/>
        <v>0</v>
      </c>
      <c r="BB112" s="1">
        <f t="shared" si="55"/>
        <v>0</v>
      </c>
      <c r="BC112" s="1">
        <f t="shared" si="56"/>
        <v>0</v>
      </c>
      <c r="BD112" s="1">
        <f t="shared" si="57"/>
        <v>0</v>
      </c>
      <c r="BE112" s="1">
        <f t="shared" si="58"/>
        <v>0</v>
      </c>
      <c r="BF112" s="1">
        <f t="shared" si="59"/>
        <v>1050000</v>
      </c>
      <c r="BG112" s="1">
        <f t="shared" si="60"/>
        <v>2100000</v>
      </c>
      <c r="BH112">
        <f t="shared" si="61"/>
        <v>106</v>
      </c>
    </row>
    <row r="113" spans="1:60" x14ac:dyDescent="0.35">
      <c r="A113">
        <v>10001431</v>
      </c>
      <c r="B113" t="str">
        <f t="shared" si="72"/>
        <v>PROMENADE CINEMA 8 FLOOR AND WALL ENHANCEMENT</v>
      </c>
      <c r="C113" t="s">
        <v>9</v>
      </c>
      <c r="D113" t="s">
        <v>9</v>
      </c>
      <c r="E113" t="s">
        <v>758</v>
      </c>
      <c r="F113" s="72" t="s">
        <v>1814</v>
      </c>
      <c r="G113" t="s">
        <v>1</v>
      </c>
      <c r="H113" t="s">
        <v>514</v>
      </c>
      <c r="I113">
        <v>1120</v>
      </c>
      <c r="J113" t="s">
        <v>763</v>
      </c>
      <c r="K113" s="3">
        <f t="shared" si="73"/>
        <v>45</v>
      </c>
      <c r="L113" s="3" t="str">
        <f t="shared" si="74"/>
        <v>8100</v>
      </c>
      <c r="M113" s="5">
        <v>81221210</v>
      </c>
      <c r="N113" s="3" t="str">
        <f>_xlfn.XLOOKUP(M113,[2]Sheet1!$A:$A,[2]Sheet1!$D:$D)</f>
        <v>PROMENADE CINEMA</v>
      </c>
      <c r="O113" t="s">
        <v>756</v>
      </c>
      <c r="P113" t="s">
        <v>20</v>
      </c>
      <c r="Q113" s="2" t="s">
        <v>753</v>
      </c>
      <c r="R113" s="89">
        <v>1900000</v>
      </c>
      <c r="S113" s="63" t="s">
        <v>754</v>
      </c>
      <c r="T113" t="str">
        <f>_xlfn.XLOOKUP(M113,[2]Sheet1!$A:$A,[2]Sheet1!$E:$E)</f>
        <v>MALLS</v>
      </c>
      <c r="U113" s="64" t="s">
        <v>755</v>
      </c>
      <c r="V113" s="63" t="s">
        <v>27</v>
      </c>
      <c r="W113" s="63" t="s">
        <v>754</v>
      </c>
      <c r="X113" s="63" t="s">
        <v>764</v>
      </c>
      <c r="Z113" s="1">
        <f>_xlfn.XLOOKUP(A113,'SAP Report'!A:A,'SAP Report'!C:C)</f>
        <v>1900000</v>
      </c>
      <c r="AA113" s="1">
        <f>HLOOKUP($A$4,$AV$6:$BG113,(2+BH112),FALSE)</f>
        <v>0</v>
      </c>
      <c r="AB113" s="1">
        <f>SUMIF('Open PR PO'!A:A,Monitoring!A113,'Open PR PO'!K:K)</f>
        <v>0</v>
      </c>
      <c r="AC113" s="1">
        <f t="shared" si="62"/>
        <v>0</v>
      </c>
      <c r="AD113" s="1">
        <f t="shared" si="63"/>
        <v>1900000</v>
      </c>
      <c r="AE113" s="1">
        <f t="shared" si="64"/>
        <v>1900000</v>
      </c>
      <c r="AF113" s="1"/>
      <c r="AG113" s="53">
        <f>SUMIFS(Actual!$F:$F,Actual!$N:$N,Monitoring!AG$6,Actual!$A:$A,Monitoring!$A113)</f>
        <v>0</v>
      </c>
      <c r="AH113" s="53">
        <f>SUMIFS(Actual!$F:$F,Actual!$N:$N,Monitoring!AH$6,Actual!$A:$A,Monitoring!$A113)</f>
        <v>0</v>
      </c>
      <c r="AI113" s="53">
        <f>SUMIFS(Actual!$F:$F,Actual!$N:$N,Monitoring!AI$6,Actual!$A:$A,Monitoring!$A113)</f>
        <v>0</v>
      </c>
      <c r="AJ113" s="53">
        <f>SUMIFS(Actual!$F:$F,Actual!$N:$N,Monitoring!AJ$6,Actual!$A:$A,Monitoring!$A113)</f>
        <v>0</v>
      </c>
      <c r="AK113" s="53">
        <f>SUMIFS(Actual!$F:$F,Actual!$N:$N,Monitoring!AK$6,Actual!$A:$A,Monitoring!$A113)</f>
        <v>0</v>
      </c>
      <c r="AL113" s="53">
        <f>SUMIFS(Actual!$F:$F,Actual!$N:$N,Monitoring!AL$6,Actual!$A:$A,Monitoring!$A113)</f>
        <v>0</v>
      </c>
      <c r="AM113" s="53">
        <f>SUMIFS(Actual!$F:$F,Actual!$N:$N,Monitoring!AM$6,Actual!$A:$A,Monitoring!$A113)</f>
        <v>0</v>
      </c>
      <c r="AN113" s="53">
        <f>SUMIFS(Actual!$F:$F,Actual!$N:$N,Monitoring!AN$6,Actual!$A:$A,Monitoring!$A113)</f>
        <v>0</v>
      </c>
      <c r="AO113" s="53">
        <f>SUMIFS(Actual!$F:$F,Actual!$N:$N,Monitoring!AO$6,Actual!$A:$A,Monitoring!$A113)</f>
        <v>0</v>
      </c>
      <c r="AP113" s="53">
        <f t="shared" si="44"/>
        <v>0</v>
      </c>
      <c r="AQ113" s="53">
        <f t="shared" si="45"/>
        <v>950000</v>
      </c>
      <c r="AR113" s="53">
        <f t="shared" si="46"/>
        <v>950000</v>
      </c>
      <c r="AS113" s="1">
        <f t="shared" si="47"/>
        <v>1900000</v>
      </c>
      <c r="AT113" s="12">
        <f t="shared" si="48"/>
        <v>0</v>
      </c>
      <c r="AU113" s="1"/>
      <c r="AV113" s="53">
        <f t="shared" si="49"/>
        <v>0</v>
      </c>
      <c r="AW113" s="1">
        <f t="shared" si="50"/>
        <v>0</v>
      </c>
      <c r="AX113" s="1">
        <f t="shared" si="51"/>
        <v>0</v>
      </c>
      <c r="AY113" s="1">
        <f t="shared" si="52"/>
        <v>0</v>
      </c>
      <c r="AZ113" s="1">
        <f t="shared" si="53"/>
        <v>0</v>
      </c>
      <c r="BA113" s="1">
        <f t="shared" si="54"/>
        <v>0</v>
      </c>
      <c r="BB113" s="1">
        <f t="shared" si="55"/>
        <v>0</v>
      </c>
      <c r="BC113" s="1">
        <f t="shared" si="56"/>
        <v>0</v>
      </c>
      <c r="BD113" s="1">
        <f t="shared" si="57"/>
        <v>0</v>
      </c>
      <c r="BE113" s="1">
        <f t="shared" si="58"/>
        <v>0</v>
      </c>
      <c r="BF113" s="1">
        <f t="shared" si="59"/>
        <v>950000</v>
      </c>
      <c r="BG113" s="1">
        <f t="shared" si="60"/>
        <v>1900000</v>
      </c>
      <c r="BH113">
        <f t="shared" si="61"/>
        <v>107</v>
      </c>
    </row>
    <row r="114" spans="1:60" x14ac:dyDescent="0.35">
      <c r="A114">
        <v>10001440</v>
      </c>
      <c r="B114" t="str">
        <f t="shared" si="72"/>
        <v>CC MRF EXPANSION &amp; REHABILITATION</v>
      </c>
      <c r="C114" t="s">
        <v>766</v>
      </c>
      <c r="D114" t="s">
        <v>766</v>
      </c>
      <c r="E114" t="s">
        <v>769</v>
      </c>
      <c r="F114" s="72" t="s">
        <v>1814</v>
      </c>
      <c r="G114" t="s">
        <v>1</v>
      </c>
      <c r="H114" t="s">
        <v>364</v>
      </c>
      <c r="I114">
        <v>1100</v>
      </c>
      <c r="J114" t="s">
        <v>768</v>
      </c>
      <c r="K114" s="3">
        <f t="shared" si="73"/>
        <v>33</v>
      </c>
      <c r="L114" s="3" t="str">
        <f t="shared" si="74"/>
        <v>8000</v>
      </c>
      <c r="M114">
        <v>80323101</v>
      </c>
      <c r="N114" s="3" t="str">
        <f>_xlfn.XLOOKUP(M114,[2]Sheet1!$A:$A,[2]Sheet1!$D:$D)</f>
        <v>CC DEVELOPABLE</v>
      </c>
      <c r="O114" t="s">
        <v>767</v>
      </c>
      <c r="P114" t="s">
        <v>339</v>
      </c>
      <c r="Q114" s="2" t="s">
        <v>765</v>
      </c>
      <c r="R114" s="1">
        <v>1800000</v>
      </c>
      <c r="S114" s="63" t="s">
        <v>770</v>
      </c>
      <c r="T114" t="str">
        <f>_xlfn.XLOOKUP(M114,[2]Sheet1!$A:$A,[2]Sheet1!$E:$E)</f>
        <v>ESTATES</v>
      </c>
      <c r="U114" s="63" t="s">
        <v>22</v>
      </c>
      <c r="V114" s="63" t="s">
        <v>14</v>
      </c>
      <c r="W114" s="63" t="s">
        <v>773</v>
      </c>
      <c r="X114" s="63" t="s">
        <v>774</v>
      </c>
      <c r="Z114" s="1">
        <f>_xlfn.XLOOKUP(A114,'SAP Report'!A:A,'SAP Report'!C:C)</f>
        <v>1800000</v>
      </c>
      <c r="AA114" s="1">
        <f>HLOOKUP($A$4,$AV$6:$BG114,(2+BH113),FALSE)</f>
        <v>1517857.14</v>
      </c>
      <c r="AB114" s="1">
        <f>SUMIF('Open PR PO'!A:A,Monitoring!A114,'Open PR PO'!K:K)</f>
        <v>0</v>
      </c>
      <c r="AC114" s="1">
        <f t="shared" si="62"/>
        <v>1517857.14</v>
      </c>
      <c r="AD114" s="1">
        <f t="shared" si="63"/>
        <v>282142.8600000001</v>
      </c>
      <c r="AE114" s="1">
        <f t="shared" si="64"/>
        <v>282142.8600000001</v>
      </c>
      <c r="AF114" s="1"/>
      <c r="AG114" s="53">
        <f>SUMIFS(Actual!$F:$F,Actual!$N:$N,Monitoring!AG$6,Actual!$A:$A,Monitoring!$A114)</f>
        <v>0</v>
      </c>
      <c r="AH114" s="53">
        <f>SUMIFS(Actual!$F:$F,Actual!$N:$N,Monitoring!AH$6,Actual!$A:$A,Monitoring!$A114)</f>
        <v>0</v>
      </c>
      <c r="AI114" s="53">
        <f>SUMIFS(Actual!$F:$F,Actual!$N:$N,Monitoring!AI$6,Actual!$A:$A,Monitoring!$A114)</f>
        <v>0</v>
      </c>
      <c r="AJ114" s="53">
        <f>SUMIFS(Actual!$F:$F,Actual!$N:$N,Monitoring!AJ$6,Actual!$A:$A,Monitoring!$A114)</f>
        <v>0</v>
      </c>
      <c r="AK114" s="53">
        <f>SUMIFS(Actual!$F:$F,Actual!$N:$N,Monitoring!AK$6,Actual!$A:$A,Monitoring!$A114)</f>
        <v>0</v>
      </c>
      <c r="AL114" s="53">
        <f>SUMIFS(Actual!$F:$F,Actual!$N:$N,Monitoring!AL$6,Actual!$A:$A,Monitoring!$A114)</f>
        <v>1517857.14</v>
      </c>
      <c r="AM114" s="53">
        <f>SUMIFS(Actual!$F:$F,Actual!$N:$N,Monitoring!AM$6,Actual!$A:$A,Monitoring!$A114)</f>
        <v>0</v>
      </c>
      <c r="AN114" s="53">
        <f>SUMIFS(Actual!$F:$F,Actual!$N:$N,Monitoring!AN$6,Actual!$A:$A,Monitoring!$A114)</f>
        <v>0</v>
      </c>
      <c r="AO114" s="53">
        <f>SUMIFS(Actual!$F:$F,Actual!$N:$N,Monitoring!AO$6,Actual!$A:$A,Monitoring!$A114)</f>
        <v>0</v>
      </c>
      <c r="AP114" s="53">
        <f t="shared" si="44"/>
        <v>0</v>
      </c>
      <c r="AQ114" s="53">
        <f t="shared" si="45"/>
        <v>141071.43000000005</v>
      </c>
      <c r="AR114" s="53">
        <f t="shared" si="46"/>
        <v>141071.43000000005</v>
      </c>
      <c r="AS114" s="1">
        <f t="shared" si="47"/>
        <v>1800000</v>
      </c>
      <c r="AT114" s="12">
        <f t="shared" si="48"/>
        <v>0</v>
      </c>
      <c r="AU114" s="1"/>
      <c r="AV114" s="53">
        <f t="shared" si="49"/>
        <v>0</v>
      </c>
      <c r="AW114" s="1">
        <f t="shared" si="50"/>
        <v>0</v>
      </c>
      <c r="AX114" s="1">
        <f t="shared" si="51"/>
        <v>0</v>
      </c>
      <c r="AY114" s="1">
        <f t="shared" si="52"/>
        <v>0</v>
      </c>
      <c r="AZ114" s="1">
        <f t="shared" si="53"/>
        <v>0</v>
      </c>
      <c r="BA114" s="1">
        <f t="shared" si="54"/>
        <v>1517857.14</v>
      </c>
      <c r="BB114" s="1">
        <f t="shared" si="55"/>
        <v>1517857.14</v>
      </c>
      <c r="BC114" s="1">
        <f t="shared" si="56"/>
        <v>1517857.14</v>
      </c>
      <c r="BD114" s="1">
        <f t="shared" si="57"/>
        <v>1517857.14</v>
      </c>
      <c r="BE114" s="1">
        <f t="shared" si="58"/>
        <v>1517857.14</v>
      </c>
      <c r="BF114" s="1">
        <f t="shared" si="59"/>
        <v>1658928.5699999998</v>
      </c>
      <c r="BG114" s="1">
        <f t="shared" si="60"/>
        <v>1800000</v>
      </c>
      <c r="BH114">
        <f t="shared" si="61"/>
        <v>108</v>
      </c>
    </row>
    <row r="115" spans="1:60" x14ac:dyDescent="0.35">
      <c r="A115">
        <v>10001441</v>
      </c>
      <c r="B115" t="str">
        <f t="shared" si="72"/>
        <v>CC LIFT STATION MANHOLE REHABILITATION</v>
      </c>
      <c r="C115" t="s">
        <v>766</v>
      </c>
      <c r="D115" t="s">
        <v>766</v>
      </c>
      <c r="E115" t="s">
        <v>711</v>
      </c>
      <c r="F115" s="72" t="s">
        <v>1814</v>
      </c>
      <c r="G115" t="s">
        <v>1</v>
      </c>
      <c r="H115" t="s">
        <v>366</v>
      </c>
      <c r="I115">
        <v>1110</v>
      </c>
      <c r="J115" t="s">
        <v>775</v>
      </c>
      <c r="K115" s="3">
        <f t="shared" si="73"/>
        <v>38</v>
      </c>
      <c r="L115" s="3" t="str">
        <f t="shared" si="74"/>
        <v>8000</v>
      </c>
      <c r="M115">
        <v>80323101</v>
      </c>
      <c r="N115" s="3" t="str">
        <f>_xlfn.XLOOKUP(M115,[2]Sheet1!$A:$A,[2]Sheet1!$D:$D)</f>
        <v>CC DEVELOPABLE</v>
      </c>
      <c r="O115" t="s">
        <v>767</v>
      </c>
      <c r="P115" t="s">
        <v>339</v>
      </c>
      <c r="Q115" s="2" t="s">
        <v>776</v>
      </c>
      <c r="R115" s="1">
        <v>1500000</v>
      </c>
      <c r="S115" s="63" t="s">
        <v>770</v>
      </c>
      <c r="T115" t="str">
        <f>_xlfn.XLOOKUP(M115,[2]Sheet1!$A:$A,[2]Sheet1!$E:$E)</f>
        <v>ESTATES</v>
      </c>
      <c r="U115" s="63" t="s">
        <v>22</v>
      </c>
      <c r="V115" s="63" t="s">
        <v>14</v>
      </c>
      <c r="W115" s="63" t="s">
        <v>773</v>
      </c>
      <c r="X115" s="63" t="s">
        <v>777</v>
      </c>
      <c r="Z115" s="1">
        <f>_xlfn.XLOOKUP(A115,'SAP Report'!A:A,'SAP Report'!C:C)</f>
        <v>1500000</v>
      </c>
      <c r="AA115" s="1">
        <f>HLOOKUP($A$4,$AV$6:$BG115,(2+BH114),FALSE)</f>
        <v>1401785.71</v>
      </c>
      <c r="AB115" s="1">
        <f>SUMIF('Open PR PO'!A:A,Monitoring!A115,'Open PR PO'!K:K)</f>
        <v>0</v>
      </c>
      <c r="AC115" s="1">
        <f t="shared" si="62"/>
        <v>1401785.71</v>
      </c>
      <c r="AD115" s="1">
        <f t="shared" si="63"/>
        <v>98214.290000000037</v>
      </c>
      <c r="AE115" s="1">
        <f t="shared" si="64"/>
        <v>98214.290000000037</v>
      </c>
      <c r="AF115" s="1"/>
      <c r="AG115" s="53">
        <f>SUMIFS(Actual!$F:$F,Actual!$N:$N,Monitoring!AG$6,Actual!$A:$A,Monitoring!$A115)</f>
        <v>0</v>
      </c>
      <c r="AH115" s="53">
        <f>SUMIFS(Actual!$F:$F,Actual!$N:$N,Monitoring!AH$6,Actual!$A:$A,Monitoring!$A115)</f>
        <v>0</v>
      </c>
      <c r="AI115" s="53">
        <f>SUMIFS(Actual!$F:$F,Actual!$N:$N,Monitoring!AI$6,Actual!$A:$A,Monitoring!$A115)</f>
        <v>0</v>
      </c>
      <c r="AJ115" s="53">
        <f>SUMIFS(Actual!$F:$F,Actual!$N:$N,Monitoring!AJ$6,Actual!$A:$A,Monitoring!$A115)</f>
        <v>0</v>
      </c>
      <c r="AK115" s="53">
        <f>SUMIFS(Actual!$F:$F,Actual!$N:$N,Monitoring!AK$6,Actual!$A:$A,Monitoring!$A115)</f>
        <v>0</v>
      </c>
      <c r="AL115" s="53">
        <f>SUMIFS(Actual!$F:$F,Actual!$N:$N,Monitoring!AL$6,Actual!$A:$A,Monitoring!$A115)</f>
        <v>0</v>
      </c>
      <c r="AM115" s="53">
        <f>SUMIFS(Actual!$F:$F,Actual!$N:$N,Monitoring!AM$6,Actual!$A:$A,Monitoring!$A115)</f>
        <v>0</v>
      </c>
      <c r="AN115" s="53">
        <f>SUMIFS(Actual!$F:$F,Actual!$N:$N,Monitoring!AN$6,Actual!$A:$A,Monitoring!$A115)</f>
        <v>0</v>
      </c>
      <c r="AO115" s="53">
        <f>SUMIFS(Actual!$F:$F,Actual!$N:$N,Monitoring!AO$6,Actual!$A:$A,Monitoring!$A115)</f>
        <v>1401785.71</v>
      </c>
      <c r="AP115" s="53">
        <f t="shared" si="44"/>
        <v>0</v>
      </c>
      <c r="AQ115" s="53">
        <f t="shared" si="45"/>
        <v>49107.145000000019</v>
      </c>
      <c r="AR115" s="53">
        <f t="shared" si="46"/>
        <v>49107.145000000019</v>
      </c>
      <c r="AS115" s="1">
        <f t="shared" si="47"/>
        <v>1500000</v>
      </c>
      <c r="AT115" s="12">
        <f t="shared" si="48"/>
        <v>0</v>
      </c>
      <c r="AU115" s="1"/>
      <c r="AV115" s="53">
        <f t="shared" si="49"/>
        <v>0</v>
      </c>
      <c r="AW115" s="1">
        <f t="shared" si="50"/>
        <v>0</v>
      </c>
      <c r="AX115" s="1">
        <f t="shared" si="51"/>
        <v>0</v>
      </c>
      <c r="AY115" s="1">
        <f t="shared" si="52"/>
        <v>0</v>
      </c>
      <c r="AZ115" s="1">
        <f t="shared" si="53"/>
        <v>0</v>
      </c>
      <c r="BA115" s="1">
        <f t="shared" si="54"/>
        <v>0</v>
      </c>
      <c r="BB115" s="1">
        <f t="shared" si="55"/>
        <v>0</v>
      </c>
      <c r="BC115" s="1">
        <f t="shared" si="56"/>
        <v>0</v>
      </c>
      <c r="BD115" s="1">
        <f t="shared" si="57"/>
        <v>1401785.71</v>
      </c>
      <c r="BE115" s="1">
        <f t="shared" si="58"/>
        <v>1401785.71</v>
      </c>
      <c r="BF115" s="1">
        <f t="shared" si="59"/>
        <v>1450892.855</v>
      </c>
      <c r="BG115" s="1">
        <f t="shared" si="60"/>
        <v>1500000</v>
      </c>
      <c r="BH115">
        <f t="shared" si="61"/>
        <v>109</v>
      </c>
    </row>
    <row r="116" spans="1:60" x14ac:dyDescent="0.35">
      <c r="A116">
        <v>10001442</v>
      </c>
      <c r="B116" t="str">
        <f t="shared" si="72"/>
        <v>CC DETENTION TANK MANHOLE COVER</v>
      </c>
      <c r="C116" t="s">
        <v>766</v>
      </c>
      <c r="D116" t="s">
        <v>766</v>
      </c>
      <c r="E116" t="s">
        <v>711</v>
      </c>
      <c r="F116" s="72" t="s">
        <v>1814</v>
      </c>
      <c r="G116" t="s">
        <v>1</v>
      </c>
      <c r="H116" t="s">
        <v>371</v>
      </c>
      <c r="I116">
        <v>1110</v>
      </c>
      <c r="J116" t="s">
        <v>778</v>
      </c>
      <c r="K116" s="3">
        <f t="shared" si="73"/>
        <v>31</v>
      </c>
      <c r="L116" s="3" t="str">
        <f t="shared" si="74"/>
        <v>8000</v>
      </c>
      <c r="M116">
        <v>80323101</v>
      </c>
      <c r="N116" s="3" t="str">
        <f>_xlfn.XLOOKUP(M116,[2]Sheet1!$A:$A,[2]Sheet1!$D:$D)</f>
        <v>CC DEVELOPABLE</v>
      </c>
      <c r="O116" t="s">
        <v>767</v>
      </c>
      <c r="P116" t="s">
        <v>339</v>
      </c>
      <c r="Q116" s="2" t="s">
        <v>2582</v>
      </c>
      <c r="R116" s="1">
        <f>428000-428000</f>
        <v>0</v>
      </c>
      <c r="S116" s="63" t="s">
        <v>770</v>
      </c>
      <c r="T116" t="str">
        <f>_xlfn.XLOOKUP(M116,[2]Sheet1!$A:$A,[2]Sheet1!$E:$E)</f>
        <v>ESTATES</v>
      </c>
      <c r="U116" s="63" t="s">
        <v>22</v>
      </c>
      <c r="V116" s="63" t="s">
        <v>14</v>
      </c>
      <c r="W116" s="63" t="s">
        <v>773</v>
      </c>
      <c r="X116" s="63" t="s">
        <v>2583</v>
      </c>
      <c r="Z116" s="1">
        <f>_xlfn.XLOOKUP(A116,'SAP Report'!A:A,'SAP Report'!C:C)</f>
        <v>0</v>
      </c>
      <c r="AA116" s="1">
        <f>HLOOKUP($A$4,$AV$6:$BG116,(2+BH115),FALSE)</f>
        <v>0</v>
      </c>
      <c r="AB116" s="1">
        <f>SUMIF('Open PR PO'!A:A,Monitoring!A116,'Open PR PO'!K:K)</f>
        <v>0</v>
      </c>
      <c r="AC116" s="1">
        <f t="shared" si="62"/>
        <v>0</v>
      </c>
      <c r="AD116" s="1">
        <f t="shared" si="63"/>
        <v>0</v>
      </c>
      <c r="AE116" s="1">
        <f t="shared" si="64"/>
        <v>0</v>
      </c>
      <c r="AF116" s="1"/>
      <c r="AG116" s="53">
        <f>SUMIFS(Actual!$F:$F,Actual!$N:$N,Monitoring!AG$6,Actual!$A:$A,Monitoring!$A116)</f>
        <v>0</v>
      </c>
      <c r="AH116" s="53">
        <f>SUMIFS(Actual!$F:$F,Actual!$N:$N,Monitoring!AH$6,Actual!$A:$A,Monitoring!$A116)</f>
        <v>0</v>
      </c>
      <c r="AI116" s="53">
        <f>SUMIFS(Actual!$F:$F,Actual!$N:$N,Monitoring!AI$6,Actual!$A:$A,Monitoring!$A116)</f>
        <v>0</v>
      </c>
      <c r="AJ116" s="53">
        <f>SUMIFS(Actual!$F:$F,Actual!$N:$N,Monitoring!AJ$6,Actual!$A:$A,Monitoring!$A116)</f>
        <v>0</v>
      </c>
      <c r="AK116" s="53">
        <f>SUMIFS(Actual!$F:$F,Actual!$N:$N,Monitoring!AK$6,Actual!$A:$A,Monitoring!$A116)</f>
        <v>0</v>
      </c>
      <c r="AL116" s="53">
        <f>SUMIFS(Actual!$F:$F,Actual!$N:$N,Monitoring!AL$6,Actual!$A:$A,Monitoring!$A116)</f>
        <v>0</v>
      </c>
      <c r="AM116" s="53">
        <f>SUMIFS(Actual!$F:$F,Actual!$N:$N,Monitoring!AM$6,Actual!$A:$A,Monitoring!$A116)</f>
        <v>0</v>
      </c>
      <c r="AN116" s="53">
        <f>SUMIFS(Actual!$F:$F,Actual!$N:$N,Monitoring!AN$6,Actual!$A:$A,Monitoring!$A116)</f>
        <v>0</v>
      </c>
      <c r="AO116" s="53">
        <f>SUMIFS(Actual!$F:$F,Actual!$N:$N,Monitoring!AO$6,Actual!$A:$A,Monitoring!$A116)</f>
        <v>0</v>
      </c>
      <c r="AP116" s="53">
        <f t="shared" si="44"/>
        <v>0</v>
      </c>
      <c r="AQ116" s="53">
        <f t="shared" si="45"/>
        <v>0</v>
      </c>
      <c r="AR116" s="53">
        <f t="shared" si="46"/>
        <v>0</v>
      </c>
      <c r="AS116" s="1">
        <f t="shared" si="47"/>
        <v>0</v>
      </c>
      <c r="AT116" s="12">
        <f t="shared" si="48"/>
        <v>0</v>
      </c>
      <c r="AU116" s="1"/>
      <c r="AV116" s="53">
        <f t="shared" si="49"/>
        <v>0</v>
      </c>
      <c r="AW116" s="1">
        <f t="shared" si="50"/>
        <v>0</v>
      </c>
      <c r="AX116" s="1">
        <f t="shared" si="51"/>
        <v>0</v>
      </c>
      <c r="AY116" s="1">
        <f t="shared" si="52"/>
        <v>0</v>
      </c>
      <c r="AZ116" s="1">
        <f t="shared" si="53"/>
        <v>0</v>
      </c>
      <c r="BA116" s="1">
        <f t="shared" si="54"/>
        <v>0</v>
      </c>
      <c r="BB116" s="1">
        <f t="shared" si="55"/>
        <v>0</v>
      </c>
      <c r="BC116" s="1">
        <f t="shared" si="56"/>
        <v>0</v>
      </c>
      <c r="BD116" s="1">
        <f t="shared" si="57"/>
        <v>0</v>
      </c>
      <c r="BE116" s="1">
        <f t="shared" si="58"/>
        <v>0</v>
      </c>
      <c r="BF116" s="1">
        <f t="shared" si="59"/>
        <v>0</v>
      </c>
      <c r="BG116" s="1">
        <f t="shared" si="60"/>
        <v>0</v>
      </c>
      <c r="BH116">
        <f t="shared" si="61"/>
        <v>110</v>
      </c>
    </row>
    <row r="117" spans="1:60" x14ac:dyDescent="0.35">
      <c r="A117">
        <v>10001443</v>
      </c>
      <c r="B117" t="str">
        <f t="shared" si="72"/>
        <v>OE MAIN WATERLINE REROUTING</v>
      </c>
      <c r="C117" t="s">
        <v>766</v>
      </c>
      <c r="D117" t="s">
        <v>766</v>
      </c>
      <c r="E117" t="s">
        <v>714</v>
      </c>
      <c r="F117" s="72" t="s">
        <v>1814</v>
      </c>
      <c r="G117" t="s">
        <v>1</v>
      </c>
      <c r="H117" t="s">
        <v>370</v>
      </c>
      <c r="I117">
        <v>1110</v>
      </c>
      <c r="J117" t="s">
        <v>783</v>
      </c>
      <c r="K117" s="3">
        <f t="shared" si="73"/>
        <v>27</v>
      </c>
      <c r="L117" s="3" t="str">
        <f t="shared" si="74"/>
        <v>8000</v>
      </c>
      <c r="M117">
        <v>80322101</v>
      </c>
      <c r="N117" s="3" t="str">
        <f>_xlfn.XLOOKUP(M117,[2]Sheet1!$A:$A,[2]Sheet1!$D:$D)</f>
        <v>OE DEVELOPABLE</v>
      </c>
      <c r="O117" t="s">
        <v>782</v>
      </c>
      <c r="P117" t="s">
        <v>339</v>
      </c>
      <c r="Q117" s="2" t="s">
        <v>781</v>
      </c>
      <c r="R117" s="1">
        <v>1209811.26</v>
      </c>
      <c r="S117" s="63" t="s">
        <v>773</v>
      </c>
      <c r="T117" t="str">
        <f>_xlfn.XLOOKUP(M117,[2]Sheet1!$A:$A,[2]Sheet1!$E:$E)</f>
        <v>ESTATES</v>
      </c>
      <c r="U117" s="63" t="s">
        <v>773</v>
      </c>
      <c r="V117" s="63" t="s">
        <v>14</v>
      </c>
      <c r="W117" s="63" t="s">
        <v>773</v>
      </c>
      <c r="X117" s="63" t="s">
        <v>784</v>
      </c>
      <c r="Z117" s="1">
        <f>_xlfn.XLOOKUP(A117,'SAP Report'!A:A,'SAP Report'!C:C)</f>
        <v>1209811.26</v>
      </c>
      <c r="AA117" s="1">
        <f>HLOOKUP($A$4,$AV$6:$BG117,(2+BH116),FALSE)</f>
        <v>982142.86</v>
      </c>
      <c r="AB117" s="1">
        <f>SUMIF('Open PR PO'!A:A,Monitoring!A117,'Open PR PO'!K:K)</f>
        <v>0</v>
      </c>
      <c r="AC117" s="1">
        <f t="shared" si="62"/>
        <v>982142.86</v>
      </c>
      <c r="AD117" s="1">
        <f t="shared" si="63"/>
        <v>227668.40000000002</v>
      </c>
      <c r="AE117" s="1">
        <f t="shared" si="64"/>
        <v>227668.40000000002</v>
      </c>
      <c r="AF117" s="1"/>
      <c r="AG117" s="53">
        <f>SUMIFS(Actual!$F:$F,Actual!$N:$N,Monitoring!AG$6,Actual!$A:$A,Monitoring!$A117)</f>
        <v>0</v>
      </c>
      <c r="AH117" s="53">
        <f>SUMIFS(Actual!$F:$F,Actual!$N:$N,Monitoring!AH$6,Actual!$A:$A,Monitoring!$A117)</f>
        <v>0</v>
      </c>
      <c r="AI117" s="53">
        <f>SUMIFS(Actual!$F:$F,Actual!$N:$N,Monitoring!AI$6,Actual!$A:$A,Monitoring!$A117)</f>
        <v>0</v>
      </c>
      <c r="AJ117" s="53">
        <f>SUMIFS(Actual!$F:$F,Actual!$N:$N,Monitoring!AJ$6,Actual!$A:$A,Monitoring!$A117)</f>
        <v>982142.86</v>
      </c>
      <c r="AK117" s="53">
        <f>SUMIFS(Actual!$F:$F,Actual!$N:$N,Monitoring!AK$6,Actual!$A:$A,Monitoring!$A117)</f>
        <v>0</v>
      </c>
      <c r="AL117" s="53">
        <f>SUMIFS(Actual!$F:$F,Actual!$N:$N,Monitoring!AL$6,Actual!$A:$A,Monitoring!$A117)</f>
        <v>0</v>
      </c>
      <c r="AM117" s="53">
        <f>SUMIFS(Actual!$F:$F,Actual!$N:$N,Monitoring!AM$6,Actual!$A:$A,Monitoring!$A117)</f>
        <v>0</v>
      </c>
      <c r="AN117" s="53">
        <f>SUMIFS(Actual!$F:$F,Actual!$N:$N,Monitoring!AN$6,Actual!$A:$A,Monitoring!$A117)</f>
        <v>0</v>
      </c>
      <c r="AO117" s="53">
        <f>SUMIFS(Actual!$F:$F,Actual!$N:$N,Monitoring!AO$6,Actual!$A:$A,Monitoring!$A117)</f>
        <v>0</v>
      </c>
      <c r="AP117" s="53">
        <f t="shared" si="44"/>
        <v>0</v>
      </c>
      <c r="AQ117" s="53">
        <f t="shared" si="45"/>
        <v>113834.20000000001</v>
      </c>
      <c r="AR117" s="53">
        <f t="shared" si="46"/>
        <v>113834.20000000001</v>
      </c>
      <c r="AS117" s="1">
        <f t="shared" si="47"/>
        <v>1209811.26</v>
      </c>
      <c r="AT117" s="12">
        <f t="shared" si="48"/>
        <v>0</v>
      </c>
      <c r="AU117" s="1"/>
      <c r="AV117" s="53">
        <f t="shared" si="49"/>
        <v>0</v>
      </c>
      <c r="AW117" s="1">
        <f t="shared" si="50"/>
        <v>0</v>
      </c>
      <c r="AX117" s="1">
        <f t="shared" si="51"/>
        <v>0</v>
      </c>
      <c r="AY117" s="1">
        <f t="shared" si="52"/>
        <v>982142.86</v>
      </c>
      <c r="AZ117" s="1">
        <f t="shared" si="53"/>
        <v>982142.86</v>
      </c>
      <c r="BA117" s="1">
        <f t="shared" si="54"/>
        <v>982142.86</v>
      </c>
      <c r="BB117" s="1">
        <f t="shared" si="55"/>
        <v>982142.86</v>
      </c>
      <c r="BC117" s="1">
        <f t="shared" si="56"/>
        <v>982142.86</v>
      </c>
      <c r="BD117" s="1">
        <f t="shared" si="57"/>
        <v>982142.86</v>
      </c>
      <c r="BE117" s="1">
        <f t="shared" si="58"/>
        <v>982142.86</v>
      </c>
      <c r="BF117" s="1">
        <f t="shared" si="59"/>
        <v>1095977.06</v>
      </c>
      <c r="BG117" s="1">
        <f t="shared" si="60"/>
        <v>1209811.26</v>
      </c>
      <c r="BH117">
        <f t="shared" si="61"/>
        <v>111</v>
      </c>
    </row>
    <row r="118" spans="1:60" x14ac:dyDescent="0.35">
      <c r="A118">
        <v>40001280</v>
      </c>
      <c r="B118" t="str">
        <f t="shared" si="72"/>
        <v>PROMENADE CINEMA THEATER MANAGEMENT SYSTEM</v>
      </c>
      <c r="C118" t="s">
        <v>9</v>
      </c>
      <c r="D118" t="s">
        <v>9</v>
      </c>
      <c r="E118" t="s">
        <v>758</v>
      </c>
      <c r="F118" s="72" t="s">
        <v>1814</v>
      </c>
      <c r="G118" t="s">
        <v>1</v>
      </c>
      <c r="H118" t="s">
        <v>503</v>
      </c>
      <c r="I118">
        <v>1210</v>
      </c>
      <c r="J118" t="s">
        <v>788</v>
      </c>
      <c r="K118" s="3">
        <f t="shared" si="73"/>
        <v>42</v>
      </c>
      <c r="L118" s="3" t="str">
        <f t="shared" si="74"/>
        <v>8100</v>
      </c>
      <c r="M118" s="5">
        <v>81221210</v>
      </c>
      <c r="N118" s="3" t="str">
        <f>_xlfn.XLOOKUP(M118,[2]Sheet1!$A:$A,[2]Sheet1!$D:$D)</f>
        <v>PROMENADE CINEMA</v>
      </c>
      <c r="O118" t="s">
        <v>756</v>
      </c>
      <c r="P118" t="s">
        <v>20</v>
      </c>
      <c r="Q118" s="2" t="s">
        <v>3182</v>
      </c>
      <c r="R118" s="89">
        <f>1500000-97000</f>
        <v>1403000</v>
      </c>
      <c r="S118" s="63" t="s">
        <v>773</v>
      </c>
      <c r="T118" t="str">
        <f>_xlfn.XLOOKUP(M118,[2]Sheet1!$A:$A,[2]Sheet1!$E:$E)</f>
        <v>MALLS</v>
      </c>
      <c r="U118" s="63" t="s">
        <v>755</v>
      </c>
      <c r="V118" s="63" t="s">
        <v>92</v>
      </c>
      <c r="W118" s="63" t="s">
        <v>787</v>
      </c>
      <c r="X118" s="63" t="s">
        <v>3196</v>
      </c>
      <c r="Z118" s="1">
        <f>_xlfn.XLOOKUP(A118,'SAP Report'!A:A,'SAP Report'!C:C)</f>
        <v>1403000</v>
      </c>
      <c r="AA118" s="1">
        <f>HLOOKUP($A$4,$AV$6:$BG118,(2+BH117),FALSE)</f>
        <v>0</v>
      </c>
      <c r="AB118" s="1">
        <f>SUMIF('Open PR PO'!A:A,Monitoring!A118,'Open PR PO'!K:K)</f>
        <v>937500</v>
      </c>
      <c r="AC118" s="1">
        <f t="shared" si="62"/>
        <v>937500</v>
      </c>
      <c r="AD118" s="1">
        <f t="shared" si="63"/>
        <v>465500</v>
      </c>
      <c r="AE118" s="1">
        <f t="shared" si="64"/>
        <v>1403000</v>
      </c>
      <c r="AF118" s="1"/>
      <c r="AG118" s="53">
        <f>SUMIFS(Actual!$F:$F,Actual!$N:$N,Monitoring!AG$6,Actual!$A:$A,Monitoring!$A118)</f>
        <v>0</v>
      </c>
      <c r="AH118" s="53">
        <f>SUMIFS(Actual!$F:$F,Actual!$N:$N,Monitoring!AH$6,Actual!$A:$A,Monitoring!$A118)</f>
        <v>0</v>
      </c>
      <c r="AI118" s="53">
        <f>SUMIFS(Actual!$F:$F,Actual!$N:$N,Monitoring!AI$6,Actual!$A:$A,Monitoring!$A118)</f>
        <v>0</v>
      </c>
      <c r="AJ118" s="53">
        <f>SUMIFS(Actual!$F:$F,Actual!$N:$N,Monitoring!AJ$6,Actual!$A:$A,Monitoring!$A118)</f>
        <v>0</v>
      </c>
      <c r="AK118" s="53">
        <f>SUMIFS(Actual!$F:$F,Actual!$N:$N,Monitoring!AK$6,Actual!$A:$A,Monitoring!$A118)</f>
        <v>0</v>
      </c>
      <c r="AL118" s="53">
        <f>SUMIFS(Actual!$F:$F,Actual!$N:$N,Monitoring!AL$6,Actual!$A:$A,Monitoring!$A118)</f>
        <v>0</v>
      </c>
      <c r="AM118" s="53">
        <f>SUMIFS(Actual!$F:$F,Actual!$N:$N,Monitoring!AM$6,Actual!$A:$A,Monitoring!$A118)</f>
        <v>0</v>
      </c>
      <c r="AN118" s="53">
        <f>SUMIFS(Actual!$F:$F,Actual!$N:$N,Monitoring!AN$6,Actual!$A:$A,Monitoring!$A118)</f>
        <v>0</v>
      </c>
      <c r="AO118" s="53">
        <f>SUMIFS(Actual!$F:$F,Actual!$N:$N,Monitoring!AO$6,Actual!$A:$A,Monitoring!$A118)</f>
        <v>0</v>
      </c>
      <c r="AP118" s="53">
        <f t="shared" si="44"/>
        <v>937500</v>
      </c>
      <c r="AQ118" s="53">
        <f t="shared" si="45"/>
        <v>232750</v>
      </c>
      <c r="AR118" s="53">
        <f t="shared" si="46"/>
        <v>232750</v>
      </c>
      <c r="AS118" s="1">
        <f t="shared" si="47"/>
        <v>1403000</v>
      </c>
      <c r="AT118" s="12">
        <f t="shared" si="48"/>
        <v>0</v>
      </c>
      <c r="AU118" s="1"/>
      <c r="AV118" s="53">
        <f t="shared" si="49"/>
        <v>0</v>
      </c>
      <c r="AW118" s="1">
        <f t="shared" si="50"/>
        <v>0</v>
      </c>
      <c r="AX118" s="1">
        <f t="shared" si="51"/>
        <v>0</v>
      </c>
      <c r="AY118" s="1">
        <f t="shared" si="52"/>
        <v>0</v>
      </c>
      <c r="AZ118" s="1">
        <f t="shared" si="53"/>
        <v>0</v>
      </c>
      <c r="BA118" s="1">
        <f t="shared" si="54"/>
        <v>0</v>
      </c>
      <c r="BB118" s="1">
        <f t="shared" si="55"/>
        <v>0</v>
      </c>
      <c r="BC118" s="1">
        <f t="shared" si="56"/>
        <v>0</v>
      </c>
      <c r="BD118" s="1">
        <f t="shared" si="57"/>
        <v>0</v>
      </c>
      <c r="BE118" s="1">
        <f t="shared" si="58"/>
        <v>937500</v>
      </c>
      <c r="BF118" s="1">
        <f t="shared" si="59"/>
        <v>1170250</v>
      </c>
      <c r="BG118" s="1">
        <f t="shared" si="60"/>
        <v>1403000</v>
      </c>
      <c r="BH118">
        <f t="shared" si="61"/>
        <v>112</v>
      </c>
    </row>
    <row r="119" spans="1:60" x14ac:dyDescent="0.35">
      <c r="A119">
        <v>40001281</v>
      </c>
      <c r="B119" t="str">
        <f t="shared" si="72"/>
        <v>ES CINEMA THEATER MANAGEMENT SYSTEM</v>
      </c>
      <c r="C119" t="s">
        <v>9</v>
      </c>
      <c r="D119" t="s">
        <v>9</v>
      </c>
      <c r="E119" t="s">
        <v>758</v>
      </c>
      <c r="F119" s="72" t="s">
        <v>1814</v>
      </c>
      <c r="G119" t="s">
        <v>1</v>
      </c>
      <c r="H119" t="s">
        <v>493</v>
      </c>
      <c r="I119">
        <v>1210</v>
      </c>
      <c r="J119" t="s">
        <v>789</v>
      </c>
      <c r="K119" s="3">
        <f t="shared" si="73"/>
        <v>35</v>
      </c>
      <c r="L119" s="3" t="str">
        <f t="shared" si="74"/>
        <v>8100</v>
      </c>
      <c r="M119">
        <v>81225206</v>
      </c>
      <c r="N119" s="3" t="str">
        <f>_xlfn.XLOOKUP(M119,[2]Sheet1!$A:$A,[2]Sheet1!$D:$D)</f>
        <v>ESTANCIA CINEMA-RC</v>
      </c>
      <c r="O119" t="s">
        <v>756</v>
      </c>
      <c r="P119" t="s">
        <v>20</v>
      </c>
      <c r="Q119" s="2" t="s">
        <v>3188</v>
      </c>
      <c r="R119" s="89">
        <f>1500000-95000-145000</f>
        <v>1260000</v>
      </c>
      <c r="S119" s="63" t="s">
        <v>773</v>
      </c>
      <c r="T119" t="str">
        <f>_xlfn.XLOOKUP(M119,[2]Sheet1!$A:$A,[2]Sheet1!$E:$E)</f>
        <v>MALLS</v>
      </c>
      <c r="U119" s="63" t="s">
        <v>755</v>
      </c>
      <c r="V119" s="63" t="s">
        <v>92</v>
      </c>
      <c r="W119" s="63" t="s">
        <v>787</v>
      </c>
      <c r="X119" s="63" t="s">
        <v>3195</v>
      </c>
      <c r="Z119" s="1">
        <f>_xlfn.XLOOKUP(A119,'SAP Report'!A:A,'SAP Report'!C:C)</f>
        <v>1260000</v>
      </c>
      <c r="AA119" s="1">
        <f>HLOOKUP($A$4,$AV$6:$BG119,(2+BH118),FALSE)</f>
        <v>0</v>
      </c>
      <c r="AB119" s="1">
        <f>SUMIF('Open PR PO'!A:A,Monitoring!A119,'Open PR PO'!K:K)</f>
        <v>959821.43</v>
      </c>
      <c r="AC119" s="1">
        <f t="shared" si="62"/>
        <v>959821.43</v>
      </c>
      <c r="AD119" s="1">
        <f t="shared" si="63"/>
        <v>300178.56999999995</v>
      </c>
      <c r="AE119" s="1">
        <f t="shared" si="64"/>
        <v>1260000</v>
      </c>
      <c r="AF119" s="1"/>
      <c r="AG119" s="53">
        <f>SUMIFS(Actual!$F:$F,Actual!$N:$N,Monitoring!AG$6,Actual!$A:$A,Monitoring!$A119)</f>
        <v>0</v>
      </c>
      <c r="AH119" s="53">
        <f>SUMIFS(Actual!$F:$F,Actual!$N:$N,Monitoring!AH$6,Actual!$A:$A,Monitoring!$A119)</f>
        <v>0</v>
      </c>
      <c r="AI119" s="53">
        <f>SUMIFS(Actual!$F:$F,Actual!$N:$N,Monitoring!AI$6,Actual!$A:$A,Monitoring!$A119)</f>
        <v>0</v>
      </c>
      <c r="AJ119" s="53">
        <f>SUMIFS(Actual!$F:$F,Actual!$N:$N,Monitoring!AJ$6,Actual!$A:$A,Monitoring!$A119)</f>
        <v>0</v>
      </c>
      <c r="AK119" s="53">
        <f>SUMIFS(Actual!$F:$F,Actual!$N:$N,Monitoring!AK$6,Actual!$A:$A,Monitoring!$A119)</f>
        <v>0</v>
      </c>
      <c r="AL119" s="53">
        <f>SUMIFS(Actual!$F:$F,Actual!$N:$N,Monitoring!AL$6,Actual!$A:$A,Monitoring!$A119)</f>
        <v>0</v>
      </c>
      <c r="AM119" s="53">
        <f>SUMIFS(Actual!$F:$F,Actual!$N:$N,Monitoring!AM$6,Actual!$A:$A,Monitoring!$A119)</f>
        <v>0</v>
      </c>
      <c r="AN119" s="53">
        <f>SUMIFS(Actual!$F:$F,Actual!$N:$N,Monitoring!AN$6,Actual!$A:$A,Monitoring!$A119)</f>
        <v>0</v>
      </c>
      <c r="AO119" s="53">
        <f>SUMIFS(Actual!$F:$F,Actual!$N:$N,Monitoring!AO$6,Actual!$A:$A,Monitoring!$A119)</f>
        <v>0</v>
      </c>
      <c r="AP119" s="53">
        <f t="shared" si="44"/>
        <v>959821.43</v>
      </c>
      <c r="AQ119" s="53">
        <f t="shared" si="45"/>
        <v>150089.28499999997</v>
      </c>
      <c r="AR119" s="53">
        <f t="shared" si="46"/>
        <v>150089.28499999997</v>
      </c>
      <c r="AS119" s="1">
        <f t="shared" si="47"/>
        <v>1260000</v>
      </c>
      <c r="AT119" s="12">
        <f t="shared" si="48"/>
        <v>0</v>
      </c>
      <c r="AU119" s="1"/>
      <c r="AV119" s="53">
        <f t="shared" si="49"/>
        <v>0</v>
      </c>
      <c r="AW119" s="1">
        <f t="shared" si="50"/>
        <v>0</v>
      </c>
      <c r="AX119" s="1">
        <f t="shared" si="51"/>
        <v>0</v>
      </c>
      <c r="AY119" s="1">
        <f t="shared" si="52"/>
        <v>0</v>
      </c>
      <c r="AZ119" s="1">
        <f t="shared" si="53"/>
        <v>0</v>
      </c>
      <c r="BA119" s="1">
        <f t="shared" si="54"/>
        <v>0</v>
      </c>
      <c r="BB119" s="1">
        <f t="shared" si="55"/>
        <v>0</v>
      </c>
      <c r="BC119" s="1">
        <f t="shared" si="56"/>
        <v>0</v>
      </c>
      <c r="BD119" s="1">
        <f t="shared" si="57"/>
        <v>0</v>
      </c>
      <c r="BE119" s="1">
        <f t="shared" si="58"/>
        <v>959821.43</v>
      </c>
      <c r="BF119" s="1">
        <f t="shared" si="59"/>
        <v>1109910.7150000001</v>
      </c>
      <c r="BG119" s="1">
        <f t="shared" si="60"/>
        <v>1260000</v>
      </c>
      <c r="BH119">
        <f t="shared" si="61"/>
        <v>113</v>
      </c>
    </row>
    <row r="120" spans="1:60" x14ac:dyDescent="0.35">
      <c r="A120">
        <v>10001444</v>
      </c>
      <c r="B120" t="str">
        <f t="shared" si="72"/>
        <v>SC2&amp;3 INSTALLATION OF CCTV AT PASSENGER AND SERVICE ELEVATOR</v>
      </c>
      <c r="C120" t="s">
        <v>93</v>
      </c>
      <c r="D120" t="s">
        <v>93</v>
      </c>
      <c r="E120" t="s">
        <v>794</v>
      </c>
      <c r="F120" s="72" t="s">
        <v>1814</v>
      </c>
      <c r="G120" t="s">
        <v>1</v>
      </c>
      <c r="H120" t="s">
        <v>259</v>
      </c>
      <c r="I120">
        <v>1110</v>
      </c>
      <c r="J120" t="s">
        <v>793</v>
      </c>
      <c r="K120" s="3">
        <f t="shared" si="73"/>
        <v>60</v>
      </c>
      <c r="L120" s="3" t="str">
        <f t="shared" si="74"/>
        <v>8100</v>
      </c>
      <c r="M120" s="5">
        <v>81322202</v>
      </c>
      <c r="N120" s="3" t="str">
        <f>_xlfn.XLOOKUP(M120,[2]Sheet1!$A:$A,[2]Sheet1!$D:$D)</f>
        <v>SILVER CITY 2 &amp; 3</v>
      </c>
      <c r="O120" t="s">
        <v>665</v>
      </c>
      <c r="P120" t="s">
        <v>91</v>
      </c>
      <c r="Q120" s="2" t="s">
        <v>791</v>
      </c>
      <c r="R120" s="1">
        <v>547415.46</v>
      </c>
      <c r="S120" s="63">
        <v>46084</v>
      </c>
      <c r="T120" t="str">
        <f>_xlfn.XLOOKUP(M120,[2]Sheet1!$A:$A,[2]Sheet1!$E:$E)</f>
        <v>OFFICES</v>
      </c>
      <c r="U120" s="63">
        <v>46268</v>
      </c>
      <c r="V120" s="63" t="s">
        <v>792</v>
      </c>
      <c r="W120" s="63">
        <v>46145</v>
      </c>
      <c r="X120" s="63" t="s">
        <v>795</v>
      </c>
      <c r="Z120" s="1">
        <f>_xlfn.XLOOKUP(A120,'SAP Report'!A:A,'SAP Report'!C:C)</f>
        <v>547415.46</v>
      </c>
      <c r="AA120" s="1">
        <f>HLOOKUP($A$4,$AV$6:$BG120,(2+BH119),FALSE)</f>
        <v>410714.29</v>
      </c>
      <c r="AB120" s="1">
        <f>SUMIF('Open PR PO'!A:A,Monitoring!A120,'Open PR PO'!K:K)</f>
        <v>0</v>
      </c>
      <c r="AC120" s="1">
        <f t="shared" si="62"/>
        <v>410714.29</v>
      </c>
      <c r="AD120" s="1">
        <f t="shared" si="63"/>
        <v>136701.16999999998</v>
      </c>
      <c r="AE120" s="1">
        <f t="shared" si="64"/>
        <v>136701.16999999998</v>
      </c>
      <c r="AF120" s="1"/>
      <c r="AG120" s="53">
        <f>SUMIFS(Actual!$F:$F,Actual!$N:$N,Monitoring!AG$6,Actual!$A:$A,Monitoring!$A120)</f>
        <v>0</v>
      </c>
      <c r="AH120" s="53">
        <f>SUMIFS(Actual!$F:$F,Actual!$N:$N,Monitoring!AH$6,Actual!$A:$A,Monitoring!$A120)</f>
        <v>0</v>
      </c>
      <c r="AI120" s="53">
        <f>SUMIFS(Actual!$F:$F,Actual!$N:$N,Monitoring!AI$6,Actual!$A:$A,Monitoring!$A120)</f>
        <v>0</v>
      </c>
      <c r="AJ120" s="53">
        <f>SUMIFS(Actual!$F:$F,Actual!$N:$N,Monitoring!AJ$6,Actual!$A:$A,Monitoring!$A120)</f>
        <v>0</v>
      </c>
      <c r="AK120" s="53">
        <f>SUMIFS(Actual!$F:$F,Actual!$N:$N,Monitoring!AK$6,Actual!$A:$A,Monitoring!$A120)</f>
        <v>410714.29</v>
      </c>
      <c r="AL120" s="53">
        <f>SUMIFS(Actual!$F:$F,Actual!$N:$N,Monitoring!AL$6,Actual!$A:$A,Monitoring!$A120)</f>
        <v>0</v>
      </c>
      <c r="AM120" s="53">
        <f>SUMIFS(Actual!$F:$F,Actual!$N:$N,Monitoring!AM$6,Actual!$A:$A,Monitoring!$A120)</f>
        <v>0</v>
      </c>
      <c r="AN120" s="53">
        <f>SUMIFS(Actual!$F:$F,Actual!$N:$N,Monitoring!AN$6,Actual!$A:$A,Monitoring!$A120)</f>
        <v>0</v>
      </c>
      <c r="AO120" s="53">
        <f>SUMIFS(Actual!$F:$F,Actual!$N:$N,Monitoring!AO$6,Actual!$A:$A,Monitoring!$A120)</f>
        <v>0</v>
      </c>
      <c r="AP120" s="53">
        <f t="shared" si="44"/>
        <v>0</v>
      </c>
      <c r="AQ120" s="53">
        <f t="shared" si="45"/>
        <v>68350.584999999992</v>
      </c>
      <c r="AR120" s="53">
        <f t="shared" si="46"/>
        <v>68350.584999999992</v>
      </c>
      <c r="AS120" s="1">
        <f t="shared" si="47"/>
        <v>547415.46</v>
      </c>
      <c r="AT120" s="12">
        <f t="shared" si="48"/>
        <v>0</v>
      </c>
      <c r="AU120" s="1"/>
      <c r="AV120" s="53">
        <f t="shared" si="49"/>
        <v>0</v>
      </c>
      <c r="AW120" s="1">
        <f t="shared" si="50"/>
        <v>0</v>
      </c>
      <c r="AX120" s="1">
        <f t="shared" si="51"/>
        <v>0</v>
      </c>
      <c r="AY120" s="1">
        <f t="shared" si="52"/>
        <v>0</v>
      </c>
      <c r="AZ120" s="1">
        <f t="shared" si="53"/>
        <v>410714.29</v>
      </c>
      <c r="BA120" s="1">
        <f t="shared" si="54"/>
        <v>410714.29</v>
      </c>
      <c r="BB120" s="1">
        <f t="shared" si="55"/>
        <v>410714.29</v>
      </c>
      <c r="BC120" s="1">
        <f t="shared" si="56"/>
        <v>410714.29</v>
      </c>
      <c r="BD120" s="1">
        <f t="shared" si="57"/>
        <v>410714.29</v>
      </c>
      <c r="BE120" s="1">
        <f t="shared" si="58"/>
        <v>410714.29</v>
      </c>
      <c r="BF120" s="1">
        <f t="shared" si="59"/>
        <v>479064.875</v>
      </c>
      <c r="BG120" s="1">
        <f t="shared" si="60"/>
        <v>547415.46</v>
      </c>
      <c r="BH120">
        <f t="shared" si="61"/>
        <v>114</v>
      </c>
    </row>
    <row r="121" spans="1:60" x14ac:dyDescent="0.35">
      <c r="A121">
        <v>40001282</v>
      </c>
      <c r="B121" t="str">
        <f t="shared" si="72"/>
        <v>FACE RECOGNITION ACCESS CONTROL TERMINAL</v>
      </c>
      <c r="C121" t="s">
        <v>85</v>
      </c>
      <c r="D121" t="s">
        <v>797</v>
      </c>
      <c r="E121" t="s">
        <v>745</v>
      </c>
      <c r="F121" s="72" t="s">
        <v>1814</v>
      </c>
      <c r="G121" t="s">
        <v>1</v>
      </c>
      <c r="H121" t="s">
        <v>454</v>
      </c>
      <c r="I121">
        <v>1312</v>
      </c>
      <c r="J121" t="s">
        <v>800</v>
      </c>
      <c r="K121" s="3">
        <f t="shared" si="73"/>
        <v>40</v>
      </c>
      <c r="L121" s="3" t="str">
        <f t="shared" si="74"/>
        <v>8100</v>
      </c>
      <c r="M121">
        <v>81124101</v>
      </c>
      <c r="N121" s="3" t="str">
        <f>_xlfn.XLOOKUP(M121,[2]Sheet1!$A:$A,[2]Sheet1!$D:$D)</f>
        <v>IS &amp; IT</v>
      </c>
      <c r="O121" t="s">
        <v>60</v>
      </c>
      <c r="P121" t="s">
        <v>743</v>
      </c>
      <c r="Q121" s="2" t="s">
        <v>798</v>
      </c>
      <c r="R121" s="1">
        <v>106400</v>
      </c>
      <c r="S121" s="63" t="s">
        <v>719</v>
      </c>
      <c r="T121" t="str">
        <f>_xlfn.XLOOKUP(M121,[2]Sheet1!$A:$A,[2]Sheet1!$E:$E)</f>
        <v>CORPORATE</v>
      </c>
      <c r="U121" s="66" t="s">
        <v>799</v>
      </c>
      <c r="V121" s="63" t="s">
        <v>14</v>
      </c>
      <c r="W121" s="66" t="s">
        <v>799</v>
      </c>
      <c r="X121" s="63" t="s">
        <v>801</v>
      </c>
      <c r="Z121" s="1">
        <f>_xlfn.XLOOKUP(A121,'SAP Report'!A:A,'SAP Report'!C:C)</f>
        <v>106400</v>
      </c>
      <c r="AA121" s="1">
        <f>HLOOKUP($A$4,$AV$6:$BG121,(2+BH120),FALSE)</f>
        <v>80357.14</v>
      </c>
      <c r="AB121" s="1">
        <f>SUMIF('Open PR PO'!A:A,Monitoring!A121,'Open PR PO'!K:K)</f>
        <v>0</v>
      </c>
      <c r="AC121" s="1">
        <f t="shared" si="62"/>
        <v>80357.14</v>
      </c>
      <c r="AD121" s="1">
        <f t="shared" si="63"/>
        <v>26042.86</v>
      </c>
      <c r="AE121" s="1">
        <f t="shared" si="64"/>
        <v>26042.86</v>
      </c>
      <c r="AF121" s="1"/>
      <c r="AG121" s="53">
        <f>SUMIFS(Actual!$F:$F,Actual!$N:$N,Monitoring!AG$6,Actual!$A:$A,Monitoring!$A121)</f>
        <v>0</v>
      </c>
      <c r="AH121" s="53">
        <f>SUMIFS(Actual!$F:$F,Actual!$N:$N,Monitoring!AH$6,Actual!$A:$A,Monitoring!$A121)</f>
        <v>0</v>
      </c>
      <c r="AI121" s="53">
        <f>SUMIFS(Actual!$F:$F,Actual!$N:$N,Monitoring!AI$6,Actual!$A:$A,Monitoring!$A121)</f>
        <v>0</v>
      </c>
      <c r="AJ121" s="53">
        <f>SUMIFS(Actual!$F:$F,Actual!$N:$N,Monitoring!AJ$6,Actual!$A:$A,Monitoring!$A121)</f>
        <v>0</v>
      </c>
      <c r="AK121" s="53">
        <f>SUMIFS(Actual!$F:$F,Actual!$N:$N,Monitoring!AK$6,Actual!$A:$A,Monitoring!$A121)</f>
        <v>80357.14</v>
      </c>
      <c r="AL121" s="53">
        <f>SUMIFS(Actual!$F:$F,Actual!$N:$N,Monitoring!AL$6,Actual!$A:$A,Monitoring!$A121)</f>
        <v>0</v>
      </c>
      <c r="AM121" s="53">
        <f>SUMIFS(Actual!$F:$F,Actual!$N:$N,Monitoring!AM$6,Actual!$A:$A,Monitoring!$A121)</f>
        <v>0</v>
      </c>
      <c r="AN121" s="53">
        <f>SUMIFS(Actual!$F:$F,Actual!$N:$N,Monitoring!AN$6,Actual!$A:$A,Monitoring!$A121)</f>
        <v>0</v>
      </c>
      <c r="AO121" s="53">
        <f>SUMIFS(Actual!$F:$F,Actual!$N:$N,Monitoring!AO$6,Actual!$A:$A,Monitoring!$A121)</f>
        <v>0</v>
      </c>
      <c r="AP121" s="53">
        <f t="shared" si="44"/>
        <v>0</v>
      </c>
      <c r="AQ121" s="53">
        <f t="shared" si="45"/>
        <v>13021.43</v>
      </c>
      <c r="AR121" s="53">
        <f t="shared" si="46"/>
        <v>13021.43</v>
      </c>
      <c r="AS121" s="1">
        <f t="shared" si="47"/>
        <v>106400</v>
      </c>
      <c r="AT121" s="12">
        <f t="shared" si="48"/>
        <v>0</v>
      </c>
      <c r="AU121" s="1"/>
      <c r="AV121" s="53">
        <f t="shared" si="49"/>
        <v>0</v>
      </c>
      <c r="AW121" s="1">
        <f t="shared" si="50"/>
        <v>0</v>
      </c>
      <c r="AX121" s="1">
        <f t="shared" si="51"/>
        <v>0</v>
      </c>
      <c r="AY121" s="1">
        <f t="shared" si="52"/>
        <v>0</v>
      </c>
      <c r="AZ121" s="1">
        <f t="shared" si="53"/>
        <v>80357.14</v>
      </c>
      <c r="BA121" s="1">
        <f t="shared" si="54"/>
        <v>80357.14</v>
      </c>
      <c r="BB121" s="1">
        <f t="shared" si="55"/>
        <v>80357.14</v>
      </c>
      <c r="BC121" s="1">
        <f t="shared" si="56"/>
        <v>80357.14</v>
      </c>
      <c r="BD121" s="1">
        <f t="shared" si="57"/>
        <v>80357.14</v>
      </c>
      <c r="BE121" s="1">
        <f t="shared" si="58"/>
        <v>80357.14</v>
      </c>
      <c r="BF121" s="1">
        <f t="shared" si="59"/>
        <v>93378.57</v>
      </c>
      <c r="BG121" s="1">
        <f t="shared" si="60"/>
        <v>106400</v>
      </c>
      <c r="BH121">
        <f t="shared" si="61"/>
        <v>115</v>
      </c>
    </row>
    <row r="122" spans="1:60" x14ac:dyDescent="0.35">
      <c r="A122">
        <v>40001283</v>
      </c>
      <c r="B122" t="str">
        <f t="shared" si="72"/>
        <v>LAPTOPS FOR DPD ARCHITECTS</v>
      </c>
      <c r="C122" t="s">
        <v>85</v>
      </c>
      <c r="D122" t="s">
        <v>797</v>
      </c>
      <c r="E122" t="s">
        <v>803</v>
      </c>
      <c r="F122" s="72" t="s">
        <v>1814</v>
      </c>
      <c r="G122" t="s">
        <v>1</v>
      </c>
      <c r="H122" t="s">
        <v>454</v>
      </c>
      <c r="I122">
        <v>1312</v>
      </c>
      <c r="J122" t="s">
        <v>809</v>
      </c>
      <c r="K122" s="3">
        <f t="shared" si="73"/>
        <v>26</v>
      </c>
      <c r="L122" s="3" t="str">
        <f t="shared" si="74"/>
        <v>8100</v>
      </c>
      <c r="M122">
        <v>81124101</v>
      </c>
      <c r="N122" s="3" t="str">
        <f>_xlfn.XLOOKUP(M122,[2]Sheet1!$A:$A,[2]Sheet1!$D:$D)</f>
        <v>IS &amp; IT</v>
      </c>
      <c r="O122" t="s">
        <v>805</v>
      </c>
      <c r="P122" t="s">
        <v>743</v>
      </c>
      <c r="Q122" s="2" t="s">
        <v>806</v>
      </c>
      <c r="R122" s="1">
        <v>201785.71</v>
      </c>
      <c r="S122" s="63">
        <v>46298</v>
      </c>
      <c r="T122" t="str">
        <f>_xlfn.XLOOKUP(M122,[2]Sheet1!$A:$A,[2]Sheet1!$E:$E)</f>
        <v>CORPORATE</v>
      </c>
      <c r="U122" s="66" t="s">
        <v>810</v>
      </c>
      <c r="V122" s="63" t="s">
        <v>14</v>
      </c>
      <c r="W122" s="66" t="s">
        <v>810</v>
      </c>
      <c r="X122" s="63" t="s">
        <v>811</v>
      </c>
      <c r="Z122" s="1">
        <f>_xlfn.XLOOKUP(A122,'SAP Report'!A:A,'SAP Report'!C:C)</f>
        <v>201785.72</v>
      </c>
      <c r="AA122" s="1">
        <f>HLOOKUP($A$4,$AV$6:$BG122,(2+BH121),FALSE)</f>
        <v>167857.14</v>
      </c>
      <c r="AB122" s="1">
        <f>SUMIF('Open PR PO'!A:A,Monitoring!A122,'Open PR PO'!K:K)</f>
        <v>0</v>
      </c>
      <c r="AC122" s="1">
        <f t="shared" si="62"/>
        <v>167857.14</v>
      </c>
      <c r="AD122" s="1">
        <f t="shared" si="63"/>
        <v>33928.579999999987</v>
      </c>
      <c r="AE122" s="1">
        <f t="shared" si="64"/>
        <v>33928.579999999987</v>
      </c>
      <c r="AF122" s="1"/>
      <c r="AG122" s="53">
        <f>SUMIFS(Actual!$F:$F,Actual!$N:$N,Monitoring!AG$6,Actual!$A:$A,Monitoring!$A122)</f>
        <v>0</v>
      </c>
      <c r="AH122" s="53">
        <f>SUMIFS(Actual!$F:$F,Actual!$N:$N,Monitoring!AH$6,Actual!$A:$A,Monitoring!$A122)</f>
        <v>0</v>
      </c>
      <c r="AI122" s="53">
        <f>SUMIFS(Actual!$F:$F,Actual!$N:$N,Monitoring!AI$6,Actual!$A:$A,Monitoring!$A122)</f>
        <v>0</v>
      </c>
      <c r="AJ122" s="53">
        <f>SUMIFS(Actual!$F:$F,Actual!$N:$N,Monitoring!AJ$6,Actual!$A:$A,Monitoring!$A122)</f>
        <v>0</v>
      </c>
      <c r="AK122" s="53">
        <f>SUMIFS(Actual!$F:$F,Actual!$N:$N,Monitoring!AK$6,Actual!$A:$A,Monitoring!$A122)</f>
        <v>167857.14</v>
      </c>
      <c r="AL122" s="53">
        <f>SUMIFS(Actual!$F:$F,Actual!$N:$N,Monitoring!AL$6,Actual!$A:$A,Monitoring!$A122)</f>
        <v>0</v>
      </c>
      <c r="AM122" s="53">
        <f>SUMIFS(Actual!$F:$F,Actual!$N:$N,Monitoring!AM$6,Actual!$A:$A,Monitoring!$A122)</f>
        <v>0</v>
      </c>
      <c r="AN122" s="53">
        <f>SUMIFS(Actual!$F:$F,Actual!$N:$N,Monitoring!AN$6,Actual!$A:$A,Monitoring!$A122)</f>
        <v>0</v>
      </c>
      <c r="AO122" s="53">
        <f>SUMIFS(Actual!$F:$F,Actual!$N:$N,Monitoring!AO$6,Actual!$A:$A,Monitoring!$A122)</f>
        <v>0</v>
      </c>
      <c r="AP122" s="53">
        <f t="shared" si="44"/>
        <v>0</v>
      </c>
      <c r="AQ122" s="53">
        <f t="shared" si="45"/>
        <v>16964.289999999994</v>
      </c>
      <c r="AR122" s="53">
        <f t="shared" si="46"/>
        <v>16964.289999999994</v>
      </c>
      <c r="AS122" s="1">
        <f t="shared" si="47"/>
        <v>201785.71999999997</v>
      </c>
      <c r="AT122" s="12">
        <f t="shared" si="48"/>
        <v>0</v>
      </c>
      <c r="AU122" s="1"/>
      <c r="AV122" s="53">
        <f t="shared" si="49"/>
        <v>0</v>
      </c>
      <c r="AW122" s="1">
        <f t="shared" si="50"/>
        <v>0</v>
      </c>
      <c r="AX122" s="1">
        <f t="shared" si="51"/>
        <v>0</v>
      </c>
      <c r="AY122" s="1">
        <f t="shared" si="52"/>
        <v>0</v>
      </c>
      <c r="AZ122" s="1">
        <f t="shared" si="53"/>
        <v>167857.14</v>
      </c>
      <c r="BA122" s="1">
        <f t="shared" si="54"/>
        <v>167857.14</v>
      </c>
      <c r="BB122" s="1">
        <f t="shared" si="55"/>
        <v>167857.14</v>
      </c>
      <c r="BC122" s="1">
        <f t="shared" si="56"/>
        <v>167857.14</v>
      </c>
      <c r="BD122" s="1">
        <f t="shared" si="57"/>
        <v>167857.14</v>
      </c>
      <c r="BE122" s="1">
        <f t="shared" si="58"/>
        <v>167857.14</v>
      </c>
      <c r="BF122" s="1">
        <f t="shared" si="59"/>
        <v>184821.43</v>
      </c>
      <c r="BG122" s="1">
        <f t="shared" si="60"/>
        <v>201785.71999999997</v>
      </c>
      <c r="BH122">
        <f t="shared" si="61"/>
        <v>116</v>
      </c>
    </row>
    <row r="123" spans="1:60" x14ac:dyDescent="0.35">
      <c r="A123">
        <v>10001445</v>
      </c>
      <c r="B123" t="str">
        <f t="shared" si="72"/>
        <v>G-STRIP RENOVATION</v>
      </c>
      <c r="C123" t="s">
        <v>9</v>
      </c>
      <c r="D123" t="s">
        <v>9</v>
      </c>
      <c r="E123" t="s">
        <v>733</v>
      </c>
      <c r="F123" s="72" t="s">
        <v>1814</v>
      </c>
      <c r="G123" t="s">
        <v>1</v>
      </c>
      <c r="H123" t="s">
        <v>601</v>
      </c>
      <c r="I123">
        <v>1100</v>
      </c>
      <c r="J123" t="s">
        <v>603</v>
      </c>
      <c r="K123" s="3">
        <f t="shared" si="73"/>
        <v>18</v>
      </c>
      <c r="L123" s="3" t="str">
        <f t="shared" si="74"/>
        <v>8100</v>
      </c>
      <c r="M123">
        <v>81221701</v>
      </c>
      <c r="N123" s="3" t="str">
        <f>_xlfn.XLOOKUP(M123,[2]Sheet1!$A:$A,[2]Sheet1!$D:$D)</f>
        <v>GH PHASE 1 MALL</v>
      </c>
      <c r="O123" t="s">
        <v>807</v>
      </c>
      <c r="P123" t="s">
        <v>13</v>
      </c>
      <c r="Q123" s="2" t="s">
        <v>796</v>
      </c>
      <c r="R123" s="89">
        <v>2500000</v>
      </c>
      <c r="S123" s="63">
        <v>46145</v>
      </c>
      <c r="T123" t="str">
        <f>_xlfn.XLOOKUP(M123,[2]Sheet1!$A:$A,[2]Sheet1!$E:$E)</f>
        <v>MALLS</v>
      </c>
      <c r="U123" s="64" t="s">
        <v>696</v>
      </c>
      <c r="V123" s="63" t="s">
        <v>27</v>
      </c>
      <c r="W123" s="63" t="s">
        <v>799</v>
      </c>
      <c r="X123" s="63" t="s">
        <v>808</v>
      </c>
      <c r="Z123" s="1">
        <f>_xlfn.XLOOKUP(A123,'SAP Report'!A:A,'SAP Report'!C:C)</f>
        <v>2500000</v>
      </c>
      <c r="AA123" s="1">
        <f>HLOOKUP($A$4,$AV$6:$BG123,(2+BH122),FALSE)</f>
        <v>0</v>
      </c>
      <c r="AB123" s="1">
        <f>SUMIF('Open PR PO'!A:A,Monitoring!A123,'Open PR PO'!K:K)</f>
        <v>2500000</v>
      </c>
      <c r="AC123" s="1">
        <f t="shared" si="62"/>
        <v>2500000</v>
      </c>
      <c r="AD123" s="1">
        <f t="shared" si="63"/>
        <v>0</v>
      </c>
      <c r="AE123" s="1">
        <f t="shared" si="64"/>
        <v>2500000</v>
      </c>
      <c r="AF123" s="1"/>
      <c r="AG123" s="53">
        <f>SUMIFS(Actual!$F:$F,Actual!$N:$N,Monitoring!AG$6,Actual!$A:$A,Monitoring!$A123)</f>
        <v>0</v>
      </c>
      <c r="AH123" s="53">
        <f>SUMIFS(Actual!$F:$F,Actual!$N:$N,Monitoring!AH$6,Actual!$A:$A,Monitoring!$A123)</f>
        <v>0</v>
      </c>
      <c r="AI123" s="53">
        <f>SUMIFS(Actual!$F:$F,Actual!$N:$N,Monitoring!AI$6,Actual!$A:$A,Monitoring!$A123)</f>
        <v>0</v>
      </c>
      <c r="AJ123" s="53">
        <f>SUMIFS(Actual!$F:$F,Actual!$N:$N,Monitoring!AJ$6,Actual!$A:$A,Monitoring!$A123)</f>
        <v>0</v>
      </c>
      <c r="AK123" s="53">
        <f>SUMIFS(Actual!$F:$F,Actual!$N:$N,Monitoring!AK$6,Actual!$A:$A,Monitoring!$A123)</f>
        <v>0</v>
      </c>
      <c r="AL123" s="53">
        <f>SUMIFS(Actual!$F:$F,Actual!$N:$N,Monitoring!AL$6,Actual!$A:$A,Monitoring!$A123)</f>
        <v>0</v>
      </c>
      <c r="AM123" s="53">
        <f>SUMIFS(Actual!$F:$F,Actual!$N:$N,Monitoring!AM$6,Actual!$A:$A,Monitoring!$A123)</f>
        <v>0</v>
      </c>
      <c r="AN123" s="53">
        <f>SUMIFS(Actual!$F:$F,Actual!$N:$N,Monitoring!AN$6,Actual!$A:$A,Monitoring!$A123)</f>
        <v>0</v>
      </c>
      <c r="AO123" s="53">
        <f>SUMIFS(Actual!$F:$F,Actual!$N:$N,Monitoring!AO$6,Actual!$A:$A,Monitoring!$A123)</f>
        <v>0</v>
      </c>
      <c r="AP123" s="53">
        <f t="shared" si="44"/>
        <v>2500000</v>
      </c>
      <c r="AQ123" s="53">
        <f t="shared" si="45"/>
        <v>0</v>
      </c>
      <c r="AR123" s="53">
        <f t="shared" si="46"/>
        <v>0</v>
      </c>
      <c r="AS123" s="1">
        <f t="shared" si="47"/>
        <v>2500000</v>
      </c>
      <c r="AT123" s="12">
        <f t="shared" si="48"/>
        <v>0</v>
      </c>
      <c r="AU123" s="1"/>
      <c r="AV123" s="53">
        <f t="shared" si="49"/>
        <v>0</v>
      </c>
      <c r="AW123" s="1">
        <f t="shared" si="50"/>
        <v>0</v>
      </c>
      <c r="AX123" s="1">
        <f t="shared" si="51"/>
        <v>0</v>
      </c>
      <c r="AY123" s="1">
        <f t="shared" si="52"/>
        <v>0</v>
      </c>
      <c r="AZ123" s="1">
        <f t="shared" si="53"/>
        <v>0</v>
      </c>
      <c r="BA123" s="1">
        <f t="shared" si="54"/>
        <v>0</v>
      </c>
      <c r="BB123" s="1">
        <f t="shared" si="55"/>
        <v>0</v>
      </c>
      <c r="BC123" s="1">
        <f t="shared" si="56"/>
        <v>0</v>
      </c>
      <c r="BD123" s="1">
        <f t="shared" si="57"/>
        <v>0</v>
      </c>
      <c r="BE123" s="1">
        <f t="shared" si="58"/>
        <v>2500000</v>
      </c>
      <c r="BF123" s="1">
        <f t="shared" si="59"/>
        <v>2500000</v>
      </c>
      <c r="BG123" s="1">
        <f t="shared" si="60"/>
        <v>2500000</v>
      </c>
      <c r="BH123">
        <f t="shared" si="61"/>
        <v>117</v>
      </c>
    </row>
    <row r="124" spans="1:60" x14ac:dyDescent="0.35">
      <c r="A124">
        <v>10001446</v>
      </c>
      <c r="B124" t="str">
        <f t="shared" si="72"/>
        <v>GH ANNEX AHU COIL REPLACEMENT</v>
      </c>
      <c r="C124" t="s">
        <v>9</v>
      </c>
      <c r="D124" t="s">
        <v>9</v>
      </c>
      <c r="E124" t="s">
        <v>693</v>
      </c>
      <c r="F124" s="72" t="s">
        <v>1814</v>
      </c>
      <c r="G124" t="s">
        <v>1</v>
      </c>
      <c r="H124" t="s">
        <v>3221</v>
      </c>
      <c r="I124">
        <v>1110</v>
      </c>
      <c r="J124" t="s">
        <v>815</v>
      </c>
      <c r="K124" s="3">
        <f t="shared" si="73"/>
        <v>29</v>
      </c>
      <c r="L124" s="3" t="str">
        <f t="shared" si="74"/>
        <v>8100</v>
      </c>
      <c r="M124">
        <v>81221603</v>
      </c>
      <c r="N124" s="3" t="str">
        <f>_xlfn.XLOOKUP(M124,[2]Sheet1!$A:$A,[2]Sheet1!$D:$D)</f>
        <v>GH ANNX LIFESTYLE P1</v>
      </c>
      <c r="O124" t="s">
        <v>812</v>
      </c>
      <c r="P124" t="s">
        <v>813</v>
      </c>
      <c r="Q124" s="2" t="s">
        <v>814</v>
      </c>
      <c r="R124" s="89">
        <v>8000000</v>
      </c>
      <c r="S124" s="63">
        <v>46298</v>
      </c>
      <c r="T124" t="str">
        <f>_xlfn.XLOOKUP(M124,[2]Sheet1!$A:$A,[2]Sheet1!$E:$E)</f>
        <v>MALLS</v>
      </c>
      <c r="U124" s="66" t="s">
        <v>810</v>
      </c>
      <c r="V124" s="63" t="s">
        <v>14</v>
      </c>
      <c r="W124" s="66" t="s">
        <v>810</v>
      </c>
      <c r="X124" s="63" t="s">
        <v>816</v>
      </c>
      <c r="Z124" s="1">
        <f>_xlfn.XLOOKUP(A124,'SAP Report'!A:A,'SAP Report'!C:C)</f>
        <v>8000000</v>
      </c>
      <c r="AA124" s="1">
        <f>HLOOKUP($A$4,$AV$6:$BG124,(2+BH123),FALSE)</f>
        <v>0</v>
      </c>
      <c r="AB124" s="1">
        <f>SUMIF('Open PR PO'!A:A,Monitoring!A124,'Open PR PO'!K:K)</f>
        <v>2500000</v>
      </c>
      <c r="AC124" s="1">
        <f t="shared" si="62"/>
        <v>2500000</v>
      </c>
      <c r="AD124" s="1">
        <f t="shared" si="63"/>
        <v>5500000</v>
      </c>
      <c r="AE124" s="1">
        <f t="shared" si="64"/>
        <v>8000000</v>
      </c>
      <c r="AF124" s="1"/>
      <c r="AG124" s="53">
        <f>SUMIFS(Actual!$F:$F,Actual!$N:$N,Monitoring!AG$6,Actual!$A:$A,Monitoring!$A124)</f>
        <v>0</v>
      </c>
      <c r="AH124" s="53">
        <f>SUMIFS(Actual!$F:$F,Actual!$N:$N,Monitoring!AH$6,Actual!$A:$A,Monitoring!$A124)</f>
        <v>0</v>
      </c>
      <c r="AI124" s="53">
        <f>SUMIFS(Actual!$F:$F,Actual!$N:$N,Monitoring!AI$6,Actual!$A:$A,Monitoring!$A124)</f>
        <v>0</v>
      </c>
      <c r="AJ124" s="53">
        <f>SUMIFS(Actual!$F:$F,Actual!$N:$N,Monitoring!AJ$6,Actual!$A:$A,Monitoring!$A124)</f>
        <v>0</v>
      </c>
      <c r="AK124" s="53">
        <f>SUMIFS(Actual!$F:$F,Actual!$N:$N,Monitoring!AK$6,Actual!$A:$A,Monitoring!$A124)</f>
        <v>0</v>
      </c>
      <c r="AL124" s="53">
        <f>SUMIFS(Actual!$F:$F,Actual!$N:$N,Monitoring!AL$6,Actual!$A:$A,Monitoring!$A124)</f>
        <v>0</v>
      </c>
      <c r="AM124" s="53">
        <f>SUMIFS(Actual!$F:$F,Actual!$N:$N,Monitoring!AM$6,Actual!$A:$A,Monitoring!$A124)</f>
        <v>0</v>
      </c>
      <c r="AN124" s="53">
        <f>SUMIFS(Actual!$F:$F,Actual!$N:$N,Monitoring!AN$6,Actual!$A:$A,Monitoring!$A124)</f>
        <v>0</v>
      </c>
      <c r="AO124" s="53">
        <f>SUMIFS(Actual!$F:$F,Actual!$N:$N,Monitoring!AO$6,Actual!$A:$A,Monitoring!$A124)</f>
        <v>0</v>
      </c>
      <c r="AP124" s="53">
        <f t="shared" si="44"/>
        <v>2500000</v>
      </c>
      <c r="AQ124" s="53">
        <f t="shared" si="45"/>
        <v>2750000</v>
      </c>
      <c r="AR124" s="53">
        <f t="shared" si="46"/>
        <v>2750000</v>
      </c>
      <c r="AS124" s="1">
        <f t="shared" si="47"/>
        <v>8000000</v>
      </c>
      <c r="AT124" s="12">
        <f t="shared" si="48"/>
        <v>0</v>
      </c>
      <c r="AU124" s="1"/>
      <c r="AV124" s="53">
        <f t="shared" si="49"/>
        <v>0</v>
      </c>
      <c r="AW124" s="1">
        <f t="shared" si="50"/>
        <v>0</v>
      </c>
      <c r="AX124" s="1">
        <f t="shared" si="51"/>
        <v>0</v>
      </c>
      <c r="AY124" s="1">
        <f t="shared" si="52"/>
        <v>0</v>
      </c>
      <c r="AZ124" s="1">
        <f t="shared" si="53"/>
        <v>0</v>
      </c>
      <c r="BA124" s="1">
        <f t="shared" si="54"/>
        <v>0</v>
      </c>
      <c r="BB124" s="1">
        <f t="shared" si="55"/>
        <v>0</v>
      </c>
      <c r="BC124" s="1">
        <f t="shared" si="56"/>
        <v>0</v>
      </c>
      <c r="BD124" s="1">
        <f t="shared" si="57"/>
        <v>0</v>
      </c>
      <c r="BE124" s="1">
        <f t="shared" si="58"/>
        <v>2500000</v>
      </c>
      <c r="BF124" s="1">
        <f t="shared" si="59"/>
        <v>5250000</v>
      </c>
      <c r="BG124" s="1">
        <f t="shared" si="60"/>
        <v>8000000</v>
      </c>
      <c r="BH124">
        <f t="shared" si="61"/>
        <v>118</v>
      </c>
    </row>
    <row r="125" spans="1:60" x14ac:dyDescent="0.35">
      <c r="A125">
        <v>40001266</v>
      </c>
      <c r="B125" t="str">
        <f t="shared" si="72"/>
        <v>GH EMPLOYEE CANTEEN</v>
      </c>
      <c r="C125" t="s">
        <v>9</v>
      </c>
      <c r="D125" t="s">
        <v>9</v>
      </c>
      <c r="E125" t="s">
        <v>817</v>
      </c>
      <c r="F125" s="72" t="s">
        <v>1814</v>
      </c>
      <c r="G125" t="s">
        <v>1</v>
      </c>
      <c r="H125" t="s">
        <v>613</v>
      </c>
      <c r="I125">
        <v>1210</v>
      </c>
      <c r="J125" t="s">
        <v>818</v>
      </c>
      <c r="K125" s="3">
        <f t="shared" si="73"/>
        <v>19</v>
      </c>
      <c r="L125" s="3" t="str">
        <f t="shared" si="74"/>
        <v>8100</v>
      </c>
      <c r="M125">
        <v>81221201</v>
      </c>
      <c r="N125" s="3" t="str">
        <f>_xlfn.XLOOKUP(M125,[2]Sheet1!$A:$A,[2]Sheet1!$D:$D)</f>
        <v>GSC OLD BLDGS</v>
      </c>
      <c r="O125" t="s">
        <v>819</v>
      </c>
      <c r="P125" t="s">
        <v>13</v>
      </c>
      <c r="Q125" s="2" t="s">
        <v>820</v>
      </c>
      <c r="R125" s="89">
        <v>1500000</v>
      </c>
      <c r="S125" s="67" t="s">
        <v>770</v>
      </c>
      <c r="T125" t="str">
        <f>_xlfn.XLOOKUP(M125,[2]Sheet1!$A:$A,[2]Sheet1!$E:$E)</f>
        <v>MALLS</v>
      </c>
      <c r="U125" s="64" t="s">
        <v>821</v>
      </c>
      <c r="V125" s="63" t="s">
        <v>14</v>
      </c>
      <c r="W125" s="67" t="s">
        <v>822</v>
      </c>
      <c r="Z125" s="1">
        <f>_xlfn.XLOOKUP(A125,'SAP Report'!A:A,'SAP Report'!C:C)</f>
        <v>3000000</v>
      </c>
      <c r="AA125" s="1">
        <f>HLOOKUP($A$4,$AV$6:$BG125,(2+BH124),FALSE)</f>
        <v>12256.7</v>
      </c>
      <c r="AB125" s="1">
        <f>SUMIF('Open PR PO'!A:A,Monitoring!A125,'Open PR PO'!K:K)</f>
        <v>1335714.2799999998</v>
      </c>
      <c r="AC125" s="1">
        <f t="shared" si="62"/>
        <v>1347970.9799999997</v>
      </c>
      <c r="AD125" s="1">
        <f t="shared" si="63"/>
        <v>1652029.0200000003</v>
      </c>
      <c r="AE125" s="1">
        <f t="shared" si="64"/>
        <v>2987743.3</v>
      </c>
      <c r="AF125" s="1"/>
      <c r="AG125" s="53">
        <f>SUMIFS(Actual!$F:$F,Actual!$N:$N,Monitoring!AG$6,Actual!$A:$A,Monitoring!$A125)</f>
        <v>0</v>
      </c>
      <c r="AH125" s="53">
        <f>SUMIFS(Actual!$F:$F,Actual!$N:$N,Monitoring!AH$6,Actual!$A:$A,Monitoring!$A125)</f>
        <v>0</v>
      </c>
      <c r="AI125" s="53">
        <f>SUMIFS(Actual!$F:$F,Actual!$N:$N,Monitoring!AI$6,Actual!$A:$A,Monitoring!$A125)</f>
        <v>0</v>
      </c>
      <c r="AJ125" s="53">
        <f>SUMIFS(Actual!$F:$F,Actual!$N:$N,Monitoring!AJ$6,Actual!$A:$A,Monitoring!$A125)</f>
        <v>0</v>
      </c>
      <c r="AK125" s="53">
        <f>SUMIFS(Actual!$F:$F,Actual!$N:$N,Monitoring!AK$6,Actual!$A:$A,Monitoring!$A125)</f>
        <v>0</v>
      </c>
      <c r="AL125" s="53">
        <f>SUMIFS(Actual!$F:$F,Actual!$N:$N,Monitoring!AL$6,Actual!$A:$A,Monitoring!$A125)</f>
        <v>0</v>
      </c>
      <c r="AM125" s="53">
        <f>SUMIFS(Actual!$F:$F,Actual!$N:$N,Monitoring!AM$6,Actual!$A:$A,Monitoring!$A125)</f>
        <v>0</v>
      </c>
      <c r="AN125" s="53">
        <f>SUMIFS(Actual!$F:$F,Actual!$N:$N,Monitoring!AN$6,Actual!$A:$A,Monitoring!$A125)</f>
        <v>12256.7</v>
      </c>
      <c r="AO125" s="53">
        <f>SUMIFS(Actual!$F:$F,Actual!$N:$N,Monitoring!AO$6,Actual!$A:$A,Monitoring!$A125)</f>
        <v>0</v>
      </c>
      <c r="AP125" s="53">
        <f t="shared" si="44"/>
        <v>1335714.2799999998</v>
      </c>
      <c r="AQ125" s="53">
        <f t="shared" si="45"/>
        <v>826014.51000000013</v>
      </c>
      <c r="AR125" s="53">
        <f t="shared" si="46"/>
        <v>826014.51000000013</v>
      </c>
      <c r="AS125" s="1">
        <f t="shared" si="47"/>
        <v>3000000</v>
      </c>
      <c r="AT125" s="12">
        <f t="shared" si="48"/>
        <v>0</v>
      </c>
      <c r="AU125" s="1"/>
      <c r="AV125" s="53">
        <f t="shared" si="49"/>
        <v>0</v>
      </c>
      <c r="AW125" s="1">
        <f t="shared" si="50"/>
        <v>0</v>
      </c>
      <c r="AX125" s="1">
        <f t="shared" si="51"/>
        <v>0</v>
      </c>
      <c r="AY125" s="1">
        <f t="shared" si="52"/>
        <v>0</v>
      </c>
      <c r="AZ125" s="1">
        <f t="shared" si="53"/>
        <v>0</v>
      </c>
      <c r="BA125" s="1">
        <f t="shared" si="54"/>
        <v>0</v>
      </c>
      <c r="BB125" s="1">
        <f t="shared" si="55"/>
        <v>0</v>
      </c>
      <c r="BC125" s="1">
        <f t="shared" si="56"/>
        <v>12256.7</v>
      </c>
      <c r="BD125" s="1">
        <f t="shared" si="57"/>
        <v>12256.7</v>
      </c>
      <c r="BE125" s="1">
        <f t="shared" si="58"/>
        <v>1347970.9799999997</v>
      </c>
      <c r="BF125" s="1">
        <f t="shared" si="59"/>
        <v>2173985.4899999998</v>
      </c>
      <c r="BG125" s="1">
        <f t="shared" si="60"/>
        <v>3000000</v>
      </c>
      <c r="BH125">
        <f t="shared" si="61"/>
        <v>119</v>
      </c>
    </row>
    <row r="126" spans="1:60" x14ac:dyDescent="0.35">
      <c r="A126">
        <v>10001447</v>
      </c>
      <c r="B126" t="str">
        <f t="shared" ref="B126:B129" si="75">J126</f>
        <v>SC2&amp;3 REHABILITATION OF TURNSTILE</v>
      </c>
      <c r="C126" t="s">
        <v>93</v>
      </c>
      <c r="D126" t="s">
        <v>93</v>
      </c>
      <c r="E126" t="s">
        <v>699</v>
      </c>
      <c r="F126" s="72" t="s">
        <v>1814</v>
      </c>
      <c r="G126" t="s">
        <v>1</v>
      </c>
      <c r="H126" t="s">
        <v>3221</v>
      </c>
      <c r="I126">
        <v>1100</v>
      </c>
      <c r="J126" t="s">
        <v>881</v>
      </c>
      <c r="K126" s="3">
        <f t="shared" ref="K126:K129" si="76">LEN(J126)</f>
        <v>33</v>
      </c>
      <c r="L126" s="3" t="str">
        <f t="shared" ref="L126:L129" si="77">LEFT(M126,2)&amp;"00"</f>
        <v>8100</v>
      </c>
      <c r="M126">
        <v>81322202</v>
      </c>
      <c r="N126" s="3" t="str">
        <f>_xlfn.XLOOKUP(M126,[2]Sheet1!$A:$A,[2]Sheet1!$D:$D)</f>
        <v>SILVER CITY 2 &amp; 3</v>
      </c>
      <c r="O126" t="s">
        <v>655</v>
      </c>
      <c r="P126" t="s">
        <v>91</v>
      </c>
      <c r="Q126" s="2" t="s">
        <v>875</v>
      </c>
      <c r="R126" s="1">
        <v>2432750</v>
      </c>
      <c r="S126" s="63" t="s">
        <v>787</v>
      </c>
      <c r="T126" t="str">
        <f>_xlfn.XLOOKUP(M126,[2]Sheet1!$A:$A,[2]Sheet1!$E:$E)</f>
        <v>OFFICES</v>
      </c>
      <c r="U126" s="64" t="s">
        <v>882</v>
      </c>
      <c r="V126" s="64" t="s">
        <v>883</v>
      </c>
      <c r="W126" s="63" t="s">
        <v>884</v>
      </c>
      <c r="X126" s="63" t="s">
        <v>885</v>
      </c>
      <c r="Z126" s="1">
        <f>_xlfn.XLOOKUP(A126,'SAP Report'!A:A,'SAP Report'!C:C)</f>
        <v>2432750</v>
      </c>
      <c r="AA126" s="1">
        <f>HLOOKUP($A$4,$AV$6:$BG126,(2+BH125),FALSE)</f>
        <v>2232142.86</v>
      </c>
      <c r="AB126" s="1">
        <f>SUMIF('Open PR PO'!A:A,Monitoring!A126,'Open PR PO'!K:K)</f>
        <v>0</v>
      </c>
      <c r="AC126" s="1">
        <f t="shared" si="62"/>
        <v>2232142.86</v>
      </c>
      <c r="AD126" s="1">
        <f t="shared" si="63"/>
        <v>200607.14000000013</v>
      </c>
      <c r="AE126" s="1">
        <f t="shared" si="64"/>
        <v>200607.14000000013</v>
      </c>
      <c r="AF126" s="1"/>
      <c r="AG126" s="53">
        <f>SUMIFS(Actual!$F:$F,Actual!$N:$N,Monitoring!AG$6,Actual!$A:$A,Monitoring!$A126)</f>
        <v>0</v>
      </c>
      <c r="AH126" s="53">
        <f>SUMIFS(Actual!$F:$F,Actual!$N:$N,Monitoring!AH$6,Actual!$A:$A,Monitoring!$A126)</f>
        <v>0</v>
      </c>
      <c r="AI126" s="53">
        <f>SUMIFS(Actual!$F:$F,Actual!$N:$N,Monitoring!AI$6,Actual!$A:$A,Monitoring!$A126)</f>
        <v>0</v>
      </c>
      <c r="AJ126" s="53">
        <f>SUMIFS(Actual!$F:$F,Actual!$N:$N,Monitoring!AJ$6,Actual!$A:$A,Monitoring!$A126)</f>
        <v>0</v>
      </c>
      <c r="AK126" s="53">
        <f>SUMIFS(Actual!$F:$F,Actual!$N:$N,Monitoring!AK$6,Actual!$A:$A,Monitoring!$A126)</f>
        <v>0</v>
      </c>
      <c r="AL126" s="53">
        <f>SUMIFS(Actual!$F:$F,Actual!$N:$N,Monitoring!AL$6,Actual!$A:$A,Monitoring!$A126)</f>
        <v>2232142.86</v>
      </c>
      <c r="AM126" s="53">
        <f>SUMIFS(Actual!$F:$F,Actual!$N:$N,Monitoring!AM$6,Actual!$A:$A,Monitoring!$A126)</f>
        <v>0</v>
      </c>
      <c r="AN126" s="53">
        <f>SUMIFS(Actual!$F:$F,Actual!$N:$N,Monitoring!AN$6,Actual!$A:$A,Monitoring!$A126)</f>
        <v>0</v>
      </c>
      <c r="AO126" s="53">
        <f>SUMIFS(Actual!$F:$F,Actual!$N:$N,Monitoring!AO$6,Actual!$A:$A,Monitoring!$A126)</f>
        <v>0</v>
      </c>
      <c r="AP126" s="53">
        <f t="shared" si="44"/>
        <v>0</v>
      </c>
      <c r="AQ126" s="53">
        <f t="shared" si="45"/>
        <v>100303.57000000007</v>
      </c>
      <c r="AR126" s="53">
        <f t="shared" si="46"/>
        <v>100303.57000000007</v>
      </c>
      <c r="AS126" s="1">
        <f t="shared" si="47"/>
        <v>2432750</v>
      </c>
      <c r="AT126" s="12">
        <f t="shared" si="48"/>
        <v>0</v>
      </c>
      <c r="AU126" s="1"/>
      <c r="AV126" s="53">
        <f t="shared" si="49"/>
        <v>0</v>
      </c>
      <c r="AW126" s="1">
        <f t="shared" si="50"/>
        <v>0</v>
      </c>
      <c r="AX126" s="1">
        <f t="shared" si="51"/>
        <v>0</v>
      </c>
      <c r="AY126" s="1">
        <f t="shared" si="52"/>
        <v>0</v>
      </c>
      <c r="AZ126" s="1">
        <f t="shared" si="53"/>
        <v>0</v>
      </c>
      <c r="BA126" s="1">
        <f t="shared" si="54"/>
        <v>2232142.86</v>
      </c>
      <c r="BB126" s="1">
        <f t="shared" si="55"/>
        <v>2232142.86</v>
      </c>
      <c r="BC126" s="1">
        <f t="shared" si="56"/>
        <v>2232142.86</v>
      </c>
      <c r="BD126" s="1">
        <f t="shared" si="57"/>
        <v>2232142.86</v>
      </c>
      <c r="BE126" s="1">
        <f t="shared" si="58"/>
        <v>2232142.86</v>
      </c>
      <c r="BF126" s="1">
        <f t="shared" si="59"/>
        <v>2332446.4299999997</v>
      </c>
      <c r="BG126" s="1">
        <f t="shared" si="60"/>
        <v>2432750</v>
      </c>
      <c r="BH126">
        <f t="shared" si="61"/>
        <v>120</v>
      </c>
    </row>
    <row r="127" spans="1:60" x14ac:dyDescent="0.35">
      <c r="A127">
        <v>10001448</v>
      </c>
      <c r="B127" t="str">
        <f t="shared" si="75"/>
        <v>GH VMALL CHAPEL RENOVATION</v>
      </c>
      <c r="C127" t="s">
        <v>9</v>
      </c>
      <c r="D127" t="s">
        <v>9</v>
      </c>
      <c r="E127" t="s">
        <v>889</v>
      </c>
      <c r="F127" s="72" t="s">
        <v>1814</v>
      </c>
      <c r="G127" t="s">
        <v>1</v>
      </c>
      <c r="H127" t="s">
        <v>592</v>
      </c>
      <c r="I127">
        <v>1100</v>
      </c>
      <c r="J127" t="s">
        <v>639</v>
      </c>
      <c r="K127" s="3">
        <f t="shared" si="76"/>
        <v>26</v>
      </c>
      <c r="L127" s="3" t="str">
        <f t="shared" si="77"/>
        <v>8100</v>
      </c>
      <c r="M127">
        <v>81221605</v>
      </c>
      <c r="N127" s="3" t="str">
        <f>_xlfn.XLOOKUP(M127,[2]Sheet1!$A:$A,[2]Sheet1!$D:$D)</f>
        <v>V-MALL</v>
      </c>
      <c r="O127" t="s">
        <v>887</v>
      </c>
      <c r="P127" t="s">
        <v>13</v>
      </c>
      <c r="Q127" s="2" t="s">
        <v>874</v>
      </c>
      <c r="R127" s="89">
        <v>3000000</v>
      </c>
      <c r="S127" s="63" t="s">
        <v>888</v>
      </c>
      <c r="T127" t="str">
        <f>_xlfn.XLOOKUP(M127,[2]Sheet1!$A:$A,[2]Sheet1!$E:$E)</f>
        <v>MALLS</v>
      </c>
      <c r="U127" s="64" t="s">
        <v>696</v>
      </c>
      <c r="V127" s="63" t="s">
        <v>27</v>
      </c>
      <c r="W127" s="63" t="s">
        <v>884</v>
      </c>
      <c r="X127" s="63" t="s">
        <v>890</v>
      </c>
      <c r="Z127" s="1">
        <f>_xlfn.XLOOKUP(A127,'SAP Report'!A:A,'SAP Report'!C:C)</f>
        <v>3000000</v>
      </c>
      <c r="AA127" s="1">
        <f>HLOOKUP($A$4,$AV$6:$BG127,(2+BH126),FALSE)</f>
        <v>283039.28999999998</v>
      </c>
      <c r="AB127" s="1">
        <f>SUMIF('Open PR PO'!A:A,Monitoring!A127,'Open PR PO'!K:K)</f>
        <v>1116438.99</v>
      </c>
      <c r="AC127" s="1">
        <f t="shared" si="62"/>
        <v>1399478.28</v>
      </c>
      <c r="AD127" s="1">
        <f t="shared" si="63"/>
        <v>1600521.72</v>
      </c>
      <c r="AE127" s="1">
        <f t="shared" si="64"/>
        <v>2716960.71</v>
      </c>
      <c r="AF127" s="1"/>
      <c r="AG127" s="53">
        <f>SUMIFS(Actual!$F:$F,Actual!$N:$N,Monitoring!AG$6,Actual!$A:$A,Monitoring!$A127)</f>
        <v>0</v>
      </c>
      <c r="AH127" s="53">
        <f>SUMIFS(Actual!$F:$F,Actual!$N:$N,Monitoring!AH$6,Actual!$A:$A,Monitoring!$A127)</f>
        <v>0</v>
      </c>
      <c r="AI127" s="53">
        <f>SUMIFS(Actual!$F:$F,Actual!$N:$N,Monitoring!AI$6,Actual!$A:$A,Monitoring!$A127)</f>
        <v>0</v>
      </c>
      <c r="AJ127" s="53">
        <f>SUMIFS(Actual!$F:$F,Actual!$N:$N,Monitoring!AJ$6,Actual!$A:$A,Monitoring!$A127)</f>
        <v>167071.43</v>
      </c>
      <c r="AK127" s="53">
        <f>SUMIFS(Actual!$F:$F,Actual!$N:$N,Monitoring!AK$6,Actual!$A:$A,Monitoring!$A127)</f>
        <v>0</v>
      </c>
      <c r="AL127" s="53">
        <f>SUMIFS(Actual!$F:$F,Actual!$N:$N,Monitoring!AL$6,Actual!$A:$A,Monitoring!$A127)</f>
        <v>99896.43</v>
      </c>
      <c r="AM127" s="53">
        <f>SUMIFS(Actual!$F:$F,Actual!$N:$N,Monitoring!AM$6,Actual!$A:$A,Monitoring!$A127)</f>
        <v>0</v>
      </c>
      <c r="AN127" s="53">
        <f>SUMIFS(Actual!$F:$F,Actual!$N:$N,Monitoring!AN$6,Actual!$A:$A,Monitoring!$A127)</f>
        <v>16071.43</v>
      </c>
      <c r="AO127" s="53">
        <f>SUMIFS(Actual!$F:$F,Actual!$N:$N,Monitoring!AO$6,Actual!$A:$A,Monitoring!$A127)</f>
        <v>0</v>
      </c>
      <c r="AP127" s="53">
        <f t="shared" si="44"/>
        <v>1116438.99</v>
      </c>
      <c r="AQ127" s="53">
        <f t="shared" si="45"/>
        <v>800260.86</v>
      </c>
      <c r="AR127" s="53">
        <f t="shared" si="46"/>
        <v>800260.86</v>
      </c>
      <c r="AS127" s="1">
        <f t="shared" si="47"/>
        <v>3000000</v>
      </c>
      <c r="AT127" s="12">
        <f t="shared" si="48"/>
        <v>0</v>
      </c>
      <c r="AU127" s="1"/>
      <c r="AV127" s="53">
        <f t="shared" si="49"/>
        <v>0</v>
      </c>
      <c r="AW127" s="1">
        <f t="shared" si="50"/>
        <v>0</v>
      </c>
      <c r="AX127" s="1">
        <f t="shared" si="51"/>
        <v>0</v>
      </c>
      <c r="AY127" s="1">
        <f t="shared" si="52"/>
        <v>167071.43</v>
      </c>
      <c r="AZ127" s="1">
        <f t="shared" si="53"/>
        <v>167071.43</v>
      </c>
      <c r="BA127" s="1">
        <f t="shared" si="54"/>
        <v>266967.86</v>
      </c>
      <c r="BB127" s="1">
        <f t="shared" si="55"/>
        <v>266967.86</v>
      </c>
      <c r="BC127" s="1">
        <f t="shared" si="56"/>
        <v>283039.28999999998</v>
      </c>
      <c r="BD127" s="1">
        <f t="shared" si="57"/>
        <v>283039.28999999998</v>
      </c>
      <c r="BE127" s="1">
        <f t="shared" si="58"/>
        <v>1399478.28</v>
      </c>
      <c r="BF127" s="1">
        <f t="shared" si="59"/>
        <v>2199739.14</v>
      </c>
      <c r="BG127" s="1">
        <f t="shared" si="60"/>
        <v>3000000</v>
      </c>
      <c r="BH127">
        <f t="shared" si="61"/>
        <v>121</v>
      </c>
    </row>
    <row r="128" spans="1:60" x14ac:dyDescent="0.35">
      <c r="A128">
        <v>10001449</v>
      </c>
      <c r="B128" t="str">
        <f t="shared" si="75"/>
        <v>GH THEATER MALL RENOVATION</v>
      </c>
      <c r="C128" t="s">
        <v>9</v>
      </c>
      <c r="D128" t="s">
        <v>9</v>
      </c>
      <c r="E128" t="s">
        <v>892</v>
      </c>
      <c r="F128" s="72" t="s">
        <v>1814</v>
      </c>
      <c r="G128" t="s">
        <v>1</v>
      </c>
      <c r="H128" t="s">
        <v>599</v>
      </c>
      <c r="I128">
        <v>1100</v>
      </c>
      <c r="J128" t="s">
        <v>891</v>
      </c>
      <c r="K128" s="3">
        <f t="shared" si="76"/>
        <v>26</v>
      </c>
      <c r="L128" s="3" t="str">
        <f t="shared" si="77"/>
        <v>8100</v>
      </c>
      <c r="M128">
        <v>81221213</v>
      </c>
      <c r="N128" s="3" t="str">
        <f>_xlfn.XLOOKUP(M128,[2]Sheet1!$A:$A,[2]Sheet1!$D:$D)</f>
        <v>THEATER MALL</v>
      </c>
      <c r="O128" t="s">
        <v>887</v>
      </c>
      <c r="P128" t="s">
        <v>13</v>
      </c>
      <c r="Q128" s="2" t="s">
        <v>886</v>
      </c>
      <c r="R128" s="89">
        <v>3000000</v>
      </c>
      <c r="S128" s="63" t="s">
        <v>888</v>
      </c>
      <c r="T128" t="str">
        <f>_xlfn.XLOOKUP(M128,[2]Sheet1!$A:$A,[2]Sheet1!$E:$E)</f>
        <v>MALLS</v>
      </c>
      <c r="U128" s="63" t="s">
        <v>884</v>
      </c>
      <c r="V128" s="63" t="s">
        <v>663</v>
      </c>
      <c r="W128" s="63" t="s">
        <v>884</v>
      </c>
      <c r="X128" s="63" t="s">
        <v>893</v>
      </c>
      <c r="Z128" s="1">
        <f>_xlfn.XLOOKUP(A128,'SAP Report'!A:A,'SAP Report'!C:C)</f>
        <v>3000000</v>
      </c>
      <c r="AA128" s="1">
        <f>HLOOKUP($A$4,$AV$6:$BG128,(2+BH127),FALSE)</f>
        <v>0</v>
      </c>
      <c r="AB128" s="1">
        <f>SUMIF('Open PR PO'!A:A,Monitoring!A128,'Open PR PO'!K:K)</f>
        <v>989954.46</v>
      </c>
      <c r="AC128" s="1">
        <f t="shared" si="62"/>
        <v>989954.46</v>
      </c>
      <c r="AD128" s="1">
        <f t="shared" si="63"/>
        <v>2010045.54</v>
      </c>
      <c r="AE128" s="1">
        <f t="shared" si="64"/>
        <v>3000000</v>
      </c>
      <c r="AF128" s="1"/>
      <c r="AG128" s="53">
        <f>SUMIFS(Actual!$F:$F,Actual!$N:$N,Monitoring!AG$6,Actual!$A:$A,Monitoring!$A128)</f>
        <v>0</v>
      </c>
      <c r="AH128" s="53">
        <f>SUMIFS(Actual!$F:$F,Actual!$N:$N,Monitoring!AH$6,Actual!$A:$A,Monitoring!$A128)</f>
        <v>0</v>
      </c>
      <c r="AI128" s="53">
        <f>SUMIFS(Actual!$F:$F,Actual!$N:$N,Monitoring!AI$6,Actual!$A:$A,Monitoring!$A128)</f>
        <v>0</v>
      </c>
      <c r="AJ128" s="53">
        <f>SUMIFS(Actual!$F:$F,Actual!$N:$N,Monitoring!AJ$6,Actual!$A:$A,Monitoring!$A128)</f>
        <v>0</v>
      </c>
      <c r="AK128" s="53">
        <f>SUMIFS(Actual!$F:$F,Actual!$N:$N,Monitoring!AK$6,Actual!$A:$A,Monitoring!$A128)</f>
        <v>0</v>
      </c>
      <c r="AL128" s="53">
        <f>SUMIFS(Actual!$F:$F,Actual!$N:$N,Monitoring!AL$6,Actual!$A:$A,Monitoring!$A128)</f>
        <v>0</v>
      </c>
      <c r="AM128" s="53">
        <f>SUMIFS(Actual!$F:$F,Actual!$N:$N,Monitoring!AM$6,Actual!$A:$A,Monitoring!$A128)</f>
        <v>0</v>
      </c>
      <c r="AN128" s="53">
        <f>SUMIFS(Actual!$F:$F,Actual!$N:$N,Monitoring!AN$6,Actual!$A:$A,Monitoring!$A128)</f>
        <v>0</v>
      </c>
      <c r="AO128" s="53">
        <f>SUMIFS(Actual!$F:$F,Actual!$N:$N,Monitoring!AO$6,Actual!$A:$A,Monitoring!$A128)</f>
        <v>0</v>
      </c>
      <c r="AP128" s="53">
        <f t="shared" si="44"/>
        <v>989954.46</v>
      </c>
      <c r="AQ128" s="53">
        <f t="shared" si="45"/>
        <v>1005022.77</v>
      </c>
      <c r="AR128" s="53">
        <f t="shared" si="46"/>
        <v>1005022.77</v>
      </c>
      <c r="AS128" s="1">
        <f t="shared" si="47"/>
        <v>3000000</v>
      </c>
      <c r="AT128" s="12">
        <f t="shared" si="48"/>
        <v>0</v>
      </c>
      <c r="AU128" s="1"/>
      <c r="AV128" s="53">
        <f t="shared" si="49"/>
        <v>0</v>
      </c>
      <c r="AW128" s="1">
        <f t="shared" si="50"/>
        <v>0</v>
      </c>
      <c r="AX128" s="1">
        <f t="shared" si="51"/>
        <v>0</v>
      </c>
      <c r="AY128" s="1">
        <f t="shared" si="52"/>
        <v>0</v>
      </c>
      <c r="AZ128" s="1">
        <f t="shared" si="53"/>
        <v>0</v>
      </c>
      <c r="BA128" s="1">
        <f t="shared" si="54"/>
        <v>0</v>
      </c>
      <c r="BB128" s="1">
        <f t="shared" si="55"/>
        <v>0</v>
      </c>
      <c r="BC128" s="1">
        <f t="shared" si="56"/>
        <v>0</v>
      </c>
      <c r="BD128" s="1">
        <f t="shared" si="57"/>
        <v>0</v>
      </c>
      <c r="BE128" s="1">
        <f t="shared" si="58"/>
        <v>989954.46</v>
      </c>
      <c r="BF128" s="1">
        <f t="shared" si="59"/>
        <v>1994977.23</v>
      </c>
      <c r="BG128" s="1">
        <f t="shared" si="60"/>
        <v>3000000</v>
      </c>
      <c r="BH128">
        <f t="shared" si="61"/>
        <v>122</v>
      </c>
    </row>
    <row r="129" spans="1:60" x14ac:dyDescent="0.35">
      <c r="A129">
        <v>40001284</v>
      </c>
      <c r="B129" t="str">
        <f t="shared" si="75"/>
        <v>BYD SEALION 5 H.PERALTA</v>
      </c>
      <c r="C129" t="s">
        <v>85</v>
      </c>
      <c r="D129" t="s">
        <v>0</v>
      </c>
      <c r="E129" t="s">
        <v>731</v>
      </c>
      <c r="F129" s="72" t="s">
        <v>1814</v>
      </c>
      <c r="G129" t="s">
        <v>1</v>
      </c>
      <c r="H129" t="s">
        <v>2</v>
      </c>
      <c r="I129">
        <v>1501</v>
      </c>
      <c r="J129" t="s">
        <v>894</v>
      </c>
      <c r="K129" s="3">
        <f t="shared" si="76"/>
        <v>23</v>
      </c>
      <c r="L129" s="3" t="str">
        <f t="shared" si="77"/>
        <v>8100</v>
      </c>
      <c r="M129">
        <v>81123102</v>
      </c>
      <c r="N129" s="3" t="str">
        <f>_xlfn.XLOOKUP(M129,[2]Sheet1!$A:$A,[2]Sheet1!$D:$D)</f>
        <v>ADMIN SERVICES</v>
      </c>
      <c r="O129" t="s">
        <v>896</v>
      </c>
      <c r="P129" t="s">
        <v>6</v>
      </c>
      <c r="Q129" s="2" t="s">
        <v>897</v>
      </c>
      <c r="R129" s="1">
        <f>1056250+13393</f>
        <v>1069643</v>
      </c>
      <c r="S129" s="63" t="s">
        <v>895</v>
      </c>
      <c r="T129" t="str">
        <f>_xlfn.XLOOKUP(M129,[2]Sheet1!$A:$A,[2]Sheet1!$E:$E)</f>
        <v>CORPORATE</v>
      </c>
      <c r="U129" s="63" t="s">
        <v>895</v>
      </c>
      <c r="V129" s="63" t="s">
        <v>14</v>
      </c>
      <c r="W129" s="63" t="s">
        <v>895</v>
      </c>
      <c r="X129" s="63" t="s">
        <v>1820</v>
      </c>
      <c r="Z129" s="1">
        <f>_xlfn.XLOOKUP(A129,'SAP Report'!A:A,'SAP Report'!C:C)</f>
        <v>1069643</v>
      </c>
      <c r="AA129" s="1">
        <f>HLOOKUP($A$4,$AV$6:$BG129,(2+BH128),FALSE)</f>
        <v>1069642.8600000001</v>
      </c>
      <c r="AB129" s="1">
        <f>SUMIF('Open PR PO'!A:A,Monitoring!A129,'Open PR PO'!K:K)</f>
        <v>0</v>
      </c>
      <c r="AC129" s="1">
        <f t="shared" si="62"/>
        <v>1069642.8600000001</v>
      </c>
      <c r="AD129" s="1">
        <f t="shared" si="63"/>
        <v>0.13999999989755452</v>
      </c>
      <c r="AE129" s="1">
        <f t="shared" si="64"/>
        <v>0.13999999989755452</v>
      </c>
      <c r="AF129" s="1"/>
      <c r="AG129" s="53">
        <f>SUMIFS(Actual!$F:$F,Actual!$N:$N,Monitoring!AG$6,Actual!$A:$A,Monitoring!$A129)</f>
        <v>0</v>
      </c>
      <c r="AH129" s="53">
        <f>SUMIFS(Actual!$F:$F,Actual!$N:$N,Monitoring!AH$6,Actual!$A:$A,Monitoring!$A129)</f>
        <v>0</v>
      </c>
      <c r="AI129" s="53">
        <f>SUMIFS(Actual!$F:$F,Actual!$N:$N,Monitoring!AI$6,Actual!$A:$A,Monitoring!$A129)</f>
        <v>0</v>
      </c>
      <c r="AJ129" s="53">
        <f>SUMIFS(Actual!$F:$F,Actual!$N:$N,Monitoring!AJ$6,Actual!$A:$A,Monitoring!$A129)</f>
        <v>0</v>
      </c>
      <c r="AK129" s="53">
        <f>SUMIFS(Actual!$F:$F,Actual!$N:$N,Monitoring!AK$6,Actual!$A:$A,Monitoring!$A129)</f>
        <v>1069642.8600000001</v>
      </c>
      <c r="AL129" s="53">
        <f>SUMIFS(Actual!$F:$F,Actual!$N:$N,Monitoring!AL$6,Actual!$A:$A,Monitoring!$A129)</f>
        <v>0</v>
      </c>
      <c r="AM129" s="53">
        <f>SUMIFS(Actual!$F:$F,Actual!$N:$N,Monitoring!AM$6,Actual!$A:$A,Monitoring!$A129)</f>
        <v>0</v>
      </c>
      <c r="AN129" s="53">
        <f>SUMIFS(Actual!$F:$F,Actual!$N:$N,Monitoring!AN$6,Actual!$A:$A,Monitoring!$A129)</f>
        <v>0</v>
      </c>
      <c r="AO129" s="53">
        <f>SUMIFS(Actual!$F:$F,Actual!$N:$N,Monitoring!AO$6,Actual!$A:$A,Monitoring!$A129)</f>
        <v>0</v>
      </c>
      <c r="AP129" s="53">
        <f t="shared" si="44"/>
        <v>0</v>
      </c>
      <c r="AQ129" s="53">
        <f t="shared" si="45"/>
        <v>6.9999999948777258E-2</v>
      </c>
      <c r="AR129" s="53">
        <f t="shared" si="46"/>
        <v>6.9999999948777258E-2</v>
      </c>
      <c r="AS129" s="1">
        <f t="shared" si="47"/>
        <v>1069643</v>
      </c>
      <c r="AT129" s="12">
        <f t="shared" si="48"/>
        <v>0</v>
      </c>
      <c r="AU129" s="1"/>
      <c r="AV129" s="53">
        <f t="shared" si="49"/>
        <v>0</v>
      </c>
      <c r="AW129" s="1">
        <f t="shared" si="50"/>
        <v>0</v>
      </c>
      <c r="AX129" s="1">
        <f t="shared" si="51"/>
        <v>0</v>
      </c>
      <c r="AY129" s="1">
        <f t="shared" si="52"/>
        <v>0</v>
      </c>
      <c r="AZ129" s="1">
        <f t="shared" si="53"/>
        <v>1069642.8600000001</v>
      </c>
      <c r="BA129" s="1">
        <f t="shared" si="54"/>
        <v>1069642.8600000001</v>
      </c>
      <c r="BB129" s="1">
        <f t="shared" si="55"/>
        <v>1069642.8600000001</v>
      </c>
      <c r="BC129" s="1">
        <f t="shared" si="56"/>
        <v>1069642.8600000001</v>
      </c>
      <c r="BD129" s="1">
        <f t="shared" si="57"/>
        <v>1069642.8600000001</v>
      </c>
      <c r="BE129" s="1">
        <f t="shared" si="58"/>
        <v>1069642.8600000001</v>
      </c>
      <c r="BF129" s="1">
        <f t="shared" si="59"/>
        <v>1069642.9300000002</v>
      </c>
      <c r="BG129" s="1">
        <f t="shared" si="60"/>
        <v>1069643</v>
      </c>
      <c r="BH129">
        <f t="shared" si="61"/>
        <v>123</v>
      </c>
    </row>
    <row r="130" spans="1:60" x14ac:dyDescent="0.35">
      <c r="A130">
        <v>40001285</v>
      </c>
      <c r="B130" t="str">
        <f t="shared" ref="B130:B178" si="78">J130</f>
        <v>2026 BYD SEAL 5 E.JAVILLONAR</v>
      </c>
      <c r="C130" t="s">
        <v>85</v>
      </c>
      <c r="D130" t="s">
        <v>0</v>
      </c>
      <c r="E130" t="s">
        <v>731</v>
      </c>
      <c r="F130" s="72" t="s">
        <v>1814</v>
      </c>
      <c r="G130" t="s">
        <v>1</v>
      </c>
      <c r="H130" t="s">
        <v>2</v>
      </c>
      <c r="I130">
        <v>1501</v>
      </c>
      <c r="J130" t="s">
        <v>901</v>
      </c>
      <c r="K130" s="3">
        <f t="shared" ref="K130:K178" si="79">LEN(J130)</f>
        <v>28</v>
      </c>
      <c r="L130" s="3" t="str">
        <f t="shared" ref="L130:L178" si="80">LEFT(M130,2)&amp;"00"</f>
        <v>8100</v>
      </c>
      <c r="M130">
        <v>81123102</v>
      </c>
      <c r="N130" s="3" t="str">
        <f>_xlfn.XLOOKUP(M130,[2]Sheet1!$A:$A,[2]Sheet1!$D:$D)</f>
        <v>ADMIN SERVICES</v>
      </c>
      <c r="O130" t="s">
        <v>898</v>
      </c>
      <c r="P130" t="s">
        <v>400</v>
      </c>
      <c r="Q130" s="2" t="s">
        <v>899</v>
      </c>
      <c r="R130" s="1">
        <f>868000-93000</f>
        <v>775000</v>
      </c>
      <c r="S130" s="63" t="s">
        <v>900</v>
      </c>
      <c r="T130" t="str">
        <f>_xlfn.XLOOKUP(M130,[2]Sheet1!$A:$A,[2]Sheet1!$E:$E)</f>
        <v>CORPORATE</v>
      </c>
      <c r="U130" s="63" t="s">
        <v>900</v>
      </c>
      <c r="V130" s="63" t="s">
        <v>92</v>
      </c>
      <c r="W130" s="63" t="s">
        <v>900</v>
      </c>
      <c r="X130" s="63" t="s">
        <v>1873</v>
      </c>
      <c r="Z130" s="1">
        <f>_xlfn.XLOOKUP(A130,'SAP Report'!A:A,'SAP Report'!C:C)</f>
        <v>775000</v>
      </c>
      <c r="AA130" s="1">
        <f>HLOOKUP($A$4,$AV$6:$BG130,(2+BH129),FALSE)</f>
        <v>775000</v>
      </c>
      <c r="AB130" s="1">
        <f>SUMIF('Open PR PO'!A:A,Monitoring!A130,'Open PR PO'!K:K)</f>
        <v>0</v>
      </c>
      <c r="AC130" s="1">
        <f t="shared" si="62"/>
        <v>775000</v>
      </c>
      <c r="AD130" s="1">
        <f t="shared" si="63"/>
        <v>0</v>
      </c>
      <c r="AE130" s="1">
        <f t="shared" si="64"/>
        <v>0</v>
      </c>
      <c r="AF130" s="1"/>
      <c r="AG130" s="53">
        <f>SUMIFS(Actual!$F:$F,Actual!$N:$N,Monitoring!AG$6,Actual!$A:$A,Monitoring!$A130)</f>
        <v>0</v>
      </c>
      <c r="AH130" s="53">
        <f>SUMIFS(Actual!$F:$F,Actual!$N:$N,Monitoring!AH$6,Actual!$A:$A,Monitoring!$A130)</f>
        <v>0</v>
      </c>
      <c r="AI130" s="53">
        <f>SUMIFS(Actual!$F:$F,Actual!$N:$N,Monitoring!AI$6,Actual!$A:$A,Monitoring!$A130)</f>
        <v>0</v>
      </c>
      <c r="AJ130" s="53">
        <f>SUMIFS(Actual!$F:$F,Actual!$N:$N,Monitoring!AJ$6,Actual!$A:$A,Monitoring!$A130)</f>
        <v>0</v>
      </c>
      <c r="AK130" s="53">
        <f>SUMIFS(Actual!$F:$F,Actual!$N:$N,Monitoring!AK$6,Actual!$A:$A,Monitoring!$A130)</f>
        <v>0</v>
      </c>
      <c r="AL130" s="53">
        <f>SUMIFS(Actual!$F:$F,Actual!$N:$N,Monitoring!AL$6,Actual!$A:$A,Monitoring!$A130)</f>
        <v>775000</v>
      </c>
      <c r="AM130" s="53">
        <f>SUMIFS(Actual!$F:$F,Actual!$N:$N,Monitoring!AM$6,Actual!$A:$A,Monitoring!$A130)</f>
        <v>0</v>
      </c>
      <c r="AN130" s="53">
        <f>SUMIFS(Actual!$F:$F,Actual!$N:$N,Monitoring!AN$6,Actual!$A:$A,Monitoring!$A130)</f>
        <v>0</v>
      </c>
      <c r="AO130" s="53">
        <f>SUMIFS(Actual!$F:$F,Actual!$N:$N,Monitoring!AO$6,Actual!$A:$A,Monitoring!$A130)</f>
        <v>0</v>
      </c>
      <c r="AP130" s="53">
        <f t="shared" si="44"/>
        <v>0</v>
      </c>
      <c r="AQ130" s="53">
        <f t="shared" si="45"/>
        <v>0</v>
      </c>
      <c r="AR130" s="53">
        <f t="shared" si="46"/>
        <v>0</v>
      </c>
      <c r="AS130" s="1">
        <f t="shared" si="47"/>
        <v>775000</v>
      </c>
      <c r="AT130" s="12">
        <f t="shared" si="48"/>
        <v>0</v>
      </c>
      <c r="AU130" s="1"/>
      <c r="AV130" s="53">
        <f t="shared" si="49"/>
        <v>0</v>
      </c>
      <c r="AW130" s="1">
        <f t="shared" si="50"/>
        <v>0</v>
      </c>
      <c r="AX130" s="1">
        <f t="shared" si="51"/>
        <v>0</v>
      </c>
      <c r="AY130" s="1">
        <f t="shared" si="52"/>
        <v>0</v>
      </c>
      <c r="AZ130" s="1">
        <f t="shared" si="53"/>
        <v>0</v>
      </c>
      <c r="BA130" s="1">
        <f t="shared" si="54"/>
        <v>775000</v>
      </c>
      <c r="BB130" s="1">
        <f t="shared" si="55"/>
        <v>775000</v>
      </c>
      <c r="BC130" s="1">
        <f t="shared" si="56"/>
        <v>775000</v>
      </c>
      <c r="BD130" s="1">
        <f t="shared" si="57"/>
        <v>775000</v>
      </c>
      <c r="BE130" s="1">
        <f t="shared" si="58"/>
        <v>775000</v>
      </c>
      <c r="BF130" s="1">
        <f t="shared" si="59"/>
        <v>775000</v>
      </c>
      <c r="BG130" s="1">
        <f t="shared" si="60"/>
        <v>775000</v>
      </c>
      <c r="BH130">
        <f t="shared" si="61"/>
        <v>124</v>
      </c>
    </row>
    <row r="131" spans="1:60" x14ac:dyDescent="0.35">
      <c r="A131">
        <v>40001265</v>
      </c>
      <c r="B131" t="str">
        <f t="shared" si="78"/>
        <v>2026 TOYOTA VIOS XE CVT E.TUBANIA</v>
      </c>
      <c r="C131" t="s">
        <v>85</v>
      </c>
      <c r="D131" t="s">
        <v>0</v>
      </c>
      <c r="E131" t="s">
        <v>731</v>
      </c>
      <c r="F131" s="72" t="s">
        <v>1814</v>
      </c>
      <c r="G131" t="s">
        <v>1</v>
      </c>
      <c r="H131" t="s">
        <v>2</v>
      </c>
      <c r="I131">
        <v>1501</v>
      </c>
      <c r="J131" t="s">
        <v>1794</v>
      </c>
      <c r="K131" s="3">
        <f t="shared" si="79"/>
        <v>33</v>
      </c>
      <c r="L131" s="3" t="str">
        <f t="shared" si="80"/>
        <v>8100</v>
      </c>
      <c r="M131">
        <v>81123102</v>
      </c>
      <c r="N131" s="3" t="str">
        <f>_xlfn.XLOOKUP(M131,[2]Sheet1!$A:$A,[2]Sheet1!$D:$D)</f>
        <v>ADMIN SERVICES</v>
      </c>
      <c r="O131" t="s">
        <v>343</v>
      </c>
      <c r="P131" t="s">
        <v>400</v>
      </c>
      <c r="Q131" s="2" t="s">
        <v>1795</v>
      </c>
      <c r="R131" s="1">
        <v>769200</v>
      </c>
      <c r="S131" s="67" t="s">
        <v>770</v>
      </c>
      <c r="T131" t="str">
        <f>_xlfn.XLOOKUP(M131,[2]Sheet1!$A:$A,[2]Sheet1!$E:$E)</f>
        <v>CORPORATE</v>
      </c>
      <c r="U131" s="64" t="s">
        <v>755</v>
      </c>
      <c r="V131" s="63" t="s">
        <v>14</v>
      </c>
      <c r="W131" s="67" t="s">
        <v>770</v>
      </c>
      <c r="X131" s="67" t="s">
        <v>2837</v>
      </c>
      <c r="Z131" s="1">
        <f>_xlfn.XLOOKUP(A131,'SAP Report'!A:A,'SAP Report'!C:C)</f>
        <v>686785.71</v>
      </c>
      <c r="AA131" s="1">
        <f>HLOOKUP($A$4,$AV$6:$BG131,(2+BH130),FALSE)</f>
        <v>686785.71</v>
      </c>
      <c r="AB131" s="1">
        <f>SUMIF('Open PR PO'!A:A,Monitoring!A131,'Open PR PO'!K:K)</f>
        <v>0</v>
      </c>
      <c r="AC131" s="1">
        <f t="shared" si="62"/>
        <v>686785.71</v>
      </c>
      <c r="AD131" s="1">
        <f t="shared" si="63"/>
        <v>0</v>
      </c>
      <c r="AE131" s="1">
        <f t="shared" si="64"/>
        <v>0</v>
      </c>
      <c r="AF131" s="1"/>
      <c r="AG131" s="53">
        <f>SUMIFS(Actual!$F:$F,Actual!$N:$N,Monitoring!AG$6,Actual!$A:$A,Monitoring!$A131)</f>
        <v>0</v>
      </c>
      <c r="AH131" s="53">
        <f>SUMIFS(Actual!$F:$F,Actual!$N:$N,Monitoring!AH$6,Actual!$A:$A,Monitoring!$A131)</f>
        <v>0</v>
      </c>
      <c r="AI131" s="53">
        <f>SUMIFS(Actual!$F:$F,Actual!$N:$N,Monitoring!AI$6,Actual!$A:$A,Monitoring!$A131)</f>
        <v>0</v>
      </c>
      <c r="AJ131" s="53">
        <f>SUMIFS(Actual!$F:$F,Actual!$N:$N,Monitoring!AJ$6,Actual!$A:$A,Monitoring!$A131)</f>
        <v>0</v>
      </c>
      <c r="AK131" s="53">
        <f>SUMIFS(Actual!$F:$F,Actual!$N:$N,Monitoring!AK$6,Actual!$A:$A,Monitoring!$A131)</f>
        <v>686785.71</v>
      </c>
      <c r="AL131" s="53">
        <f>SUMIFS(Actual!$F:$F,Actual!$N:$N,Monitoring!AL$6,Actual!$A:$A,Monitoring!$A131)</f>
        <v>0</v>
      </c>
      <c r="AM131" s="53">
        <f>SUMIFS(Actual!$F:$F,Actual!$N:$N,Monitoring!AM$6,Actual!$A:$A,Monitoring!$A131)</f>
        <v>0</v>
      </c>
      <c r="AN131" s="53">
        <f>SUMIFS(Actual!$F:$F,Actual!$N:$N,Monitoring!AN$6,Actual!$A:$A,Monitoring!$A131)</f>
        <v>0</v>
      </c>
      <c r="AO131" s="53">
        <f>SUMIFS(Actual!$F:$F,Actual!$N:$N,Monitoring!AO$6,Actual!$A:$A,Monitoring!$A131)</f>
        <v>0</v>
      </c>
      <c r="AP131" s="53">
        <f t="shared" si="44"/>
        <v>0</v>
      </c>
      <c r="AQ131" s="53">
        <f t="shared" si="45"/>
        <v>0</v>
      </c>
      <c r="AR131" s="53">
        <f t="shared" si="46"/>
        <v>0</v>
      </c>
      <c r="AS131" s="1">
        <f t="shared" si="47"/>
        <v>686785.71</v>
      </c>
      <c r="AT131" s="12">
        <f t="shared" si="48"/>
        <v>0</v>
      </c>
      <c r="AU131" s="1"/>
      <c r="AV131" s="53">
        <f t="shared" si="49"/>
        <v>0</v>
      </c>
      <c r="AW131" s="1">
        <f t="shared" si="50"/>
        <v>0</v>
      </c>
      <c r="AX131" s="1">
        <f t="shared" si="51"/>
        <v>0</v>
      </c>
      <c r="AY131" s="1">
        <f t="shared" si="52"/>
        <v>0</v>
      </c>
      <c r="AZ131" s="1">
        <f t="shared" si="53"/>
        <v>686785.71</v>
      </c>
      <c r="BA131" s="1">
        <f t="shared" si="54"/>
        <v>686785.71</v>
      </c>
      <c r="BB131" s="1">
        <f t="shared" si="55"/>
        <v>686785.71</v>
      </c>
      <c r="BC131" s="1">
        <f t="shared" si="56"/>
        <v>686785.71</v>
      </c>
      <c r="BD131" s="1">
        <f t="shared" si="57"/>
        <v>686785.71</v>
      </c>
      <c r="BE131" s="1">
        <f t="shared" si="58"/>
        <v>686785.71</v>
      </c>
      <c r="BF131" s="1">
        <f t="shared" si="59"/>
        <v>686785.71</v>
      </c>
      <c r="BG131" s="1">
        <f t="shared" si="60"/>
        <v>686785.71</v>
      </c>
      <c r="BH131">
        <f t="shared" si="61"/>
        <v>125</v>
      </c>
    </row>
    <row r="132" spans="1:60" x14ac:dyDescent="0.35">
      <c r="A132">
        <v>10001432</v>
      </c>
      <c r="B132" t="str">
        <f t="shared" si="78"/>
        <v>GH STEEL BOLLARDS</v>
      </c>
      <c r="C132" t="s">
        <v>9</v>
      </c>
      <c r="D132" t="s">
        <v>9</v>
      </c>
      <c r="E132" t="s">
        <v>733</v>
      </c>
      <c r="F132" s="72" t="s">
        <v>1814</v>
      </c>
      <c r="G132" t="s">
        <v>1</v>
      </c>
      <c r="H132" t="s">
        <v>539</v>
      </c>
      <c r="I132">
        <v>1100</v>
      </c>
      <c r="J132" t="s">
        <v>950</v>
      </c>
      <c r="K132" s="3">
        <f t="shared" si="79"/>
        <v>17</v>
      </c>
      <c r="L132" s="3" t="str">
        <f t="shared" si="80"/>
        <v>8100</v>
      </c>
      <c r="M132">
        <v>81221201</v>
      </c>
      <c r="N132" s="3" t="str">
        <f>_xlfn.XLOOKUP(M132,[2]Sheet1!$A:$A,[2]Sheet1!$D:$D)</f>
        <v>GSC OLD BLDGS</v>
      </c>
      <c r="O132" t="s">
        <v>819</v>
      </c>
      <c r="P132" t="s">
        <v>13</v>
      </c>
      <c r="Q132" s="2" t="s">
        <v>3209</v>
      </c>
      <c r="R132" s="89">
        <f>2000000-500000-712500</f>
        <v>787500</v>
      </c>
      <c r="S132" s="67" t="s">
        <v>770</v>
      </c>
      <c r="T132" t="str">
        <f>_xlfn.XLOOKUP(M132,[2]Sheet1!$A:$A,[2]Sheet1!$E:$E)</f>
        <v>MALLS</v>
      </c>
      <c r="U132" s="67" t="s">
        <v>1796</v>
      </c>
      <c r="V132" s="67" t="s">
        <v>1797</v>
      </c>
      <c r="W132" s="67" t="s">
        <v>822</v>
      </c>
      <c r="X132" s="67" t="s">
        <v>3210</v>
      </c>
      <c r="Z132" s="1">
        <f>_xlfn.XLOOKUP(A132,'SAP Report'!A:A,'SAP Report'!C:C)</f>
        <v>787500</v>
      </c>
      <c r="AA132" s="1">
        <f>HLOOKUP($A$4,$AV$6:$BG132,(2+BH131),FALSE)</f>
        <v>0</v>
      </c>
      <c r="AB132" s="1">
        <f>SUMIF('Open PR PO'!A:A,Monitoring!A132,'Open PR PO'!K:K)</f>
        <v>625000</v>
      </c>
      <c r="AC132" s="1">
        <f t="shared" si="62"/>
        <v>625000</v>
      </c>
      <c r="AD132" s="1">
        <f t="shared" si="63"/>
        <v>162500</v>
      </c>
      <c r="AE132" s="1">
        <f t="shared" si="64"/>
        <v>787500</v>
      </c>
      <c r="AF132" s="1"/>
      <c r="AG132" s="53">
        <f>SUMIFS(Actual!$F:$F,Actual!$N:$N,Monitoring!AG$6,Actual!$A:$A,Monitoring!$A132)</f>
        <v>0</v>
      </c>
      <c r="AH132" s="53">
        <f>SUMIFS(Actual!$F:$F,Actual!$N:$N,Monitoring!AH$6,Actual!$A:$A,Monitoring!$A132)</f>
        <v>0</v>
      </c>
      <c r="AI132" s="53">
        <f>SUMIFS(Actual!$F:$F,Actual!$N:$N,Monitoring!AI$6,Actual!$A:$A,Monitoring!$A132)</f>
        <v>0</v>
      </c>
      <c r="AJ132" s="53">
        <f>SUMIFS(Actual!$F:$F,Actual!$N:$N,Monitoring!AJ$6,Actual!$A:$A,Monitoring!$A132)</f>
        <v>0</v>
      </c>
      <c r="AK132" s="53">
        <f>SUMIFS(Actual!$F:$F,Actual!$N:$N,Monitoring!AK$6,Actual!$A:$A,Monitoring!$A132)</f>
        <v>0</v>
      </c>
      <c r="AL132" s="53">
        <f>SUMIFS(Actual!$F:$F,Actual!$N:$N,Monitoring!AL$6,Actual!$A:$A,Monitoring!$A132)</f>
        <v>0</v>
      </c>
      <c r="AM132" s="53">
        <f>SUMIFS(Actual!$F:$F,Actual!$N:$N,Monitoring!AM$6,Actual!$A:$A,Monitoring!$A132)</f>
        <v>0</v>
      </c>
      <c r="AN132" s="53">
        <f>SUMIFS(Actual!$F:$F,Actual!$N:$N,Monitoring!AN$6,Actual!$A:$A,Monitoring!$A132)</f>
        <v>0</v>
      </c>
      <c r="AO132" s="53">
        <f>SUMIFS(Actual!$F:$F,Actual!$N:$N,Monitoring!AO$6,Actual!$A:$A,Monitoring!$A132)</f>
        <v>0</v>
      </c>
      <c r="AP132" s="53">
        <f t="shared" si="44"/>
        <v>625000</v>
      </c>
      <c r="AQ132" s="53">
        <f t="shared" si="45"/>
        <v>81250</v>
      </c>
      <c r="AR132" s="53">
        <f t="shared" si="46"/>
        <v>81250</v>
      </c>
      <c r="AS132" s="1">
        <f t="shared" si="47"/>
        <v>787500</v>
      </c>
      <c r="AT132" s="12">
        <f t="shared" si="48"/>
        <v>0</v>
      </c>
      <c r="AU132" s="1"/>
      <c r="AV132" s="53">
        <f t="shared" si="49"/>
        <v>0</v>
      </c>
      <c r="AW132" s="1">
        <f t="shared" si="50"/>
        <v>0</v>
      </c>
      <c r="AX132" s="1">
        <f t="shared" si="51"/>
        <v>0</v>
      </c>
      <c r="AY132" s="1">
        <f t="shared" si="52"/>
        <v>0</v>
      </c>
      <c r="AZ132" s="1">
        <f t="shared" si="53"/>
        <v>0</v>
      </c>
      <c r="BA132" s="1">
        <f t="shared" si="54"/>
        <v>0</v>
      </c>
      <c r="BB132" s="1">
        <f t="shared" si="55"/>
        <v>0</v>
      </c>
      <c r="BC132" s="1">
        <f t="shared" si="56"/>
        <v>0</v>
      </c>
      <c r="BD132" s="1">
        <f t="shared" si="57"/>
        <v>0</v>
      </c>
      <c r="BE132" s="1">
        <f t="shared" si="58"/>
        <v>625000</v>
      </c>
      <c r="BF132" s="1">
        <f t="shared" si="59"/>
        <v>706250</v>
      </c>
      <c r="BG132" s="1">
        <f t="shared" si="60"/>
        <v>787500</v>
      </c>
      <c r="BH132">
        <f t="shared" si="61"/>
        <v>126</v>
      </c>
    </row>
    <row r="133" spans="1:60" x14ac:dyDescent="0.35">
      <c r="A133">
        <v>10001433</v>
      </c>
      <c r="B133" t="str">
        <f t="shared" si="78"/>
        <v>GH REPLACEMENT OF ELECTRICAL OUTDATED METERS</v>
      </c>
      <c r="C133" t="s">
        <v>9</v>
      </c>
      <c r="D133" t="s">
        <v>9</v>
      </c>
      <c r="E133" t="s">
        <v>263</v>
      </c>
      <c r="F133" s="72" t="s">
        <v>1814</v>
      </c>
      <c r="G133" t="s">
        <v>1</v>
      </c>
      <c r="H133" t="s">
        <v>570</v>
      </c>
      <c r="I133">
        <v>1100</v>
      </c>
      <c r="J133" t="s">
        <v>1800</v>
      </c>
      <c r="K133" s="3">
        <f t="shared" si="79"/>
        <v>44</v>
      </c>
      <c r="L133" s="3" t="str">
        <f t="shared" si="80"/>
        <v>8100</v>
      </c>
      <c r="M133">
        <v>81221201</v>
      </c>
      <c r="N133" s="3" t="str">
        <f>_xlfn.XLOOKUP(M133,[2]Sheet1!$A:$A,[2]Sheet1!$D:$D)</f>
        <v>GSC OLD BLDGS</v>
      </c>
      <c r="O133" t="s">
        <v>1799</v>
      </c>
      <c r="P133" t="s">
        <v>13</v>
      </c>
      <c r="Q133" s="2" t="s">
        <v>1798</v>
      </c>
      <c r="R133" s="89">
        <v>3500000</v>
      </c>
      <c r="S133" s="67" t="s">
        <v>770</v>
      </c>
      <c r="T133" t="str">
        <f>_xlfn.XLOOKUP(M133,[2]Sheet1!$A:$A,[2]Sheet1!$E:$E)</f>
        <v>MALLS</v>
      </c>
      <c r="U133" s="64" t="s">
        <v>755</v>
      </c>
      <c r="V133" s="63" t="s">
        <v>761</v>
      </c>
      <c r="W133" s="67" t="s">
        <v>822</v>
      </c>
      <c r="Z133" s="1">
        <f>_xlfn.XLOOKUP(A133,'SAP Report'!A:A,'SAP Report'!C:C)</f>
        <v>3500000</v>
      </c>
      <c r="AA133" s="1">
        <f>HLOOKUP($A$4,$AV$6:$BG133,(2+BH132),FALSE)</f>
        <v>0</v>
      </c>
      <c r="AB133" s="1">
        <f>SUMIF('Open PR PO'!A:A,Monitoring!A133,'Open PR PO'!K:K)</f>
        <v>3500000</v>
      </c>
      <c r="AC133" s="1">
        <f t="shared" si="62"/>
        <v>3500000</v>
      </c>
      <c r="AD133" s="1">
        <f t="shared" si="63"/>
        <v>0</v>
      </c>
      <c r="AE133" s="1">
        <f t="shared" si="64"/>
        <v>3500000</v>
      </c>
      <c r="AF133" s="1"/>
      <c r="AG133" s="53">
        <f>SUMIFS(Actual!$F:$F,Actual!$N:$N,Monitoring!AG$6,Actual!$A:$A,Monitoring!$A133)</f>
        <v>0</v>
      </c>
      <c r="AH133" s="53">
        <f>SUMIFS(Actual!$F:$F,Actual!$N:$N,Monitoring!AH$6,Actual!$A:$A,Monitoring!$A133)</f>
        <v>0</v>
      </c>
      <c r="AI133" s="53">
        <f>SUMIFS(Actual!$F:$F,Actual!$N:$N,Monitoring!AI$6,Actual!$A:$A,Monitoring!$A133)</f>
        <v>0</v>
      </c>
      <c r="AJ133" s="53">
        <f>SUMIFS(Actual!$F:$F,Actual!$N:$N,Monitoring!AJ$6,Actual!$A:$A,Monitoring!$A133)</f>
        <v>0</v>
      </c>
      <c r="AK133" s="53">
        <f>SUMIFS(Actual!$F:$F,Actual!$N:$N,Monitoring!AK$6,Actual!$A:$A,Monitoring!$A133)</f>
        <v>0</v>
      </c>
      <c r="AL133" s="53">
        <f>SUMIFS(Actual!$F:$F,Actual!$N:$N,Monitoring!AL$6,Actual!$A:$A,Monitoring!$A133)</f>
        <v>0</v>
      </c>
      <c r="AM133" s="53">
        <f>SUMIFS(Actual!$F:$F,Actual!$N:$N,Monitoring!AM$6,Actual!$A:$A,Monitoring!$A133)</f>
        <v>0</v>
      </c>
      <c r="AN133" s="53">
        <f>SUMIFS(Actual!$F:$F,Actual!$N:$N,Monitoring!AN$6,Actual!$A:$A,Monitoring!$A133)</f>
        <v>0</v>
      </c>
      <c r="AO133" s="53">
        <f>SUMIFS(Actual!$F:$F,Actual!$N:$N,Monitoring!AO$6,Actual!$A:$A,Monitoring!$A133)</f>
        <v>0</v>
      </c>
      <c r="AP133" s="53">
        <f t="shared" si="44"/>
        <v>3500000</v>
      </c>
      <c r="AQ133" s="53">
        <f t="shared" si="45"/>
        <v>0</v>
      </c>
      <c r="AR133" s="53">
        <f t="shared" si="46"/>
        <v>0</v>
      </c>
      <c r="AS133" s="1">
        <f t="shared" si="47"/>
        <v>3500000</v>
      </c>
      <c r="AT133" s="12">
        <f t="shared" si="48"/>
        <v>0</v>
      </c>
      <c r="AU133" s="1"/>
      <c r="AV133" s="53">
        <f t="shared" si="49"/>
        <v>0</v>
      </c>
      <c r="AW133" s="1">
        <f t="shared" si="50"/>
        <v>0</v>
      </c>
      <c r="AX133" s="1">
        <f t="shared" si="51"/>
        <v>0</v>
      </c>
      <c r="AY133" s="1">
        <f t="shared" si="52"/>
        <v>0</v>
      </c>
      <c r="AZ133" s="1">
        <f t="shared" si="53"/>
        <v>0</v>
      </c>
      <c r="BA133" s="1">
        <f t="shared" si="54"/>
        <v>0</v>
      </c>
      <c r="BB133" s="1">
        <f t="shared" si="55"/>
        <v>0</v>
      </c>
      <c r="BC133" s="1">
        <f t="shared" si="56"/>
        <v>0</v>
      </c>
      <c r="BD133" s="1">
        <f t="shared" si="57"/>
        <v>0</v>
      </c>
      <c r="BE133" s="1">
        <f t="shared" si="58"/>
        <v>3500000</v>
      </c>
      <c r="BF133" s="1">
        <f t="shared" si="59"/>
        <v>3500000</v>
      </c>
      <c r="BG133" s="1">
        <f t="shared" si="60"/>
        <v>3500000</v>
      </c>
      <c r="BH133">
        <f t="shared" si="61"/>
        <v>127</v>
      </c>
    </row>
    <row r="134" spans="1:60" x14ac:dyDescent="0.35">
      <c r="A134">
        <v>10001434</v>
      </c>
      <c r="B134" t="str">
        <f t="shared" si="78"/>
        <v>GH ESCALATORS/ELEVATORS MAJOR REPAIRS</v>
      </c>
      <c r="C134" t="s">
        <v>9</v>
      </c>
      <c r="D134" t="s">
        <v>9</v>
      </c>
      <c r="E134" t="s">
        <v>1802</v>
      </c>
      <c r="F134" s="72" t="s">
        <v>1814</v>
      </c>
      <c r="G134" t="s">
        <v>1</v>
      </c>
      <c r="H134" t="s">
        <v>548</v>
      </c>
      <c r="I134">
        <v>1110</v>
      </c>
      <c r="J134" t="s">
        <v>2549</v>
      </c>
      <c r="K134" s="3">
        <f t="shared" si="79"/>
        <v>37</v>
      </c>
      <c r="L134" s="3" t="str">
        <f t="shared" si="80"/>
        <v>8100</v>
      </c>
      <c r="M134">
        <v>81221201</v>
      </c>
      <c r="N134" s="3" t="str">
        <f>_xlfn.XLOOKUP(M134,[2]Sheet1!$A:$A,[2]Sheet1!$D:$D)</f>
        <v>GSC OLD BLDGS</v>
      </c>
      <c r="O134" t="s">
        <v>1799</v>
      </c>
      <c r="P134" t="s">
        <v>13</v>
      </c>
      <c r="Q134" s="2" t="s">
        <v>1801</v>
      </c>
      <c r="R134" s="89">
        <v>6000000</v>
      </c>
      <c r="S134" s="67" t="s">
        <v>770</v>
      </c>
      <c r="T134" t="str">
        <f>_xlfn.XLOOKUP(M134,[2]Sheet1!$A:$A,[2]Sheet1!$E:$E)</f>
        <v>MALLS</v>
      </c>
      <c r="U134" s="63" t="s">
        <v>755</v>
      </c>
      <c r="V134" s="63" t="s">
        <v>27</v>
      </c>
      <c r="W134" s="67" t="s">
        <v>822</v>
      </c>
      <c r="Z134" s="1">
        <f>_xlfn.XLOOKUP(A134,'SAP Report'!A:A,'SAP Report'!C:C)</f>
        <v>6000000</v>
      </c>
      <c r="AA134" s="1">
        <f>HLOOKUP($A$4,$AV$6:$BG134,(2+BH133),FALSE)</f>
        <v>0</v>
      </c>
      <c r="AB134" s="1">
        <f>SUMIF('Open PR PO'!A:A,Monitoring!A134,'Open PR PO'!K:K)</f>
        <v>2077976.12</v>
      </c>
      <c r="AC134" s="1">
        <f t="shared" si="62"/>
        <v>2077976.12</v>
      </c>
      <c r="AD134" s="1">
        <f t="shared" si="63"/>
        <v>3922023.88</v>
      </c>
      <c r="AE134" s="1">
        <f t="shared" si="64"/>
        <v>6000000</v>
      </c>
      <c r="AF134" s="1"/>
      <c r="AG134" s="53">
        <f>SUMIFS(Actual!$F:$F,Actual!$N:$N,Monitoring!AG$6,Actual!$A:$A,Monitoring!$A134)</f>
        <v>0</v>
      </c>
      <c r="AH134" s="53">
        <f>SUMIFS(Actual!$F:$F,Actual!$N:$N,Monitoring!AH$6,Actual!$A:$A,Monitoring!$A134)</f>
        <v>0</v>
      </c>
      <c r="AI134" s="53">
        <f>SUMIFS(Actual!$F:$F,Actual!$N:$N,Monitoring!AI$6,Actual!$A:$A,Monitoring!$A134)</f>
        <v>0</v>
      </c>
      <c r="AJ134" s="53">
        <f>SUMIFS(Actual!$F:$F,Actual!$N:$N,Monitoring!AJ$6,Actual!$A:$A,Monitoring!$A134)</f>
        <v>0</v>
      </c>
      <c r="AK134" s="53">
        <f>SUMIFS(Actual!$F:$F,Actual!$N:$N,Monitoring!AK$6,Actual!$A:$A,Monitoring!$A134)</f>
        <v>0</v>
      </c>
      <c r="AL134" s="53">
        <f>SUMIFS(Actual!$F:$F,Actual!$N:$N,Monitoring!AL$6,Actual!$A:$A,Monitoring!$A134)</f>
        <v>0</v>
      </c>
      <c r="AM134" s="53">
        <f>SUMIFS(Actual!$F:$F,Actual!$N:$N,Monitoring!AM$6,Actual!$A:$A,Monitoring!$A134)</f>
        <v>0</v>
      </c>
      <c r="AN134" s="53">
        <f>SUMIFS(Actual!$F:$F,Actual!$N:$N,Monitoring!AN$6,Actual!$A:$A,Monitoring!$A134)</f>
        <v>0</v>
      </c>
      <c r="AO134" s="53">
        <f>SUMIFS(Actual!$F:$F,Actual!$N:$N,Monitoring!AO$6,Actual!$A:$A,Monitoring!$A134)</f>
        <v>0</v>
      </c>
      <c r="AP134" s="53">
        <f t="shared" si="44"/>
        <v>2077976.12</v>
      </c>
      <c r="AQ134" s="53">
        <f t="shared" si="45"/>
        <v>1961011.94</v>
      </c>
      <c r="AR134" s="53">
        <f t="shared" si="46"/>
        <v>1961011.94</v>
      </c>
      <c r="AS134" s="1">
        <f t="shared" si="47"/>
        <v>6000000</v>
      </c>
      <c r="AT134" s="12">
        <f t="shared" si="48"/>
        <v>0</v>
      </c>
      <c r="AU134" s="1"/>
      <c r="AV134" s="53">
        <f t="shared" si="49"/>
        <v>0</v>
      </c>
      <c r="AW134" s="1">
        <f t="shared" si="50"/>
        <v>0</v>
      </c>
      <c r="AX134" s="1">
        <f t="shared" si="51"/>
        <v>0</v>
      </c>
      <c r="AY134" s="1">
        <f t="shared" si="52"/>
        <v>0</v>
      </c>
      <c r="AZ134" s="1">
        <f t="shared" si="53"/>
        <v>0</v>
      </c>
      <c r="BA134" s="1">
        <f t="shared" si="54"/>
        <v>0</v>
      </c>
      <c r="BB134" s="1">
        <f t="shared" si="55"/>
        <v>0</v>
      </c>
      <c r="BC134" s="1">
        <f t="shared" si="56"/>
        <v>0</v>
      </c>
      <c r="BD134" s="1">
        <f t="shared" si="57"/>
        <v>0</v>
      </c>
      <c r="BE134" s="1">
        <f t="shared" si="58"/>
        <v>2077976.12</v>
      </c>
      <c r="BF134" s="1">
        <f t="shared" si="59"/>
        <v>4038988.06</v>
      </c>
      <c r="BG134" s="1">
        <f t="shared" si="60"/>
        <v>6000000</v>
      </c>
      <c r="BH134">
        <f t="shared" si="61"/>
        <v>128</v>
      </c>
    </row>
    <row r="135" spans="1:60" x14ac:dyDescent="0.35">
      <c r="A135">
        <v>10001435</v>
      </c>
      <c r="B135" t="str">
        <f t="shared" si="78"/>
        <v>GH UPGRADE OF LIFT STATION</v>
      </c>
      <c r="C135" t="s">
        <v>9</v>
      </c>
      <c r="D135" t="s">
        <v>9</v>
      </c>
      <c r="E135" t="s">
        <v>711</v>
      </c>
      <c r="F135" s="72" t="s">
        <v>1814</v>
      </c>
      <c r="G135" t="s">
        <v>1</v>
      </c>
      <c r="H135" t="s">
        <v>565</v>
      </c>
      <c r="I135">
        <v>1110</v>
      </c>
      <c r="J135" t="s">
        <v>952</v>
      </c>
      <c r="K135" s="3">
        <f t="shared" si="79"/>
        <v>26</v>
      </c>
      <c r="L135" s="3" t="str">
        <f t="shared" si="80"/>
        <v>8100</v>
      </c>
      <c r="M135">
        <v>81221201</v>
      </c>
      <c r="N135" s="3" t="str">
        <f>_xlfn.XLOOKUP(M135,[2]Sheet1!$A:$A,[2]Sheet1!$D:$D)</f>
        <v>GSC OLD BLDGS</v>
      </c>
      <c r="O135" t="s">
        <v>1803</v>
      </c>
      <c r="P135" t="s">
        <v>13</v>
      </c>
      <c r="Q135" s="2" t="s">
        <v>1804</v>
      </c>
      <c r="R135" s="89">
        <v>3000000</v>
      </c>
      <c r="S135" s="67" t="s">
        <v>770</v>
      </c>
      <c r="T135" t="str">
        <f>_xlfn.XLOOKUP(M135,[2]Sheet1!$A:$A,[2]Sheet1!$E:$E)</f>
        <v>MALLS</v>
      </c>
      <c r="U135" s="63" t="s">
        <v>755</v>
      </c>
      <c r="V135" s="63" t="s">
        <v>27</v>
      </c>
      <c r="W135" s="67" t="s">
        <v>822</v>
      </c>
      <c r="Z135" s="1">
        <f>_xlfn.XLOOKUP(A135,'SAP Report'!A:A,'SAP Report'!C:C)</f>
        <v>3000000</v>
      </c>
      <c r="AA135" s="1">
        <f>HLOOKUP($A$4,$AV$6:$BG135,(2+BH134),FALSE)</f>
        <v>1281250.0099999998</v>
      </c>
      <c r="AB135" s="1">
        <f>SUMIF('Open PR PO'!A:A,Monitoring!A135,'Open PR PO'!K:K)</f>
        <v>802901.79</v>
      </c>
      <c r="AC135" s="1">
        <f t="shared" si="62"/>
        <v>2084151.7999999998</v>
      </c>
      <c r="AD135" s="1">
        <f t="shared" si="63"/>
        <v>915848.20000000019</v>
      </c>
      <c r="AE135" s="1">
        <f t="shared" si="64"/>
        <v>1718749.9900000002</v>
      </c>
      <c r="AF135" s="1"/>
      <c r="AG135" s="53">
        <f>SUMIFS(Actual!$F:$F,Actual!$N:$N,Monitoring!AG$6,Actual!$A:$A,Monitoring!$A135)</f>
        <v>0</v>
      </c>
      <c r="AH135" s="53">
        <f>SUMIFS(Actual!$F:$F,Actual!$N:$N,Monitoring!AH$6,Actual!$A:$A,Monitoring!$A135)</f>
        <v>0</v>
      </c>
      <c r="AI135" s="53">
        <f>SUMIFS(Actual!$F:$F,Actual!$N:$N,Monitoring!AI$6,Actual!$A:$A,Monitoring!$A135)</f>
        <v>0</v>
      </c>
      <c r="AJ135" s="53">
        <f>SUMIFS(Actual!$F:$F,Actual!$N:$N,Monitoring!AJ$6,Actual!$A:$A,Monitoring!$A135)</f>
        <v>285714.28999999998</v>
      </c>
      <c r="AK135" s="53">
        <f>SUMIFS(Actual!$F:$F,Actual!$N:$N,Monitoring!AK$6,Actual!$A:$A,Monitoring!$A135)</f>
        <v>357142.86</v>
      </c>
      <c r="AL135" s="53">
        <f>SUMIFS(Actual!$F:$F,Actual!$N:$N,Monitoring!AL$6,Actual!$A:$A,Monitoring!$A135)</f>
        <v>0</v>
      </c>
      <c r="AM135" s="53">
        <f>SUMIFS(Actual!$F:$F,Actual!$N:$N,Monitoring!AM$6,Actual!$A:$A,Monitoring!$A135)</f>
        <v>0</v>
      </c>
      <c r="AN135" s="53">
        <f>SUMIFS(Actual!$F:$F,Actual!$N:$N,Monitoring!AN$6,Actual!$A:$A,Monitoring!$A135)</f>
        <v>638392.86</v>
      </c>
      <c r="AO135" s="53">
        <f>SUMIFS(Actual!$F:$F,Actual!$N:$N,Monitoring!AO$6,Actual!$A:$A,Monitoring!$A135)</f>
        <v>0</v>
      </c>
      <c r="AP135" s="53">
        <f t="shared" si="44"/>
        <v>802901.79</v>
      </c>
      <c r="AQ135" s="53">
        <f t="shared" si="45"/>
        <v>457924.10000000009</v>
      </c>
      <c r="AR135" s="53">
        <f t="shared" si="46"/>
        <v>457924.10000000009</v>
      </c>
      <c r="AS135" s="1">
        <f t="shared" si="47"/>
        <v>3000000</v>
      </c>
      <c r="AT135" s="12">
        <f t="shared" si="48"/>
        <v>0</v>
      </c>
      <c r="AU135" s="1"/>
      <c r="AV135" s="53">
        <f t="shared" si="49"/>
        <v>0</v>
      </c>
      <c r="AW135" s="1">
        <f t="shared" si="50"/>
        <v>0</v>
      </c>
      <c r="AX135" s="1">
        <f t="shared" si="51"/>
        <v>0</v>
      </c>
      <c r="AY135" s="1">
        <f t="shared" si="52"/>
        <v>285714.28999999998</v>
      </c>
      <c r="AZ135" s="1">
        <f t="shared" si="53"/>
        <v>642857.14999999991</v>
      </c>
      <c r="BA135" s="1">
        <f t="shared" si="54"/>
        <v>642857.14999999991</v>
      </c>
      <c r="BB135" s="1">
        <f t="shared" si="55"/>
        <v>642857.14999999991</v>
      </c>
      <c r="BC135" s="1">
        <f t="shared" si="56"/>
        <v>1281250.0099999998</v>
      </c>
      <c r="BD135" s="1">
        <f t="shared" si="57"/>
        <v>1281250.0099999998</v>
      </c>
      <c r="BE135" s="1">
        <f t="shared" si="58"/>
        <v>2084151.7999999998</v>
      </c>
      <c r="BF135" s="1">
        <f t="shared" si="59"/>
        <v>2542075.9</v>
      </c>
      <c r="BG135" s="1">
        <f t="shared" si="60"/>
        <v>3000000</v>
      </c>
      <c r="BH135">
        <f t="shared" si="61"/>
        <v>129</v>
      </c>
    </row>
    <row r="136" spans="1:60" x14ac:dyDescent="0.35">
      <c r="A136">
        <v>40001287</v>
      </c>
      <c r="B136" t="str">
        <f t="shared" si="78"/>
        <v>GALLEON RESI MOCK-UP FLOOR AIR COOLER</v>
      </c>
      <c r="C136" t="s">
        <v>861</v>
      </c>
      <c r="D136" t="s">
        <v>861</v>
      </c>
      <c r="E136" t="s">
        <v>2129</v>
      </c>
      <c r="F136" s="72" t="s">
        <v>1814</v>
      </c>
      <c r="G136" t="s">
        <v>1</v>
      </c>
      <c r="H136" t="s">
        <v>1823</v>
      </c>
      <c r="I136">
        <v>1360</v>
      </c>
      <c r="J136" t="s">
        <v>1825</v>
      </c>
      <c r="K136" s="3">
        <f t="shared" si="79"/>
        <v>37</v>
      </c>
      <c r="L136" s="3" t="str">
        <f t="shared" si="80"/>
        <v>8000</v>
      </c>
      <c r="M136">
        <v>80334104</v>
      </c>
      <c r="N136" s="3" t="str">
        <f>_xlfn.XLOOKUP(M136,[2]Sheet1!$A:$A,[2]Sheet1!$D:$D)</f>
        <v>GALLEON RESI TOWER</v>
      </c>
      <c r="O136" t="s">
        <v>1826</v>
      </c>
      <c r="P136" t="s">
        <v>1827</v>
      </c>
      <c r="Q136" s="2" t="s">
        <v>1824</v>
      </c>
      <c r="R136" s="1">
        <v>12491.01</v>
      </c>
      <c r="S136" s="67">
        <v>46026</v>
      </c>
      <c r="T136" t="str">
        <f>_xlfn.XLOOKUP(M136,[2]Sheet1!$A:$A,[2]Sheet1!$E:$E)</f>
        <v>RESIDENTIAL</v>
      </c>
      <c r="U136" s="67" t="s">
        <v>1859</v>
      </c>
      <c r="V136" s="63" t="s">
        <v>92</v>
      </c>
      <c r="W136" s="67" t="s">
        <v>1858</v>
      </c>
      <c r="X136" s="63" t="s">
        <v>1860</v>
      </c>
      <c r="Z136" s="1">
        <f>_xlfn.XLOOKUP(A136,'SAP Report'!A:A,'SAP Report'!C:C)</f>
        <v>12491.08</v>
      </c>
      <c r="AA136" s="1">
        <f>HLOOKUP($A$4,$AV$6:$BG136,(2+BH135),FALSE)</f>
        <v>12491.08</v>
      </c>
      <c r="AB136" s="1">
        <f>SUMIF('Open PR PO'!A:A,Monitoring!A136,'Open PR PO'!K:K)</f>
        <v>0</v>
      </c>
      <c r="AC136" s="1">
        <f t="shared" si="62"/>
        <v>12491.08</v>
      </c>
      <c r="AD136" s="1">
        <f t="shared" si="63"/>
        <v>0</v>
      </c>
      <c r="AE136" s="1">
        <f t="shared" si="64"/>
        <v>0</v>
      </c>
      <c r="AF136" s="1"/>
      <c r="AG136" s="53">
        <f>SUMIFS(Actual!$F:$F,Actual!$N:$N,Monitoring!AG$6,Actual!$A:$A,Monitoring!$A136)</f>
        <v>0</v>
      </c>
      <c r="AH136" s="53">
        <f>SUMIFS(Actual!$F:$F,Actual!$N:$N,Monitoring!AH$6,Actual!$A:$A,Monitoring!$A136)</f>
        <v>0</v>
      </c>
      <c r="AI136" s="53">
        <f>SUMIFS(Actual!$F:$F,Actual!$N:$N,Monitoring!AI$6,Actual!$A:$A,Monitoring!$A136)</f>
        <v>0</v>
      </c>
      <c r="AJ136" s="53">
        <f>SUMIFS(Actual!$F:$F,Actual!$N:$N,Monitoring!AJ$6,Actual!$A:$A,Monitoring!$A136)</f>
        <v>0</v>
      </c>
      <c r="AK136" s="53">
        <f>SUMIFS(Actual!$F:$F,Actual!$N:$N,Monitoring!AK$6,Actual!$A:$A,Monitoring!$A136)</f>
        <v>12491.08</v>
      </c>
      <c r="AL136" s="53">
        <f>SUMIFS(Actual!$F:$F,Actual!$N:$N,Monitoring!AL$6,Actual!$A:$A,Monitoring!$A136)</f>
        <v>0</v>
      </c>
      <c r="AM136" s="53">
        <f>SUMIFS(Actual!$F:$F,Actual!$N:$N,Monitoring!AM$6,Actual!$A:$A,Monitoring!$A136)</f>
        <v>0</v>
      </c>
      <c r="AN136" s="53">
        <f>SUMIFS(Actual!$F:$F,Actual!$N:$N,Monitoring!AN$6,Actual!$A:$A,Monitoring!$A136)</f>
        <v>0</v>
      </c>
      <c r="AO136" s="53">
        <f>SUMIFS(Actual!$F:$F,Actual!$N:$N,Monitoring!AO$6,Actual!$A:$A,Monitoring!$A136)</f>
        <v>0</v>
      </c>
      <c r="AP136" s="53">
        <f t="shared" ref="AP136:AP184" si="81">AB136</f>
        <v>0</v>
      </c>
      <c r="AQ136" s="53">
        <f t="shared" ref="AQ136:AQ184" si="82">AD136/2</f>
        <v>0</v>
      </c>
      <c r="AR136" s="53">
        <f t="shared" ref="AR136:AR184" si="83">AQ136</f>
        <v>0</v>
      </c>
      <c r="AS136" s="1">
        <f t="shared" ref="AS136:AS178" si="84">SUM(AG136:AR136)</f>
        <v>12491.08</v>
      </c>
      <c r="AT136" s="12">
        <f t="shared" ref="AT136:AT178" si="85">Z136-AS136</f>
        <v>0</v>
      </c>
      <c r="AU136" s="1"/>
      <c r="AV136" s="53">
        <f t="shared" ref="AV136:AV184" si="86">AG136</f>
        <v>0</v>
      </c>
      <c r="AW136" s="1">
        <f t="shared" ref="AW136:AW184" si="87">AV136+AH136</f>
        <v>0</v>
      </c>
      <c r="AX136" s="1">
        <f t="shared" ref="AX136:AX184" si="88">AW136+AI136</f>
        <v>0</v>
      </c>
      <c r="AY136" s="1">
        <f t="shared" ref="AY136:AY184" si="89">AX136+AJ136</f>
        <v>0</v>
      </c>
      <c r="AZ136" s="1">
        <f t="shared" ref="AZ136:AZ184" si="90">AY136+AK136</f>
        <v>12491.08</v>
      </c>
      <c r="BA136" s="1">
        <f t="shared" ref="BA136:BA184" si="91">AZ136+AL136</f>
        <v>12491.08</v>
      </c>
      <c r="BB136" s="1">
        <f t="shared" ref="BB136:BB184" si="92">BA136+AM136</f>
        <v>12491.08</v>
      </c>
      <c r="BC136" s="1">
        <f t="shared" ref="BC136:BC184" si="93">BB136+AN136</f>
        <v>12491.08</v>
      </c>
      <c r="BD136" s="1">
        <f t="shared" ref="BD136:BD184" si="94">BC136+AO136</f>
        <v>12491.08</v>
      </c>
      <c r="BE136" s="1">
        <f t="shared" ref="BE136:BE184" si="95">BD136+AP136</f>
        <v>12491.08</v>
      </c>
      <c r="BF136" s="1">
        <f t="shared" ref="BF136:BF184" si="96">BE136+AQ136</f>
        <v>12491.08</v>
      </c>
      <c r="BG136" s="1">
        <f t="shared" ref="BG136:BG184" si="97">BF136+AR136</f>
        <v>12491.08</v>
      </c>
      <c r="BH136">
        <f t="shared" ref="BH136:BH184" si="98">BH135+1</f>
        <v>130</v>
      </c>
    </row>
    <row r="137" spans="1:60" x14ac:dyDescent="0.35">
      <c r="A137">
        <v>40001286</v>
      </c>
      <c r="B137" t="str">
        <f t="shared" si="78"/>
        <v>2026 RAV 4 CVT HEV C.MILLS</v>
      </c>
      <c r="C137" t="s">
        <v>85</v>
      </c>
      <c r="D137" t="s">
        <v>0</v>
      </c>
      <c r="E137" t="s">
        <v>731</v>
      </c>
      <c r="F137" s="72" t="s">
        <v>1814</v>
      </c>
      <c r="G137" t="s">
        <v>1</v>
      </c>
      <c r="H137" t="s">
        <v>2</v>
      </c>
      <c r="I137">
        <v>1501</v>
      </c>
      <c r="J137" t="s">
        <v>1830</v>
      </c>
      <c r="K137" s="3">
        <f t="shared" si="79"/>
        <v>26</v>
      </c>
      <c r="L137" s="3" t="str">
        <f t="shared" si="80"/>
        <v>8100</v>
      </c>
      <c r="M137">
        <v>81123102</v>
      </c>
      <c r="N137" s="3" t="str">
        <f>_xlfn.XLOOKUP(M137,[2]Sheet1!$A:$A,[2]Sheet1!$D:$D)</f>
        <v>ADMIN SERVICES</v>
      </c>
      <c r="O137" t="s">
        <v>150</v>
      </c>
      <c r="P137" t="s">
        <v>6</v>
      </c>
      <c r="Q137" s="2" t="s">
        <v>2123</v>
      </c>
      <c r="R137" s="1">
        <v>2203571.4500000002</v>
      </c>
      <c r="S137" s="67">
        <v>46207</v>
      </c>
      <c r="T137" t="str">
        <f>_xlfn.XLOOKUP(M137,[2]Sheet1!$A:$A,[2]Sheet1!$E:$E)</f>
        <v>CORPORATE</v>
      </c>
      <c r="U137" s="64" t="s">
        <v>1829</v>
      </c>
      <c r="V137" s="63" t="s">
        <v>92</v>
      </c>
      <c r="W137" s="67">
        <v>46207</v>
      </c>
      <c r="X137" s="63" t="s">
        <v>3097</v>
      </c>
      <c r="Z137" s="1">
        <f>_xlfn.XLOOKUP(A137,'SAP Report'!A:A,'SAP Report'!C:C)</f>
        <v>2203571.4500000002</v>
      </c>
      <c r="AA137" s="1">
        <f>HLOOKUP($A$4,$AV$6:$BG137,(2+BH136),FALSE)</f>
        <v>0</v>
      </c>
      <c r="AB137" s="1">
        <f>SUMIF('Open PR PO'!A:A,Monitoring!A137,'Open PR PO'!K:K)</f>
        <v>2203571.4300000002</v>
      </c>
      <c r="AC137" s="1">
        <f t="shared" ref="AC137:AC165" si="99">AA137+AB137</f>
        <v>2203571.4300000002</v>
      </c>
      <c r="AD137" s="1">
        <f t="shared" ref="AD137:AD165" si="100">Z137-AC137</f>
        <v>2.0000000018626451E-2</v>
      </c>
      <c r="AE137" s="1">
        <f t="shared" ref="AE137:AE165" si="101">Z137-AA137</f>
        <v>2203571.4500000002</v>
      </c>
      <c r="AF137" s="1"/>
      <c r="AG137" s="53">
        <f>SUMIFS(Actual!$F:$F,Actual!$N:$N,Monitoring!AG$6,Actual!$A:$A,Monitoring!$A137)</f>
        <v>0</v>
      </c>
      <c r="AH137" s="53">
        <f>SUMIFS(Actual!$F:$F,Actual!$N:$N,Monitoring!AH$6,Actual!$A:$A,Monitoring!$A137)</f>
        <v>0</v>
      </c>
      <c r="AI137" s="53">
        <f>SUMIFS(Actual!$F:$F,Actual!$N:$N,Monitoring!AI$6,Actual!$A:$A,Monitoring!$A137)</f>
        <v>0</v>
      </c>
      <c r="AJ137" s="53">
        <f>SUMIFS(Actual!$F:$F,Actual!$N:$N,Monitoring!AJ$6,Actual!$A:$A,Monitoring!$A137)</f>
        <v>0</v>
      </c>
      <c r="AK137" s="53">
        <f>SUMIFS(Actual!$F:$F,Actual!$N:$N,Monitoring!AK$6,Actual!$A:$A,Monitoring!$A137)</f>
        <v>0</v>
      </c>
      <c r="AL137" s="53">
        <f>SUMIFS(Actual!$F:$F,Actual!$N:$N,Monitoring!AL$6,Actual!$A:$A,Monitoring!$A137)</f>
        <v>0</v>
      </c>
      <c r="AM137" s="53">
        <f>SUMIFS(Actual!$F:$F,Actual!$N:$N,Monitoring!AM$6,Actual!$A:$A,Monitoring!$A137)</f>
        <v>0</v>
      </c>
      <c r="AN137" s="53">
        <f>SUMIFS(Actual!$F:$F,Actual!$N:$N,Monitoring!AN$6,Actual!$A:$A,Monitoring!$A137)</f>
        <v>0</v>
      </c>
      <c r="AO137" s="53">
        <f>SUMIFS(Actual!$F:$F,Actual!$N:$N,Monitoring!AO$6,Actual!$A:$A,Monitoring!$A137)</f>
        <v>0</v>
      </c>
      <c r="AP137" s="53">
        <f t="shared" si="81"/>
        <v>2203571.4300000002</v>
      </c>
      <c r="AQ137" s="53">
        <f t="shared" si="82"/>
        <v>1.0000000009313226E-2</v>
      </c>
      <c r="AR137" s="53">
        <f t="shared" si="83"/>
        <v>1.0000000009313226E-2</v>
      </c>
      <c r="AS137" s="1">
        <f t="shared" si="84"/>
        <v>2203571.4500000002</v>
      </c>
      <c r="AT137" s="12">
        <f t="shared" si="85"/>
        <v>0</v>
      </c>
      <c r="AU137" s="1"/>
      <c r="AV137" s="53">
        <f t="shared" si="86"/>
        <v>0</v>
      </c>
      <c r="AW137" s="1">
        <f t="shared" si="87"/>
        <v>0</v>
      </c>
      <c r="AX137" s="1">
        <f t="shared" si="88"/>
        <v>0</v>
      </c>
      <c r="AY137" s="1">
        <f t="shared" si="89"/>
        <v>0</v>
      </c>
      <c r="AZ137" s="1">
        <f t="shared" si="90"/>
        <v>0</v>
      </c>
      <c r="BA137" s="1">
        <f t="shared" si="91"/>
        <v>0</v>
      </c>
      <c r="BB137" s="1">
        <f t="shared" si="92"/>
        <v>0</v>
      </c>
      <c r="BC137" s="1">
        <f t="shared" si="93"/>
        <v>0</v>
      </c>
      <c r="BD137" s="1">
        <f t="shared" si="94"/>
        <v>0</v>
      </c>
      <c r="BE137" s="1">
        <f t="shared" si="95"/>
        <v>2203571.4300000002</v>
      </c>
      <c r="BF137" s="1">
        <f t="shared" si="96"/>
        <v>2203571.4400000004</v>
      </c>
      <c r="BG137" s="1">
        <f t="shared" si="97"/>
        <v>2203571.4500000002</v>
      </c>
      <c r="BH137">
        <f t="shared" si="98"/>
        <v>131</v>
      </c>
    </row>
    <row r="138" spans="1:60" x14ac:dyDescent="0.35">
      <c r="A138">
        <v>10001450</v>
      </c>
      <c r="B138" t="str">
        <f t="shared" si="78"/>
        <v>ES COVERED WALKWAY</v>
      </c>
      <c r="C138" t="s">
        <v>9</v>
      </c>
      <c r="D138" t="s">
        <v>9</v>
      </c>
      <c r="E138" t="s">
        <v>1845</v>
      </c>
      <c r="F138" s="72" t="s">
        <v>1814</v>
      </c>
      <c r="G138" t="s">
        <v>1</v>
      </c>
      <c r="H138" t="s">
        <v>3221</v>
      </c>
      <c r="I138">
        <v>1100</v>
      </c>
      <c r="J138" t="s">
        <v>1834</v>
      </c>
      <c r="K138" s="3">
        <f t="shared" si="79"/>
        <v>18</v>
      </c>
      <c r="L138" s="3" t="str">
        <f t="shared" si="80"/>
        <v>8100</v>
      </c>
      <c r="M138">
        <v>81225101</v>
      </c>
      <c r="N138" s="3" t="str">
        <f>_xlfn.XLOOKUP(M138,[2]Sheet1!$A:$A,[2]Sheet1!$D:$D)</f>
        <v>ESTANCIA RETAIL</v>
      </c>
      <c r="O138" t="s">
        <v>19</v>
      </c>
      <c r="P138" t="s">
        <v>20</v>
      </c>
      <c r="Q138" s="2" t="s">
        <v>1831</v>
      </c>
      <c r="R138" s="89">
        <v>7000000</v>
      </c>
      <c r="S138" s="67" t="s">
        <v>1835</v>
      </c>
      <c r="T138" t="str">
        <f>_xlfn.XLOOKUP(M138,[2]Sheet1!$A:$A,[2]Sheet1!$E:$E)</f>
        <v>MALLS</v>
      </c>
      <c r="U138" s="67" t="s">
        <v>1796</v>
      </c>
      <c r="V138" s="67" t="s">
        <v>1836</v>
      </c>
      <c r="W138" s="67" t="s">
        <v>1835</v>
      </c>
      <c r="X138" s="63" t="s">
        <v>1837</v>
      </c>
      <c r="Z138" s="1">
        <f>_xlfn.XLOOKUP(A138,'SAP Report'!A:A,'SAP Report'!C:C)</f>
        <v>7000000</v>
      </c>
      <c r="AA138" s="1">
        <f>HLOOKUP($A$4,$AV$6:$BG138,(2+BH137),FALSE)</f>
        <v>144642.85999999999</v>
      </c>
      <c r="AB138" s="1">
        <f>SUMIF('Open PR PO'!A:A,Monitoring!A138,'Open PR PO'!K:K)</f>
        <v>3587500</v>
      </c>
      <c r="AC138" s="1">
        <f t="shared" si="99"/>
        <v>3732142.86</v>
      </c>
      <c r="AD138" s="1">
        <f t="shared" si="100"/>
        <v>3267857.14</v>
      </c>
      <c r="AE138" s="1">
        <f t="shared" si="101"/>
        <v>6855357.1399999997</v>
      </c>
      <c r="AF138" s="1"/>
      <c r="AG138" s="53">
        <f>SUMIFS(Actual!$F:$F,Actual!$N:$N,Monitoring!AG$6,Actual!$A:$A,Monitoring!$A138)</f>
        <v>0</v>
      </c>
      <c r="AH138" s="53">
        <f>SUMIFS(Actual!$F:$F,Actual!$N:$N,Monitoring!AH$6,Actual!$A:$A,Monitoring!$A138)</f>
        <v>0</v>
      </c>
      <c r="AI138" s="53">
        <f>SUMIFS(Actual!$F:$F,Actual!$N:$N,Monitoring!AI$6,Actual!$A:$A,Monitoring!$A138)</f>
        <v>0</v>
      </c>
      <c r="AJ138" s="53">
        <f>SUMIFS(Actual!$F:$F,Actual!$N:$N,Monitoring!AJ$6,Actual!$A:$A,Monitoring!$A138)</f>
        <v>0</v>
      </c>
      <c r="AK138" s="53">
        <f>SUMIFS(Actual!$F:$F,Actual!$N:$N,Monitoring!AK$6,Actual!$A:$A,Monitoring!$A138)</f>
        <v>0</v>
      </c>
      <c r="AL138" s="53">
        <f>SUMIFS(Actual!$F:$F,Actual!$N:$N,Monitoring!AL$6,Actual!$A:$A,Monitoring!$A138)</f>
        <v>0</v>
      </c>
      <c r="AM138" s="53">
        <f>SUMIFS(Actual!$F:$F,Actual!$N:$N,Monitoring!AM$6,Actual!$A:$A,Monitoring!$A138)</f>
        <v>144642.85999999999</v>
      </c>
      <c r="AN138" s="53">
        <f>SUMIFS(Actual!$F:$F,Actual!$N:$N,Monitoring!AN$6,Actual!$A:$A,Monitoring!$A138)</f>
        <v>0</v>
      </c>
      <c r="AO138" s="53">
        <f>SUMIFS(Actual!$F:$F,Actual!$N:$N,Monitoring!AO$6,Actual!$A:$A,Monitoring!$A138)</f>
        <v>0</v>
      </c>
      <c r="AP138" s="53">
        <f t="shared" si="81"/>
        <v>3587500</v>
      </c>
      <c r="AQ138" s="53">
        <f t="shared" si="82"/>
        <v>1633928.57</v>
      </c>
      <c r="AR138" s="53">
        <f t="shared" si="83"/>
        <v>1633928.57</v>
      </c>
      <c r="AS138" s="1">
        <f t="shared" si="84"/>
        <v>7000000</v>
      </c>
      <c r="AT138" s="12">
        <f t="shared" si="85"/>
        <v>0</v>
      </c>
      <c r="AU138" s="1"/>
      <c r="AV138" s="53">
        <f t="shared" si="86"/>
        <v>0</v>
      </c>
      <c r="AW138" s="1">
        <f t="shared" si="87"/>
        <v>0</v>
      </c>
      <c r="AX138" s="1">
        <f t="shared" si="88"/>
        <v>0</v>
      </c>
      <c r="AY138" s="1">
        <f t="shared" si="89"/>
        <v>0</v>
      </c>
      <c r="AZ138" s="1">
        <f t="shared" si="90"/>
        <v>0</v>
      </c>
      <c r="BA138" s="1">
        <f t="shared" si="91"/>
        <v>0</v>
      </c>
      <c r="BB138" s="1">
        <f t="shared" si="92"/>
        <v>144642.85999999999</v>
      </c>
      <c r="BC138" s="1">
        <f t="shared" si="93"/>
        <v>144642.85999999999</v>
      </c>
      <c r="BD138" s="1">
        <f t="shared" si="94"/>
        <v>144642.85999999999</v>
      </c>
      <c r="BE138" s="1">
        <f t="shared" si="95"/>
        <v>3732142.86</v>
      </c>
      <c r="BF138" s="1">
        <f t="shared" si="96"/>
        <v>5366071.43</v>
      </c>
      <c r="BG138" s="1">
        <f t="shared" si="97"/>
        <v>7000000</v>
      </c>
      <c r="BH138">
        <f t="shared" si="98"/>
        <v>132</v>
      </c>
    </row>
    <row r="139" spans="1:60" x14ac:dyDescent="0.35">
      <c r="A139">
        <v>10001451</v>
      </c>
      <c r="B139" t="str">
        <f t="shared" si="78"/>
        <v>ESTANCIA TOWERS - PH 0</v>
      </c>
      <c r="C139" t="s">
        <v>93</v>
      </c>
      <c r="D139" t="s">
        <v>93</v>
      </c>
      <c r="E139" t="s">
        <v>1838</v>
      </c>
      <c r="F139" s="72" t="s">
        <v>1813</v>
      </c>
      <c r="G139" t="s">
        <v>1</v>
      </c>
      <c r="H139" t="s">
        <v>1848</v>
      </c>
      <c r="I139">
        <v>1010</v>
      </c>
      <c r="J139" t="s">
        <v>1841</v>
      </c>
      <c r="K139" s="3">
        <f t="shared" si="79"/>
        <v>22</v>
      </c>
      <c r="L139" s="3" t="str">
        <f t="shared" si="80"/>
        <v>8100</v>
      </c>
      <c r="M139">
        <v>81323403</v>
      </c>
      <c r="N139" s="3" t="str">
        <f>_xlfn.XLOOKUP(M139,[2]Sheet1!$A:$A,[2]Sheet1!$D:$D)</f>
        <v>CC TOWER</v>
      </c>
      <c r="O139" t="s">
        <v>1842</v>
      </c>
      <c r="P139" t="s">
        <v>1843</v>
      </c>
      <c r="Q139" s="2" t="s">
        <v>1839</v>
      </c>
      <c r="R139" s="1">
        <v>8928571.4299999997</v>
      </c>
      <c r="S139" s="67" t="s">
        <v>1835</v>
      </c>
      <c r="T139" t="str">
        <f>_xlfn.XLOOKUP(M139,[2]Sheet1!$A:$A,[2]Sheet1!$E:$E)</f>
        <v>OFFICES</v>
      </c>
      <c r="U139" s="67" t="s">
        <v>1796</v>
      </c>
      <c r="V139" s="67" t="s">
        <v>1840</v>
      </c>
      <c r="W139" s="67" t="s">
        <v>1835</v>
      </c>
      <c r="X139" s="63" t="s">
        <v>1844</v>
      </c>
      <c r="Z139" s="1">
        <f>_xlfn.XLOOKUP(A139,'SAP Report'!A:A,'SAP Report'!C:C)</f>
        <v>8928571.4299999997</v>
      </c>
      <c r="AA139" s="1">
        <f>HLOOKUP($A$4,$AV$6:$BG139,(2+BH138),FALSE)</f>
        <v>1422857.1400000001</v>
      </c>
      <c r="AB139" s="1">
        <f>SUMIF('Open PR PO'!A:A,Monitoring!A139,'Open PR PO'!K:K)</f>
        <v>3780714.2800000003</v>
      </c>
      <c r="AC139" s="1">
        <f t="shared" si="99"/>
        <v>5203571.42</v>
      </c>
      <c r="AD139" s="1">
        <f t="shared" si="100"/>
        <v>3725000.01</v>
      </c>
      <c r="AE139" s="1">
        <f t="shared" si="101"/>
        <v>7505714.2899999991</v>
      </c>
      <c r="AF139" s="1"/>
      <c r="AG139" s="53">
        <f>SUMIFS(Actual!$F:$F,Actual!$N:$N,Monitoring!AG$6,Actual!$A:$A,Monitoring!$A139)</f>
        <v>0</v>
      </c>
      <c r="AH139" s="53">
        <f>SUMIFS(Actual!$F:$F,Actual!$N:$N,Monitoring!AH$6,Actual!$A:$A,Monitoring!$A139)</f>
        <v>0</v>
      </c>
      <c r="AI139" s="53">
        <f>SUMIFS(Actual!$F:$F,Actual!$N:$N,Monitoring!AI$6,Actual!$A:$A,Monitoring!$A139)</f>
        <v>0</v>
      </c>
      <c r="AJ139" s="53">
        <f>SUMIFS(Actual!$F:$F,Actual!$N:$N,Monitoring!AJ$6,Actual!$A:$A,Monitoring!$A139)</f>
        <v>0</v>
      </c>
      <c r="AK139" s="53">
        <f>SUMIFS(Actual!$F:$F,Actual!$N:$N,Monitoring!AK$6,Actual!$A:$A,Monitoring!$A139)</f>
        <v>0</v>
      </c>
      <c r="AL139" s="53">
        <f>SUMIFS(Actual!$F:$F,Actual!$N:$N,Monitoring!AL$6,Actual!$A:$A,Monitoring!$A139)</f>
        <v>1250000</v>
      </c>
      <c r="AM139" s="53">
        <f>SUMIFS(Actual!$F:$F,Actual!$N:$N,Monitoring!AM$6,Actual!$A:$A,Monitoring!$A139)</f>
        <v>0</v>
      </c>
      <c r="AN139" s="53">
        <f>SUMIFS(Actual!$F:$F,Actual!$N:$N,Monitoring!AN$6,Actual!$A:$A,Monitoring!$A139)</f>
        <v>172857.14</v>
      </c>
      <c r="AO139" s="53">
        <f>SUMIFS(Actual!$F:$F,Actual!$N:$N,Monitoring!AO$6,Actual!$A:$A,Monitoring!$A139)</f>
        <v>0</v>
      </c>
      <c r="AP139" s="53">
        <f t="shared" si="81"/>
        <v>3780714.2800000003</v>
      </c>
      <c r="AQ139" s="53">
        <f t="shared" si="82"/>
        <v>1862500.0049999999</v>
      </c>
      <c r="AR139" s="53">
        <f t="shared" si="83"/>
        <v>1862500.0049999999</v>
      </c>
      <c r="AS139" s="1">
        <f t="shared" si="84"/>
        <v>8928571.4299999997</v>
      </c>
      <c r="AT139" s="12">
        <f t="shared" si="85"/>
        <v>0</v>
      </c>
      <c r="AU139" s="1"/>
      <c r="AV139" s="53">
        <f t="shared" si="86"/>
        <v>0</v>
      </c>
      <c r="AW139" s="1">
        <f t="shared" si="87"/>
        <v>0</v>
      </c>
      <c r="AX139" s="1">
        <f t="shared" si="88"/>
        <v>0</v>
      </c>
      <c r="AY139" s="1">
        <f t="shared" si="89"/>
        <v>0</v>
      </c>
      <c r="AZ139" s="1">
        <f t="shared" si="90"/>
        <v>0</v>
      </c>
      <c r="BA139" s="1">
        <f t="shared" si="91"/>
        <v>1250000</v>
      </c>
      <c r="BB139" s="1">
        <f t="shared" si="92"/>
        <v>1250000</v>
      </c>
      <c r="BC139" s="1">
        <f t="shared" si="93"/>
        <v>1422857.1400000001</v>
      </c>
      <c r="BD139" s="1">
        <f t="shared" si="94"/>
        <v>1422857.1400000001</v>
      </c>
      <c r="BE139" s="1">
        <f t="shared" si="95"/>
        <v>5203571.42</v>
      </c>
      <c r="BF139" s="1">
        <f t="shared" si="96"/>
        <v>7066071.4249999998</v>
      </c>
      <c r="BG139" s="1">
        <f t="shared" si="97"/>
        <v>8928571.4299999997</v>
      </c>
      <c r="BH139">
        <f t="shared" si="98"/>
        <v>133</v>
      </c>
    </row>
    <row r="140" spans="1:60" x14ac:dyDescent="0.35">
      <c r="A140">
        <v>10001452</v>
      </c>
      <c r="B140" t="str">
        <f t="shared" si="78"/>
        <v>MCKINLEY TO GH MALL ACCESS UPDATE</v>
      </c>
      <c r="C140" t="s">
        <v>9</v>
      </c>
      <c r="D140" t="s">
        <v>9</v>
      </c>
      <c r="E140" t="s">
        <v>1846</v>
      </c>
      <c r="F140" s="72" t="s">
        <v>1814</v>
      </c>
      <c r="G140" t="s">
        <v>1</v>
      </c>
      <c r="H140" t="s">
        <v>3221</v>
      </c>
      <c r="I140">
        <v>1100</v>
      </c>
      <c r="J140" t="s">
        <v>1847</v>
      </c>
      <c r="K140" s="3">
        <f t="shared" si="79"/>
        <v>33</v>
      </c>
      <c r="L140" s="3" t="str">
        <f t="shared" si="80"/>
        <v>8100</v>
      </c>
      <c r="M140" s="5">
        <v>81221701</v>
      </c>
      <c r="N140" s="3" t="str">
        <f>_xlfn.XLOOKUP(M140,[2]Sheet1!$A:$A,[2]Sheet1!$D:$D)</f>
        <v>GH PHASE 1 MALL</v>
      </c>
      <c r="O140" t="s">
        <v>807</v>
      </c>
      <c r="P140" t="s">
        <v>13</v>
      </c>
      <c r="Q140" s="2" t="s">
        <v>3440</v>
      </c>
      <c r="R140" s="89">
        <f>9000000-900000-1000000</f>
        <v>7100000</v>
      </c>
      <c r="S140" s="67" t="s">
        <v>1835</v>
      </c>
      <c r="T140" t="str">
        <f>_xlfn.XLOOKUP(M140,[2]Sheet1!$A:$A,[2]Sheet1!$E:$E)</f>
        <v>MALLS</v>
      </c>
      <c r="U140" s="67" t="s">
        <v>1796</v>
      </c>
      <c r="V140" s="63" t="s">
        <v>23</v>
      </c>
      <c r="W140" s="67" t="s">
        <v>1835</v>
      </c>
      <c r="X140" s="63" t="s">
        <v>3443</v>
      </c>
      <c r="Z140" s="1">
        <f>_xlfn.XLOOKUP(A140,'SAP Report'!A:A,'SAP Report'!C:C)</f>
        <v>8100000</v>
      </c>
      <c r="AA140" s="1">
        <f>HLOOKUP($A$4,$AV$6:$BG140,(2+BH139),FALSE)</f>
        <v>218750</v>
      </c>
      <c r="AB140" s="1">
        <f>SUMIF('Open PR PO'!A:A,Monitoring!A140,'Open PR PO'!K:K)</f>
        <v>5257936.5</v>
      </c>
      <c r="AC140" s="1">
        <f t="shared" si="99"/>
        <v>5476686.5</v>
      </c>
      <c r="AD140" s="1">
        <f t="shared" si="100"/>
        <v>2623313.5</v>
      </c>
      <c r="AE140" s="1">
        <f t="shared" si="101"/>
        <v>7881250</v>
      </c>
      <c r="AF140" s="1"/>
      <c r="AG140" s="53">
        <f>SUMIFS(Actual!$F:$F,Actual!$N:$N,Monitoring!AG$6,Actual!$A:$A,Monitoring!$A140)</f>
        <v>0</v>
      </c>
      <c r="AH140" s="53">
        <f>SUMIFS(Actual!$F:$F,Actual!$N:$N,Monitoring!AH$6,Actual!$A:$A,Monitoring!$A140)</f>
        <v>0</v>
      </c>
      <c r="AI140" s="53">
        <f>SUMIFS(Actual!$F:$F,Actual!$N:$N,Monitoring!AI$6,Actual!$A:$A,Monitoring!$A140)</f>
        <v>0</v>
      </c>
      <c r="AJ140" s="53">
        <f>SUMIFS(Actual!$F:$F,Actual!$N:$N,Monitoring!AJ$6,Actual!$A:$A,Monitoring!$A140)</f>
        <v>0</v>
      </c>
      <c r="AK140" s="53">
        <f>SUMIFS(Actual!$F:$F,Actual!$N:$N,Monitoring!AK$6,Actual!$A:$A,Monitoring!$A140)</f>
        <v>0</v>
      </c>
      <c r="AL140" s="53">
        <f>SUMIFS(Actual!$F:$F,Actual!$N:$N,Monitoring!AL$6,Actual!$A:$A,Monitoring!$A140)</f>
        <v>218750</v>
      </c>
      <c r="AM140" s="53">
        <f>SUMIFS(Actual!$F:$F,Actual!$N:$N,Monitoring!AM$6,Actual!$A:$A,Monitoring!$A140)</f>
        <v>0</v>
      </c>
      <c r="AN140" s="53">
        <f>SUMIFS(Actual!$F:$F,Actual!$N:$N,Monitoring!AN$6,Actual!$A:$A,Monitoring!$A140)</f>
        <v>0</v>
      </c>
      <c r="AO140" s="53">
        <f>SUMIFS(Actual!$F:$F,Actual!$N:$N,Monitoring!AO$6,Actual!$A:$A,Monitoring!$A140)</f>
        <v>0</v>
      </c>
      <c r="AP140" s="53">
        <f t="shared" si="81"/>
        <v>5257936.5</v>
      </c>
      <c r="AQ140" s="53">
        <f t="shared" si="82"/>
        <v>1311656.75</v>
      </c>
      <c r="AR140" s="53">
        <f t="shared" si="83"/>
        <v>1311656.75</v>
      </c>
      <c r="AS140" s="1">
        <f t="shared" si="84"/>
        <v>8100000</v>
      </c>
      <c r="AT140" s="12">
        <f t="shared" si="85"/>
        <v>0</v>
      </c>
      <c r="AU140" s="1"/>
      <c r="AV140" s="53">
        <f t="shared" si="86"/>
        <v>0</v>
      </c>
      <c r="AW140" s="1">
        <f t="shared" si="87"/>
        <v>0</v>
      </c>
      <c r="AX140" s="1">
        <f t="shared" si="88"/>
        <v>0</v>
      </c>
      <c r="AY140" s="1">
        <f t="shared" si="89"/>
        <v>0</v>
      </c>
      <c r="AZ140" s="1">
        <f t="shared" si="90"/>
        <v>0</v>
      </c>
      <c r="BA140" s="1">
        <f t="shared" si="91"/>
        <v>218750</v>
      </c>
      <c r="BB140" s="1">
        <f t="shared" si="92"/>
        <v>218750</v>
      </c>
      <c r="BC140" s="1">
        <f t="shared" si="93"/>
        <v>218750</v>
      </c>
      <c r="BD140" s="1">
        <f t="shared" si="94"/>
        <v>218750</v>
      </c>
      <c r="BE140" s="1">
        <f t="shared" si="95"/>
        <v>5476686.5</v>
      </c>
      <c r="BF140" s="1">
        <f t="shared" si="96"/>
        <v>6788343.25</v>
      </c>
      <c r="BG140" s="1">
        <f t="shared" si="97"/>
        <v>8100000</v>
      </c>
      <c r="BH140">
        <f t="shared" si="98"/>
        <v>134</v>
      </c>
    </row>
    <row r="141" spans="1:60" x14ac:dyDescent="0.35">
      <c r="A141">
        <v>10001453</v>
      </c>
      <c r="B141" t="str">
        <f t="shared" si="78"/>
        <v>SHOPPESVILLE AHU COOLING COILS REPLACEMENT</v>
      </c>
      <c r="C141" t="s">
        <v>9</v>
      </c>
      <c r="D141" t="s">
        <v>9</v>
      </c>
      <c r="E141" t="s">
        <v>693</v>
      </c>
      <c r="F141" s="72" t="s">
        <v>1814</v>
      </c>
      <c r="G141" t="s">
        <v>1</v>
      </c>
      <c r="H141" t="s">
        <v>552</v>
      </c>
      <c r="I141">
        <v>1110</v>
      </c>
      <c r="J141" t="s">
        <v>1849</v>
      </c>
      <c r="K141" s="3">
        <f t="shared" si="79"/>
        <v>42</v>
      </c>
      <c r="L141" s="3" t="str">
        <f t="shared" si="80"/>
        <v>8100</v>
      </c>
      <c r="M141" s="5">
        <v>81221604</v>
      </c>
      <c r="N141" s="3" t="str">
        <f>_xlfn.XLOOKUP(M141,[2]Sheet1!$A:$A,[2]Sheet1!$D:$D)</f>
        <v>SHOPPESVILLE</v>
      </c>
      <c r="O141" t="s">
        <v>1799</v>
      </c>
      <c r="P141" t="s">
        <v>13</v>
      </c>
      <c r="Q141" s="2" t="s">
        <v>2556</v>
      </c>
      <c r="R141" s="89">
        <f>3000000+2000000</f>
        <v>5000000</v>
      </c>
      <c r="S141" s="67" t="s">
        <v>1835</v>
      </c>
      <c r="T141" t="str">
        <f>_xlfn.XLOOKUP(M141,[2]Sheet1!$A:$A,[2]Sheet1!$E:$E)</f>
        <v>MALLS</v>
      </c>
      <c r="U141" s="64" t="s">
        <v>755</v>
      </c>
      <c r="V141" s="63" t="s">
        <v>761</v>
      </c>
      <c r="W141" s="67" t="s">
        <v>1835</v>
      </c>
      <c r="X141" s="63" t="s">
        <v>2557</v>
      </c>
      <c r="Z141" s="1">
        <f>_xlfn.XLOOKUP(A141,'SAP Report'!A:A,'SAP Report'!C:C)</f>
        <v>5000000</v>
      </c>
      <c r="AA141" s="1">
        <f>HLOOKUP($A$4,$AV$6:$BG141,(2+BH140),FALSE)</f>
        <v>2589285.71</v>
      </c>
      <c r="AB141" s="1">
        <f>SUMIF('Open PR PO'!A:A,Monitoring!A141,'Open PR PO'!K:K)</f>
        <v>973214.28</v>
      </c>
      <c r="AC141" s="1">
        <f t="shared" si="99"/>
        <v>3562499.99</v>
      </c>
      <c r="AD141" s="1">
        <f t="shared" si="100"/>
        <v>1437500.0099999998</v>
      </c>
      <c r="AE141" s="1">
        <f t="shared" si="101"/>
        <v>2410714.29</v>
      </c>
      <c r="AF141" s="1"/>
      <c r="AG141" s="53">
        <f>SUMIFS(Actual!$F:$F,Actual!$N:$N,Monitoring!AG$6,Actual!$A:$A,Monitoring!$A141)</f>
        <v>0</v>
      </c>
      <c r="AH141" s="53">
        <f>SUMIFS(Actual!$F:$F,Actual!$N:$N,Monitoring!AH$6,Actual!$A:$A,Monitoring!$A141)</f>
        <v>0</v>
      </c>
      <c r="AI141" s="53">
        <f>SUMIFS(Actual!$F:$F,Actual!$N:$N,Monitoring!AI$6,Actual!$A:$A,Monitoring!$A141)</f>
        <v>0</v>
      </c>
      <c r="AJ141" s="53">
        <f>SUMIFS(Actual!$F:$F,Actual!$N:$N,Monitoring!AJ$6,Actual!$A:$A,Monitoring!$A141)</f>
        <v>0</v>
      </c>
      <c r="AK141" s="53">
        <f>SUMIFS(Actual!$F:$F,Actual!$N:$N,Monitoring!AK$6,Actual!$A:$A,Monitoring!$A141)</f>
        <v>0</v>
      </c>
      <c r="AL141" s="53">
        <f>SUMIFS(Actual!$F:$F,Actual!$N:$N,Monitoring!AL$6,Actual!$A:$A,Monitoring!$A141)</f>
        <v>0</v>
      </c>
      <c r="AM141" s="53">
        <f>SUMIFS(Actual!$F:$F,Actual!$N:$N,Monitoring!AM$6,Actual!$A:$A,Monitoring!$A141)</f>
        <v>0</v>
      </c>
      <c r="AN141" s="53">
        <f>SUMIFS(Actual!$F:$F,Actual!$N:$N,Monitoring!AN$6,Actual!$A:$A,Monitoring!$A141)</f>
        <v>2589285.71</v>
      </c>
      <c r="AO141" s="53">
        <f>SUMIFS(Actual!$F:$F,Actual!$N:$N,Monitoring!AO$6,Actual!$A:$A,Monitoring!$A141)</f>
        <v>0</v>
      </c>
      <c r="AP141" s="53">
        <f t="shared" si="81"/>
        <v>973214.28</v>
      </c>
      <c r="AQ141" s="53">
        <f t="shared" si="82"/>
        <v>718750.00499999989</v>
      </c>
      <c r="AR141" s="53">
        <f t="shared" si="83"/>
        <v>718750.00499999989</v>
      </c>
      <c r="AS141" s="1">
        <f t="shared" si="84"/>
        <v>5000000</v>
      </c>
      <c r="AT141" s="12">
        <f t="shared" si="85"/>
        <v>0</v>
      </c>
      <c r="AU141" s="1"/>
      <c r="AV141" s="53">
        <f t="shared" si="86"/>
        <v>0</v>
      </c>
      <c r="AW141" s="1">
        <f t="shared" si="87"/>
        <v>0</v>
      </c>
      <c r="AX141" s="1">
        <f t="shared" si="88"/>
        <v>0</v>
      </c>
      <c r="AY141" s="1">
        <f t="shared" si="89"/>
        <v>0</v>
      </c>
      <c r="AZ141" s="1">
        <f t="shared" si="90"/>
        <v>0</v>
      </c>
      <c r="BA141" s="1">
        <f t="shared" si="91"/>
        <v>0</v>
      </c>
      <c r="BB141" s="1">
        <f t="shared" si="92"/>
        <v>0</v>
      </c>
      <c r="BC141" s="1">
        <f t="shared" si="93"/>
        <v>2589285.71</v>
      </c>
      <c r="BD141" s="1">
        <f t="shared" si="94"/>
        <v>2589285.71</v>
      </c>
      <c r="BE141" s="1">
        <f t="shared" si="95"/>
        <v>3562499.99</v>
      </c>
      <c r="BF141" s="1">
        <f t="shared" si="96"/>
        <v>4281249.9950000001</v>
      </c>
      <c r="BG141" s="1">
        <f t="shared" si="97"/>
        <v>5000000</v>
      </c>
      <c r="BH141">
        <f t="shared" si="98"/>
        <v>135</v>
      </c>
    </row>
    <row r="142" spans="1:60" x14ac:dyDescent="0.35">
      <c r="A142">
        <v>10001454</v>
      </c>
      <c r="B142" t="str">
        <f t="shared" si="78"/>
        <v>CV PARKLINKS BRIDGE</v>
      </c>
      <c r="C142" t="s">
        <v>766</v>
      </c>
      <c r="D142" t="s">
        <v>766</v>
      </c>
      <c r="E142" t="s">
        <v>1850</v>
      </c>
      <c r="F142" s="72" t="s">
        <v>1813</v>
      </c>
      <c r="G142" t="s">
        <v>1</v>
      </c>
      <c r="H142" t="s">
        <v>1848</v>
      </c>
      <c r="I142">
        <v>1016</v>
      </c>
      <c r="J142" t="s">
        <v>1851</v>
      </c>
      <c r="K142" s="3">
        <f t="shared" si="79"/>
        <v>19</v>
      </c>
      <c r="L142" s="3" t="str">
        <f t="shared" si="80"/>
        <v>8000</v>
      </c>
      <c r="M142">
        <v>80324101</v>
      </c>
      <c r="N142" s="3" t="str">
        <f>_xlfn.XLOOKUP(M142,[2]Sheet1!$A:$A,[2]Sheet1!$D:$D)</f>
        <v>CV DEVELOPABLE</v>
      </c>
      <c r="O142" t="s">
        <v>1852</v>
      </c>
      <c r="P142" t="s">
        <v>1852</v>
      </c>
      <c r="Q142" s="2" t="s">
        <v>1853</v>
      </c>
      <c r="R142" s="1">
        <f>161920000-156953231.11</f>
        <v>4966768.8899999857</v>
      </c>
      <c r="S142" s="67" t="s">
        <v>1835</v>
      </c>
      <c r="T142" t="str">
        <f>_xlfn.XLOOKUP(M142,[2]Sheet1!$A:$A,[2]Sheet1!$E:$E)</f>
        <v>ESTATES</v>
      </c>
      <c r="U142" s="63" t="s">
        <v>1854</v>
      </c>
      <c r="V142" s="63" t="s">
        <v>1855</v>
      </c>
      <c r="W142" s="67" t="s">
        <v>1835</v>
      </c>
      <c r="X142" s="63" t="s">
        <v>2075</v>
      </c>
      <c r="Z142" s="1">
        <f>_xlfn.XLOOKUP(A142,'SAP Report'!A:A,'SAP Report'!C:C)</f>
        <v>4966768.8899999997</v>
      </c>
      <c r="AA142" s="1">
        <f>HLOOKUP($A$4,$AV$6:$BG142,(2+BH141),FALSE)</f>
        <v>1301339.29</v>
      </c>
      <c r="AB142" s="1">
        <f>SUMIF('Open PR PO'!A:A,Monitoring!A142,'Open PR PO'!K:K)</f>
        <v>3421403.79</v>
      </c>
      <c r="AC142" s="1">
        <f t="shared" si="99"/>
        <v>4722743.08</v>
      </c>
      <c r="AD142" s="1">
        <f t="shared" si="100"/>
        <v>244025.80999999959</v>
      </c>
      <c r="AE142" s="1">
        <f t="shared" si="101"/>
        <v>3665429.5999999996</v>
      </c>
      <c r="AF142" s="1"/>
      <c r="AG142" s="53">
        <f>SUMIFS(Actual!$F:$F,Actual!$N:$N,Monitoring!AG$6,Actual!$A:$A,Monitoring!$A142)</f>
        <v>0</v>
      </c>
      <c r="AH142" s="53">
        <f>SUMIFS(Actual!$F:$F,Actual!$N:$N,Monitoring!AH$6,Actual!$A:$A,Monitoring!$A142)</f>
        <v>0</v>
      </c>
      <c r="AI142" s="53">
        <f>SUMIFS(Actual!$F:$F,Actual!$N:$N,Monitoring!AI$6,Actual!$A:$A,Monitoring!$A142)</f>
        <v>0</v>
      </c>
      <c r="AJ142" s="53">
        <f>SUMIFS(Actual!$F:$F,Actual!$N:$N,Monitoring!AJ$6,Actual!$A:$A,Monitoring!$A142)</f>
        <v>0</v>
      </c>
      <c r="AK142" s="53">
        <f>SUMIFS(Actual!$F:$F,Actual!$N:$N,Monitoring!AK$6,Actual!$A:$A,Monitoring!$A142)</f>
        <v>0</v>
      </c>
      <c r="AL142" s="53">
        <f>SUMIFS(Actual!$F:$F,Actual!$N:$N,Monitoring!AL$6,Actual!$A:$A,Monitoring!$A142)</f>
        <v>212053.57</v>
      </c>
      <c r="AM142" s="53">
        <f>SUMIFS(Actual!$F:$F,Actual!$N:$N,Monitoring!AM$6,Actual!$A:$A,Monitoring!$A142)</f>
        <v>1089285.72</v>
      </c>
      <c r="AN142" s="53">
        <f>SUMIFS(Actual!$F:$F,Actual!$N:$N,Monitoring!AN$6,Actual!$A:$A,Monitoring!$A142)</f>
        <v>0</v>
      </c>
      <c r="AO142" s="53">
        <f>SUMIFS(Actual!$F:$F,Actual!$N:$N,Monitoring!AO$6,Actual!$A:$A,Monitoring!$A142)</f>
        <v>0</v>
      </c>
      <c r="AP142" s="53">
        <f t="shared" si="81"/>
        <v>3421403.79</v>
      </c>
      <c r="AQ142" s="53">
        <f t="shared" si="82"/>
        <v>122012.9049999998</v>
      </c>
      <c r="AR142" s="53">
        <f t="shared" si="83"/>
        <v>122012.9049999998</v>
      </c>
      <c r="AS142" s="1">
        <f t="shared" si="84"/>
        <v>4966768.8899999987</v>
      </c>
      <c r="AT142" s="12">
        <f t="shared" si="85"/>
        <v>0</v>
      </c>
      <c r="AU142" s="1"/>
      <c r="AV142" s="53">
        <f t="shared" si="86"/>
        <v>0</v>
      </c>
      <c r="AW142" s="1">
        <f t="shared" si="87"/>
        <v>0</v>
      </c>
      <c r="AX142" s="1">
        <f t="shared" si="88"/>
        <v>0</v>
      </c>
      <c r="AY142" s="1">
        <f t="shared" si="89"/>
        <v>0</v>
      </c>
      <c r="AZ142" s="1">
        <f t="shared" si="90"/>
        <v>0</v>
      </c>
      <c r="BA142" s="1">
        <f t="shared" si="91"/>
        <v>212053.57</v>
      </c>
      <c r="BB142" s="1">
        <f t="shared" si="92"/>
        <v>1301339.29</v>
      </c>
      <c r="BC142" s="1">
        <f t="shared" si="93"/>
        <v>1301339.29</v>
      </c>
      <c r="BD142" s="1">
        <f t="shared" si="94"/>
        <v>1301339.29</v>
      </c>
      <c r="BE142" s="1">
        <f t="shared" si="95"/>
        <v>4722743.08</v>
      </c>
      <c r="BF142" s="1">
        <f t="shared" si="96"/>
        <v>4844755.9849999994</v>
      </c>
      <c r="BG142" s="1">
        <f t="shared" si="97"/>
        <v>4966768.8899999987</v>
      </c>
      <c r="BH142">
        <f t="shared" si="98"/>
        <v>136</v>
      </c>
    </row>
    <row r="143" spans="1:60" x14ac:dyDescent="0.35">
      <c r="A143">
        <v>10001458</v>
      </c>
      <c r="B143" t="str">
        <f t="shared" ref="B143" si="102">J143</f>
        <v>CV PARKLINKS BRIDGE</v>
      </c>
      <c r="C143" t="s">
        <v>766</v>
      </c>
      <c r="D143" t="s">
        <v>766</v>
      </c>
      <c r="E143" t="s">
        <v>1850</v>
      </c>
      <c r="F143" s="72" t="s">
        <v>1813</v>
      </c>
      <c r="G143" t="s">
        <v>1</v>
      </c>
      <c r="H143" t="s">
        <v>1848</v>
      </c>
      <c r="I143">
        <v>1016</v>
      </c>
      <c r="J143" t="s">
        <v>1851</v>
      </c>
      <c r="K143" s="3">
        <f t="shared" ref="K143" si="103">LEN(J143)</f>
        <v>19</v>
      </c>
      <c r="L143" s="3" t="str">
        <f t="shared" ref="L143" si="104">LEFT(M143,2)&amp;"00"</f>
        <v>8000</v>
      </c>
      <c r="M143">
        <v>80331501</v>
      </c>
      <c r="N143" s="3" t="str">
        <f>_xlfn.XLOOKUP(M143,[2]Sheet1!$A:$A,[2]Sheet1!$D:$D)</f>
        <v>CV SUBDIVISION</v>
      </c>
      <c r="O143" t="s">
        <v>1852</v>
      </c>
      <c r="P143" t="s">
        <v>1852</v>
      </c>
      <c r="Q143" s="2" t="s">
        <v>1853</v>
      </c>
      <c r="R143" s="1">
        <v>156953231.11000001</v>
      </c>
      <c r="S143" s="67" t="s">
        <v>1835</v>
      </c>
      <c r="T143" t="s">
        <v>766</v>
      </c>
      <c r="U143" s="63" t="s">
        <v>1854</v>
      </c>
      <c r="V143" s="63" t="s">
        <v>1855</v>
      </c>
      <c r="W143" s="67" t="s">
        <v>1835</v>
      </c>
      <c r="X143" s="63" t="s">
        <v>2076</v>
      </c>
      <c r="Z143" s="1">
        <f>_xlfn.XLOOKUP(A143,'SAP Report'!A:A,'SAP Report'!C:C)</f>
        <v>156953231.11000001</v>
      </c>
      <c r="AA143" s="1">
        <f>HLOOKUP($A$4,$AV$6:$BG143,(2+BH142),FALSE)</f>
        <v>1563795.96</v>
      </c>
      <c r="AB143" s="1">
        <f>SUMIF('Open PR PO'!A:A,Monitoring!A143,'Open PR PO'!K:K)</f>
        <v>76799114.749999985</v>
      </c>
      <c r="AC143" s="1">
        <f t="shared" si="99"/>
        <v>78362910.709999979</v>
      </c>
      <c r="AD143" s="1">
        <f t="shared" si="100"/>
        <v>78590320.400000036</v>
      </c>
      <c r="AE143" s="1">
        <f t="shared" si="101"/>
        <v>155389435.15000001</v>
      </c>
      <c r="AF143" s="1"/>
      <c r="AG143" s="53">
        <f>SUMIFS(Actual!$F:$F,Actual!$N:$N,Monitoring!AG$6,Actual!$A:$A,Monitoring!$A143)</f>
        <v>0</v>
      </c>
      <c r="AH143" s="53">
        <f>SUMIFS(Actual!$F:$F,Actual!$N:$N,Monitoring!AH$6,Actual!$A:$A,Monitoring!$A143)</f>
        <v>0</v>
      </c>
      <c r="AI143" s="53">
        <f>SUMIFS(Actual!$F:$F,Actual!$N:$N,Monitoring!AI$6,Actual!$A:$A,Monitoring!$A143)</f>
        <v>0</v>
      </c>
      <c r="AJ143" s="53">
        <f>SUMIFS(Actual!$F:$F,Actual!$N:$N,Monitoring!AJ$6,Actual!$A:$A,Monitoring!$A143)</f>
        <v>0</v>
      </c>
      <c r="AK143" s="53">
        <f>SUMIFS(Actual!$F:$F,Actual!$N:$N,Monitoring!AK$6,Actual!$A:$A,Monitoring!$A143)</f>
        <v>0</v>
      </c>
      <c r="AL143" s="53">
        <f>SUMIFS(Actual!$F:$F,Actual!$N:$N,Monitoring!AL$6,Actual!$A:$A,Monitoring!$A143)</f>
        <v>537946.42999999993</v>
      </c>
      <c r="AM143" s="53">
        <f>SUMIFS(Actual!$F:$F,Actual!$N:$N,Monitoring!AM$6,Actual!$A:$A,Monitoring!$A143)</f>
        <v>0</v>
      </c>
      <c r="AN143" s="53">
        <f>SUMIFS(Actual!$F:$F,Actual!$N:$N,Monitoring!AN$6,Actual!$A:$A,Monitoring!$A143)</f>
        <v>720045.96</v>
      </c>
      <c r="AO143" s="53">
        <f>SUMIFS(Actual!$F:$F,Actual!$N:$N,Monitoring!AO$6,Actual!$A:$A,Monitoring!$A143)</f>
        <v>305803.56999999995</v>
      </c>
      <c r="AP143" s="53">
        <f t="shared" si="81"/>
        <v>76799114.749999985</v>
      </c>
      <c r="AQ143" s="53">
        <f t="shared" si="82"/>
        <v>39295160.200000018</v>
      </c>
      <c r="AR143" s="53">
        <f t="shared" si="83"/>
        <v>39295160.200000018</v>
      </c>
      <c r="AS143" s="1">
        <f t="shared" si="84"/>
        <v>156953231.11000001</v>
      </c>
      <c r="AT143" s="12">
        <f t="shared" si="85"/>
        <v>0</v>
      </c>
      <c r="AU143" s="1"/>
      <c r="AV143" s="53">
        <f t="shared" si="86"/>
        <v>0</v>
      </c>
      <c r="AW143" s="1">
        <f t="shared" si="87"/>
        <v>0</v>
      </c>
      <c r="AX143" s="1">
        <f t="shared" si="88"/>
        <v>0</v>
      </c>
      <c r="AY143" s="1">
        <f t="shared" si="89"/>
        <v>0</v>
      </c>
      <c r="AZ143" s="1">
        <f t="shared" si="90"/>
        <v>0</v>
      </c>
      <c r="BA143" s="1">
        <f t="shared" si="91"/>
        <v>537946.42999999993</v>
      </c>
      <c r="BB143" s="1">
        <f t="shared" si="92"/>
        <v>537946.42999999993</v>
      </c>
      <c r="BC143" s="1">
        <f t="shared" si="93"/>
        <v>1257992.3899999999</v>
      </c>
      <c r="BD143" s="1">
        <f t="shared" si="94"/>
        <v>1563795.96</v>
      </c>
      <c r="BE143" s="1">
        <f t="shared" si="95"/>
        <v>78362910.709999979</v>
      </c>
      <c r="BF143" s="1">
        <f t="shared" si="96"/>
        <v>117658070.91</v>
      </c>
      <c r="BG143" s="1">
        <f t="shared" si="97"/>
        <v>156953231.11000001</v>
      </c>
      <c r="BH143">
        <f t="shared" si="98"/>
        <v>137</v>
      </c>
    </row>
    <row r="144" spans="1:60" x14ac:dyDescent="0.35">
      <c r="A144">
        <v>10001455</v>
      </c>
      <c r="B144" t="str">
        <f t="shared" si="78"/>
        <v>ES MAIN MALL NON-POTABLE WATER LINE</v>
      </c>
      <c r="C144" t="s">
        <v>9</v>
      </c>
      <c r="D144" t="s">
        <v>9</v>
      </c>
      <c r="E144" t="s">
        <v>714</v>
      </c>
      <c r="F144" s="72" t="s">
        <v>1814</v>
      </c>
      <c r="G144" t="s">
        <v>1</v>
      </c>
      <c r="H144" t="s">
        <v>3221</v>
      </c>
      <c r="I144">
        <v>1110</v>
      </c>
      <c r="J144" t="s">
        <v>1861</v>
      </c>
      <c r="K144" s="3">
        <f t="shared" si="79"/>
        <v>35</v>
      </c>
      <c r="L144" s="3" t="str">
        <f t="shared" si="80"/>
        <v>8100</v>
      </c>
      <c r="M144" s="5">
        <v>81225101</v>
      </c>
      <c r="N144" s="3" t="str">
        <f>_xlfn.XLOOKUP(M144,[2]Sheet1!$A:$A,[2]Sheet1!$D:$D)</f>
        <v>ESTANCIA RETAIL</v>
      </c>
      <c r="O144" t="s">
        <v>689</v>
      </c>
      <c r="P144" t="s">
        <v>20</v>
      </c>
      <c r="Q144" s="2" t="s">
        <v>1862</v>
      </c>
      <c r="R144" s="89">
        <v>7100000</v>
      </c>
      <c r="S144" s="67">
        <v>46207</v>
      </c>
      <c r="T144" t="str">
        <f>_xlfn.XLOOKUP(M144,[2]Sheet1!$A:$A,[2]Sheet1!$E:$E)</f>
        <v>MALLS</v>
      </c>
      <c r="U144" s="67">
        <v>46207</v>
      </c>
      <c r="V144" s="63" t="s">
        <v>761</v>
      </c>
      <c r="W144" s="67" t="s">
        <v>1863</v>
      </c>
      <c r="X144" s="63" t="s">
        <v>1864</v>
      </c>
      <c r="Z144" s="1">
        <f>_xlfn.XLOOKUP(A144,'SAP Report'!A:A,'SAP Report'!C:C)</f>
        <v>7100000</v>
      </c>
      <c r="AA144" s="1">
        <f>HLOOKUP($A$4,$AV$6:$BG144,(2+BH143),FALSE)</f>
        <v>0</v>
      </c>
      <c r="AB144" s="1">
        <f>SUMIF('Open PR PO'!A:A,Monitoring!A144,'Open PR PO'!K:K)</f>
        <v>5580357.1399999997</v>
      </c>
      <c r="AC144" s="1">
        <f t="shared" si="99"/>
        <v>5580357.1399999997</v>
      </c>
      <c r="AD144" s="1">
        <f t="shared" si="100"/>
        <v>1519642.8600000003</v>
      </c>
      <c r="AE144" s="1">
        <f t="shared" si="101"/>
        <v>7100000</v>
      </c>
      <c r="AF144" s="1"/>
      <c r="AG144" s="53">
        <f>SUMIFS(Actual!$F:$F,Actual!$N:$N,Monitoring!AG$6,Actual!$A:$A,Monitoring!$A144)</f>
        <v>0</v>
      </c>
      <c r="AH144" s="53">
        <f>SUMIFS(Actual!$F:$F,Actual!$N:$N,Monitoring!AH$6,Actual!$A:$A,Monitoring!$A144)</f>
        <v>0</v>
      </c>
      <c r="AI144" s="53">
        <f>SUMIFS(Actual!$F:$F,Actual!$N:$N,Monitoring!AI$6,Actual!$A:$A,Monitoring!$A144)</f>
        <v>0</v>
      </c>
      <c r="AJ144" s="53">
        <f>SUMIFS(Actual!$F:$F,Actual!$N:$N,Monitoring!AJ$6,Actual!$A:$A,Monitoring!$A144)</f>
        <v>0</v>
      </c>
      <c r="AK144" s="53">
        <f>SUMIFS(Actual!$F:$F,Actual!$N:$N,Monitoring!AK$6,Actual!$A:$A,Monitoring!$A144)</f>
        <v>0</v>
      </c>
      <c r="AL144" s="53">
        <f>SUMIFS(Actual!$F:$F,Actual!$N:$N,Monitoring!AL$6,Actual!$A:$A,Monitoring!$A144)</f>
        <v>0</v>
      </c>
      <c r="AM144" s="53">
        <f>SUMIFS(Actual!$F:$F,Actual!$N:$N,Monitoring!AM$6,Actual!$A:$A,Monitoring!$A144)</f>
        <v>0</v>
      </c>
      <c r="AN144" s="53">
        <f>SUMIFS(Actual!$F:$F,Actual!$N:$N,Monitoring!AN$6,Actual!$A:$A,Monitoring!$A144)</f>
        <v>0</v>
      </c>
      <c r="AO144" s="53">
        <f>SUMIFS(Actual!$F:$F,Actual!$N:$N,Monitoring!AO$6,Actual!$A:$A,Monitoring!$A144)</f>
        <v>0</v>
      </c>
      <c r="AP144" s="53">
        <f t="shared" si="81"/>
        <v>5580357.1399999997</v>
      </c>
      <c r="AQ144" s="53">
        <f t="shared" si="82"/>
        <v>759821.43000000017</v>
      </c>
      <c r="AR144" s="53">
        <f t="shared" si="83"/>
        <v>759821.43000000017</v>
      </c>
      <c r="AS144" s="1">
        <f t="shared" si="84"/>
        <v>7100000</v>
      </c>
      <c r="AT144" s="12">
        <f t="shared" si="85"/>
        <v>0</v>
      </c>
      <c r="AU144" s="1"/>
      <c r="AV144" s="53">
        <f t="shared" si="86"/>
        <v>0</v>
      </c>
      <c r="AW144" s="1">
        <f t="shared" si="87"/>
        <v>0</v>
      </c>
      <c r="AX144" s="1">
        <f t="shared" si="88"/>
        <v>0</v>
      </c>
      <c r="AY144" s="1">
        <f t="shared" si="89"/>
        <v>0</v>
      </c>
      <c r="AZ144" s="1">
        <f t="shared" si="90"/>
        <v>0</v>
      </c>
      <c r="BA144" s="1">
        <f t="shared" si="91"/>
        <v>0</v>
      </c>
      <c r="BB144" s="1">
        <f t="shared" si="92"/>
        <v>0</v>
      </c>
      <c r="BC144" s="1">
        <f t="shared" si="93"/>
        <v>0</v>
      </c>
      <c r="BD144" s="1">
        <f t="shared" si="94"/>
        <v>0</v>
      </c>
      <c r="BE144" s="1">
        <f t="shared" si="95"/>
        <v>5580357.1399999997</v>
      </c>
      <c r="BF144" s="1">
        <f t="shared" si="96"/>
        <v>6340178.5700000003</v>
      </c>
      <c r="BG144" s="1">
        <f t="shared" si="97"/>
        <v>7100000</v>
      </c>
      <c r="BH144">
        <f t="shared" si="98"/>
        <v>138</v>
      </c>
    </row>
    <row r="145" spans="1:60" x14ac:dyDescent="0.35">
      <c r="A145">
        <v>10001456</v>
      </c>
      <c r="B145" t="str">
        <f t="shared" si="78"/>
        <v>ES EW PARKING WHEEL STOPPERS</v>
      </c>
      <c r="C145" t="s">
        <v>9</v>
      </c>
      <c r="D145" t="s">
        <v>9</v>
      </c>
      <c r="E145" t="s">
        <v>698</v>
      </c>
      <c r="F145" s="72" t="s">
        <v>1814</v>
      </c>
      <c r="G145" t="s">
        <v>1</v>
      </c>
      <c r="H145" s="66" t="s">
        <v>44</v>
      </c>
      <c r="I145">
        <v>1110</v>
      </c>
      <c r="J145" t="s">
        <v>1867</v>
      </c>
      <c r="K145" s="3">
        <f t="shared" si="79"/>
        <v>28</v>
      </c>
      <c r="L145" s="3" t="str">
        <f t="shared" si="80"/>
        <v>8100</v>
      </c>
      <c r="M145">
        <v>81225102</v>
      </c>
      <c r="N145" s="3" t="str">
        <f>_xlfn.XLOOKUP(M145,[2]Sheet1!$A:$A,[2]Sheet1!$D:$D)</f>
        <v>ESTANCIA PARKING</v>
      </c>
      <c r="O145" t="s">
        <v>19</v>
      </c>
      <c r="P145" t="s">
        <v>20</v>
      </c>
      <c r="Q145" s="2" t="s">
        <v>1866</v>
      </c>
      <c r="R145" s="89">
        <v>1000000</v>
      </c>
      <c r="S145" s="66" t="s">
        <v>1863</v>
      </c>
      <c r="T145" t="str">
        <f>_xlfn.XLOOKUP(M145,[2]Sheet1!$A:$A,[2]Sheet1!$E:$E)</f>
        <v>MALLS</v>
      </c>
      <c r="U145" s="63" t="s">
        <v>1868</v>
      </c>
      <c r="V145" s="63" t="s">
        <v>1836</v>
      </c>
      <c r="W145" s="66" t="s">
        <v>1869</v>
      </c>
      <c r="X145" s="63" t="s">
        <v>1870</v>
      </c>
      <c r="Z145" s="1">
        <f>_xlfn.XLOOKUP(A145,'SAP Report'!A:A,'SAP Report'!C:C)</f>
        <v>1000000</v>
      </c>
      <c r="AA145" s="1">
        <f>HLOOKUP($A$4,$AV$6:$BG145,(2+BH144),FALSE)</f>
        <v>0</v>
      </c>
      <c r="AB145" s="1">
        <f>SUMIF('Open PR PO'!A:A,Monitoring!A145,'Open PR PO'!K:K)</f>
        <v>865850.24</v>
      </c>
      <c r="AC145" s="1">
        <f t="shared" si="99"/>
        <v>865850.24</v>
      </c>
      <c r="AD145" s="1">
        <f t="shared" si="100"/>
        <v>134149.76000000001</v>
      </c>
      <c r="AE145" s="1">
        <f t="shared" si="101"/>
        <v>1000000</v>
      </c>
      <c r="AF145" s="1"/>
      <c r="AG145" s="53">
        <f>SUMIFS(Actual!$F:$F,Actual!$N:$N,Monitoring!AG$6,Actual!$A:$A,Monitoring!$A145)</f>
        <v>0</v>
      </c>
      <c r="AH145" s="53">
        <f>SUMIFS(Actual!$F:$F,Actual!$N:$N,Monitoring!AH$6,Actual!$A:$A,Monitoring!$A145)</f>
        <v>0</v>
      </c>
      <c r="AI145" s="53">
        <f>SUMIFS(Actual!$F:$F,Actual!$N:$N,Monitoring!AI$6,Actual!$A:$A,Monitoring!$A145)</f>
        <v>0</v>
      </c>
      <c r="AJ145" s="53">
        <f>SUMIFS(Actual!$F:$F,Actual!$N:$N,Monitoring!AJ$6,Actual!$A:$A,Monitoring!$A145)</f>
        <v>0</v>
      </c>
      <c r="AK145" s="53">
        <f>SUMIFS(Actual!$F:$F,Actual!$N:$N,Monitoring!AK$6,Actual!$A:$A,Monitoring!$A145)</f>
        <v>0</v>
      </c>
      <c r="AL145" s="53">
        <f>SUMIFS(Actual!$F:$F,Actual!$N:$N,Monitoring!AL$6,Actual!$A:$A,Monitoring!$A145)</f>
        <v>0</v>
      </c>
      <c r="AM145" s="53">
        <f>SUMIFS(Actual!$F:$F,Actual!$N:$N,Monitoring!AM$6,Actual!$A:$A,Monitoring!$A145)</f>
        <v>0</v>
      </c>
      <c r="AN145" s="53">
        <f>SUMIFS(Actual!$F:$F,Actual!$N:$N,Monitoring!AN$6,Actual!$A:$A,Monitoring!$A145)</f>
        <v>0</v>
      </c>
      <c r="AO145" s="53">
        <f>SUMIFS(Actual!$F:$F,Actual!$N:$N,Monitoring!AO$6,Actual!$A:$A,Monitoring!$A145)</f>
        <v>0</v>
      </c>
      <c r="AP145" s="53">
        <f t="shared" si="81"/>
        <v>865850.24</v>
      </c>
      <c r="AQ145" s="53">
        <f t="shared" si="82"/>
        <v>67074.880000000005</v>
      </c>
      <c r="AR145" s="53">
        <f t="shared" si="83"/>
        <v>67074.880000000005</v>
      </c>
      <c r="AS145" s="1">
        <f t="shared" si="84"/>
        <v>1000000</v>
      </c>
      <c r="AT145" s="12">
        <f t="shared" si="85"/>
        <v>0</v>
      </c>
      <c r="AU145" s="1"/>
      <c r="AV145" s="53">
        <f t="shared" si="86"/>
        <v>0</v>
      </c>
      <c r="AW145" s="1">
        <f t="shared" si="87"/>
        <v>0</v>
      </c>
      <c r="AX145" s="1">
        <f t="shared" si="88"/>
        <v>0</v>
      </c>
      <c r="AY145" s="1">
        <f t="shared" si="89"/>
        <v>0</v>
      </c>
      <c r="AZ145" s="1">
        <f t="shared" si="90"/>
        <v>0</v>
      </c>
      <c r="BA145" s="1">
        <f t="shared" si="91"/>
        <v>0</v>
      </c>
      <c r="BB145" s="1">
        <f t="shared" si="92"/>
        <v>0</v>
      </c>
      <c r="BC145" s="1">
        <f t="shared" si="93"/>
        <v>0</v>
      </c>
      <c r="BD145" s="1">
        <f t="shared" si="94"/>
        <v>0</v>
      </c>
      <c r="BE145" s="1">
        <f t="shared" si="95"/>
        <v>865850.24</v>
      </c>
      <c r="BF145" s="1">
        <f t="shared" si="96"/>
        <v>932925.12</v>
      </c>
      <c r="BG145" s="1">
        <f t="shared" si="97"/>
        <v>1000000</v>
      </c>
      <c r="BH145">
        <f t="shared" si="98"/>
        <v>139</v>
      </c>
    </row>
    <row r="146" spans="1:60" x14ac:dyDescent="0.35">
      <c r="A146">
        <v>10001457</v>
      </c>
      <c r="B146" t="str">
        <f t="shared" si="78"/>
        <v>GH WATERPROOFING &amp; ROOF PROTECTION</v>
      </c>
      <c r="C146" t="s">
        <v>9</v>
      </c>
      <c r="D146" t="s">
        <v>9</v>
      </c>
      <c r="E146" t="s">
        <v>683</v>
      </c>
      <c r="F146" s="72" t="s">
        <v>1814</v>
      </c>
      <c r="G146" t="s">
        <v>1</v>
      </c>
      <c r="H146" t="s">
        <v>3441</v>
      </c>
      <c r="I146">
        <v>1100</v>
      </c>
      <c r="J146" t="s">
        <v>2072</v>
      </c>
      <c r="K146" s="3">
        <f t="shared" si="79"/>
        <v>34</v>
      </c>
      <c r="L146" s="3" t="str">
        <f t="shared" si="80"/>
        <v>8100</v>
      </c>
      <c r="M146" s="5">
        <v>81221201</v>
      </c>
      <c r="N146" s="3" t="str">
        <f>_xlfn.XLOOKUP(M146,[2]Sheet1!$A:$A,[2]Sheet1!$D:$D)</f>
        <v>GSC OLD BLDGS</v>
      </c>
      <c r="O146" t="s">
        <v>887</v>
      </c>
      <c r="P146" t="s">
        <v>13</v>
      </c>
      <c r="Q146" s="2" t="s">
        <v>3438</v>
      </c>
      <c r="R146" s="89">
        <f>5000000+5000000</f>
        <v>10000000</v>
      </c>
      <c r="S146" s="63" t="s">
        <v>2073</v>
      </c>
      <c r="T146" t="str">
        <f>_xlfn.XLOOKUP(M146,[2]Sheet1!$A:$A,[2]Sheet1!$E:$E)</f>
        <v>MALLS</v>
      </c>
      <c r="U146" s="63" t="s">
        <v>1868</v>
      </c>
      <c r="V146" s="63" t="s">
        <v>761</v>
      </c>
      <c r="W146" s="63" t="s">
        <v>2074</v>
      </c>
      <c r="X146" s="63" t="s">
        <v>3444</v>
      </c>
      <c r="Z146" s="1">
        <f>_xlfn.XLOOKUP(A146,'SAP Report'!A:A,'SAP Report'!C:C)</f>
        <v>5000000</v>
      </c>
      <c r="AA146" s="1">
        <f>HLOOKUP($A$4,$AV$6:$BG146,(2+BH145),FALSE)</f>
        <v>1841249.9900000002</v>
      </c>
      <c r="AB146" s="1">
        <f>SUMIF('Open PR PO'!A:A,Monitoring!A146,'Open PR PO'!K:K)</f>
        <v>2587557.4900000002</v>
      </c>
      <c r="AC146" s="1">
        <f t="shared" si="99"/>
        <v>4428807.4800000004</v>
      </c>
      <c r="AD146" s="1">
        <f t="shared" si="100"/>
        <v>571192.51999999955</v>
      </c>
      <c r="AE146" s="1">
        <f t="shared" si="101"/>
        <v>3158750.01</v>
      </c>
      <c r="AF146" s="1"/>
      <c r="AG146" s="53">
        <f>SUMIFS(Actual!$F:$F,Actual!$N:$N,Monitoring!AG$6,Actual!$A:$A,Monitoring!$A146)</f>
        <v>0</v>
      </c>
      <c r="AH146" s="53">
        <f>SUMIFS(Actual!$F:$F,Actual!$N:$N,Monitoring!AH$6,Actual!$A:$A,Monitoring!$A146)</f>
        <v>0</v>
      </c>
      <c r="AI146" s="53">
        <f>SUMIFS(Actual!$F:$F,Actual!$N:$N,Monitoring!AI$6,Actual!$A:$A,Monitoring!$A146)</f>
        <v>0</v>
      </c>
      <c r="AJ146" s="53">
        <f>SUMIFS(Actual!$F:$F,Actual!$N:$N,Monitoring!AJ$6,Actual!$A:$A,Monitoring!$A146)</f>
        <v>0</v>
      </c>
      <c r="AK146" s="53">
        <f>SUMIFS(Actual!$F:$F,Actual!$N:$N,Monitoring!AK$6,Actual!$A:$A,Monitoring!$A146)</f>
        <v>0</v>
      </c>
      <c r="AL146" s="53">
        <f>SUMIFS(Actual!$F:$F,Actual!$N:$N,Monitoring!AL$6,Actual!$A:$A,Monitoring!$A146)</f>
        <v>462678.57</v>
      </c>
      <c r="AM146" s="53">
        <f>SUMIFS(Actual!$F:$F,Actual!$N:$N,Monitoring!AM$6,Actual!$A:$A,Monitoring!$A146)</f>
        <v>0</v>
      </c>
      <c r="AN146" s="53">
        <f>SUMIFS(Actual!$F:$F,Actual!$N:$N,Monitoring!AN$6,Actual!$A:$A,Monitoring!$A146)</f>
        <v>1110714.28</v>
      </c>
      <c r="AO146" s="53">
        <f>SUMIFS(Actual!$F:$F,Actual!$N:$N,Monitoring!AO$6,Actual!$A:$A,Monitoring!$A146)</f>
        <v>267857.14</v>
      </c>
      <c r="AP146" s="53">
        <f t="shared" si="81"/>
        <v>2587557.4900000002</v>
      </c>
      <c r="AQ146" s="53">
        <f t="shared" si="82"/>
        <v>285596.25999999978</v>
      </c>
      <c r="AR146" s="53">
        <f t="shared" si="83"/>
        <v>285596.25999999978</v>
      </c>
      <c r="AS146" s="1">
        <f t="shared" si="84"/>
        <v>5000000</v>
      </c>
      <c r="AT146" s="12">
        <f t="shared" si="85"/>
        <v>0</v>
      </c>
      <c r="AU146" s="1"/>
      <c r="AV146" s="53">
        <f t="shared" si="86"/>
        <v>0</v>
      </c>
      <c r="AW146" s="1">
        <f t="shared" si="87"/>
        <v>0</v>
      </c>
      <c r="AX146" s="1">
        <f t="shared" si="88"/>
        <v>0</v>
      </c>
      <c r="AY146" s="1">
        <f t="shared" si="89"/>
        <v>0</v>
      </c>
      <c r="AZ146" s="1">
        <f t="shared" si="90"/>
        <v>0</v>
      </c>
      <c r="BA146" s="1">
        <f t="shared" si="91"/>
        <v>462678.57</v>
      </c>
      <c r="BB146" s="1">
        <f t="shared" si="92"/>
        <v>462678.57</v>
      </c>
      <c r="BC146" s="1">
        <f t="shared" si="93"/>
        <v>1573392.85</v>
      </c>
      <c r="BD146" s="1">
        <f t="shared" si="94"/>
        <v>1841249.9900000002</v>
      </c>
      <c r="BE146" s="1">
        <f t="shared" si="95"/>
        <v>4428807.4800000004</v>
      </c>
      <c r="BF146" s="1">
        <f t="shared" si="96"/>
        <v>4714403.74</v>
      </c>
      <c r="BG146" s="1">
        <f t="shared" si="97"/>
        <v>5000000</v>
      </c>
      <c r="BH146">
        <f t="shared" si="98"/>
        <v>140</v>
      </c>
    </row>
    <row r="147" spans="1:60" x14ac:dyDescent="0.35">
      <c r="A147">
        <v>10001459</v>
      </c>
      <c r="B147" t="str">
        <f t="shared" si="78"/>
        <v>ES EW PARTS REPLACEMENT OF ELEVATOR/ESCALATOR</v>
      </c>
      <c r="C147" t="s">
        <v>9</v>
      </c>
      <c r="D147" t="s">
        <v>9</v>
      </c>
      <c r="E147" t="s">
        <v>687</v>
      </c>
      <c r="F147" s="72" t="s">
        <v>1814</v>
      </c>
      <c r="G147" t="s">
        <v>1</v>
      </c>
      <c r="H147" t="s">
        <v>3221</v>
      </c>
      <c r="I147">
        <v>1110</v>
      </c>
      <c r="J147" t="s">
        <v>483</v>
      </c>
      <c r="K147" s="3">
        <f t="shared" si="79"/>
        <v>45</v>
      </c>
      <c r="L147" s="3" t="str">
        <f t="shared" si="80"/>
        <v>8100</v>
      </c>
      <c r="M147">
        <v>81225201</v>
      </c>
      <c r="N147" s="3" t="str">
        <f>_xlfn.XLOOKUP(M147,[1]Sheet1!$A:$A,[1]Sheet1!$D:$D)</f>
        <v>ESTANCIA EXP - MALL</v>
      </c>
      <c r="O147" t="s">
        <v>685</v>
      </c>
      <c r="P147" t="s">
        <v>20</v>
      </c>
      <c r="Q147" s="2" t="s">
        <v>2116</v>
      </c>
      <c r="R147" s="89">
        <v>5500000</v>
      </c>
      <c r="S147" t="s">
        <v>92</v>
      </c>
      <c r="T147" t="str">
        <f>_xlfn.XLOOKUP(M147,[1]Sheet1!$A:$A,[1]Sheet1!$E:$E)</f>
        <v>MALLS</v>
      </c>
      <c r="U147" s="64" t="s">
        <v>1868</v>
      </c>
      <c r="V147" s="64" t="s">
        <v>2117</v>
      </c>
      <c r="W147" s="64" t="s">
        <v>2118</v>
      </c>
      <c r="X147" s="63" t="s">
        <v>2119</v>
      </c>
      <c r="Z147" s="1">
        <f>_xlfn.XLOOKUP(A147,'SAP Report'!A:A,'SAP Report'!C:C)</f>
        <v>5500000</v>
      </c>
      <c r="AA147" s="1">
        <f>HLOOKUP($A$4,$AV$6:$BG147,(2+BH146),FALSE)</f>
        <v>2028897.72</v>
      </c>
      <c r="AB147" s="1">
        <f>SUMIF('Open PR PO'!A:A,Monitoring!A147,'Open PR PO'!K:K)</f>
        <v>3335757.8299999996</v>
      </c>
      <c r="AC147" s="1">
        <f t="shared" si="99"/>
        <v>5364655.55</v>
      </c>
      <c r="AD147" s="1">
        <f t="shared" si="100"/>
        <v>135344.45000000019</v>
      </c>
      <c r="AE147" s="1">
        <f t="shared" si="101"/>
        <v>3471102.2800000003</v>
      </c>
      <c r="AF147" s="1"/>
      <c r="AG147" s="53">
        <f>SUMIFS(Actual!$F:$F,Actual!$N:$N,Monitoring!AG$6,Actual!$A:$A,Monitoring!$A147)</f>
        <v>0</v>
      </c>
      <c r="AH147" s="53">
        <f>SUMIFS(Actual!$F:$F,Actual!$N:$N,Monitoring!AH$6,Actual!$A:$A,Monitoring!$A147)</f>
        <v>0</v>
      </c>
      <c r="AI147" s="53">
        <f>SUMIFS(Actual!$F:$F,Actual!$N:$N,Monitoring!AI$6,Actual!$A:$A,Monitoring!$A147)</f>
        <v>0</v>
      </c>
      <c r="AJ147" s="53">
        <f>SUMIFS(Actual!$F:$F,Actual!$N:$N,Monitoring!AJ$6,Actual!$A:$A,Monitoring!$A147)</f>
        <v>0</v>
      </c>
      <c r="AK147" s="53">
        <f>SUMIFS(Actual!$F:$F,Actual!$N:$N,Monitoring!AK$6,Actual!$A:$A,Monitoring!$A147)</f>
        <v>0</v>
      </c>
      <c r="AL147" s="53">
        <f>SUMIFS(Actual!$F:$F,Actual!$N:$N,Monitoring!AL$6,Actual!$A:$A,Monitoring!$A147)</f>
        <v>0</v>
      </c>
      <c r="AM147" s="53">
        <f>SUMIFS(Actual!$F:$F,Actual!$N:$N,Monitoring!AM$6,Actual!$A:$A,Monitoring!$A147)</f>
        <v>0</v>
      </c>
      <c r="AN147" s="53">
        <f>SUMIFS(Actual!$F:$F,Actual!$N:$N,Monitoring!AN$6,Actual!$A:$A,Monitoring!$A147)</f>
        <v>2028897.72</v>
      </c>
      <c r="AO147" s="53">
        <f>SUMIFS(Actual!$F:$F,Actual!$N:$N,Monitoring!AO$6,Actual!$A:$A,Monitoring!$A147)</f>
        <v>0</v>
      </c>
      <c r="AP147" s="53">
        <f t="shared" si="81"/>
        <v>3335757.8299999996</v>
      </c>
      <c r="AQ147" s="53">
        <f t="shared" si="82"/>
        <v>67672.225000000093</v>
      </c>
      <c r="AR147" s="53">
        <f t="shared" si="83"/>
        <v>67672.225000000093</v>
      </c>
      <c r="AS147" s="1">
        <f t="shared" si="84"/>
        <v>5500000</v>
      </c>
      <c r="AT147" s="12">
        <f t="shared" si="85"/>
        <v>0</v>
      </c>
      <c r="AU147" s="1"/>
      <c r="AV147" s="53">
        <f t="shared" si="86"/>
        <v>0</v>
      </c>
      <c r="AW147" s="1">
        <f t="shared" si="87"/>
        <v>0</v>
      </c>
      <c r="AX147" s="1">
        <f t="shared" si="88"/>
        <v>0</v>
      </c>
      <c r="AY147" s="1">
        <f t="shared" si="89"/>
        <v>0</v>
      </c>
      <c r="AZ147" s="1">
        <f t="shared" si="90"/>
        <v>0</v>
      </c>
      <c r="BA147" s="1">
        <f t="shared" si="91"/>
        <v>0</v>
      </c>
      <c r="BB147" s="1">
        <f t="shared" si="92"/>
        <v>0</v>
      </c>
      <c r="BC147" s="1">
        <f t="shared" si="93"/>
        <v>2028897.72</v>
      </c>
      <c r="BD147" s="1">
        <f t="shared" si="94"/>
        <v>2028897.72</v>
      </c>
      <c r="BE147" s="1">
        <f t="shared" si="95"/>
        <v>5364655.55</v>
      </c>
      <c r="BF147" s="1">
        <f t="shared" si="96"/>
        <v>5432327.7750000004</v>
      </c>
      <c r="BG147" s="1">
        <f t="shared" si="97"/>
        <v>5500000</v>
      </c>
      <c r="BH147">
        <f t="shared" si="98"/>
        <v>141</v>
      </c>
    </row>
    <row r="148" spans="1:60" x14ac:dyDescent="0.35">
      <c r="A148">
        <v>40001288</v>
      </c>
      <c r="B148" t="str">
        <f t="shared" si="78"/>
        <v>2026 CHERY TIGGO REV LE C-DM H.GARCIA</v>
      </c>
      <c r="C148" t="s">
        <v>85</v>
      </c>
      <c r="D148" t="s">
        <v>0</v>
      </c>
      <c r="E148" t="s">
        <v>731</v>
      </c>
      <c r="F148" s="72" t="s">
        <v>1814</v>
      </c>
      <c r="G148" t="s">
        <v>1</v>
      </c>
      <c r="H148" t="s">
        <v>2</v>
      </c>
      <c r="I148">
        <v>1501</v>
      </c>
      <c r="J148" t="s">
        <v>2122</v>
      </c>
      <c r="K148" s="3">
        <f t="shared" si="79"/>
        <v>37</v>
      </c>
      <c r="L148" s="3" t="str">
        <f t="shared" si="80"/>
        <v>8000</v>
      </c>
      <c r="M148">
        <v>80123102</v>
      </c>
      <c r="N148" s="3" t="str">
        <f>_xlfn.XLOOKUP(M148,[2]Sheet1!$A:$A,[2]Sheet1!$D:$D)</f>
        <v>ADMIN SERVICES</v>
      </c>
      <c r="O148" t="s">
        <v>812</v>
      </c>
      <c r="P148" t="s">
        <v>6</v>
      </c>
      <c r="Q148" s="2" t="s">
        <v>2121</v>
      </c>
      <c r="R148" s="1">
        <v>1598000</v>
      </c>
      <c r="S148" s="67">
        <v>46178</v>
      </c>
      <c r="T148" t="str">
        <f>_xlfn.XLOOKUP(M148,[1]Sheet1!$A:$A,[1]Sheet1!$E:$E)</f>
        <v>CORPORATE</v>
      </c>
      <c r="U148" s="67">
        <v>46178</v>
      </c>
      <c r="V148" s="67" t="s">
        <v>761</v>
      </c>
      <c r="W148" s="67">
        <v>46178</v>
      </c>
      <c r="X148" s="63" t="s">
        <v>2838</v>
      </c>
      <c r="Z148" s="1">
        <f>_xlfn.XLOOKUP(A148,'SAP Report'!A:A,'SAP Report'!C:C)</f>
        <v>1400000</v>
      </c>
      <c r="AA148" s="1">
        <f>HLOOKUP($A$4,$AV$6:$BG148,(2+BH147),FALSE)</f>
        <v>1400000</v>
      </c>
      <c r="AB148" s="1">
        <f>SUMIF('Open PR PO'!A:A,Monitoring!A148,'Open PR PO'!K:K)</f>
        <v>0</v>
      </c>
      <c r="AC148" s="1">
        <f t="shared" si="99"/>
        <v>1400000</v>
      </c>
      <c r="AD148" s="1">
        <f t="shared" si="100"/>
        <v>0</v>
      </c>
      <c r="AE148" s="1">
        <f t="shared" si="101"/>
        <v>0</v>
      </c>
      <c r="AF148" s="1"/>
      <c r="AG148" s="53">
        <f>SUMIFS(Actual!$F:$F,Actual!$N:$N,Monitoring!AG$6,Actual!$A:$A,Monitoring!$A148)</f>
        <v>0</v>
      </c>
      <c r="AH148" s="53">
        <f>SUMIFS(Actual!$F:$F,Actual!$N:$N,Monitoring!AH$6,Actual!$A:$A,Monitoring!$A148)</f>
        <v>0</v>
      </c>
      <c r="AI148" s="53">
        <f>SUMIFS(Actual!$F:$F,Actual!$N:$N,Monitoring!AI$6,Actual!$A:$A,Monitoring!$A148)</f>
        <v>0</v>
      </c>
      <c r="AJ148" s="53">
        <f>SUMIFS(Actual!$F:$F,Actual!$N:$N,Monitoring!AJ$6,Actual!$A:$A,Monitoring!$A148)</f>
        <v>0</v>
      </c>
      <c r="AK148" s="53">
        <f>SUMIFS(Actual!$F:$F,Actual!$N:$N,Monitoring!AK$6,Actual!$A:$A,Monitoring!$A148)</f>
        <v>0</v>
      </c>
      <c r="AL148" s="53">
        <f>SUMIFS(Actual!$F:$F,Actual!$N:$N,Monitoring!AL$6,Actual!$A:$A,Monitoring!$A148)</f>
        <v>1400000</v>
      </c>
      <c r="AM148" s="53">
        <f>SUMIFS(Actual!$F:$F,Actual!$N:$N,Monitoring!AM$6,Actual!$A:$A,Monitoring!$A148)</f>
        <v>0</v>
      </c>
      <c r="AN148" s="53">
        <f>SUMIFS(Actual!$F:$F,Actual!$N:$N,Monitoring!AN$6,Actual!$A:$A,Monitoring!$A148)</f>
        <v>0</v>
      </c>
      <c r="AO148" s="53">
        <f>SUMIFS(Actual!$F:$F,Actual!$N:$N,Monitoring!AO$6,Actual!$A:$A,Monitoring!$A148)</f>
        <v>0</v>
      </c>
      <c r="AP148" s="53">
        <f t="shared" si="81"/>
        <v>0</v>
      </c>
      <c r="AQ148" s="53">
        <f t="shared" si="82"/>
        <v>0</v>
      </c>
      <c r="AR148" s="53">
        <f t="shared" si="83"/>
        <v>0</v>
      </c>
      <c r="AS148" s="1">
        <f t="shared" si="84"/>
        <v>1400000</v>
      </c>
      <c r="AT148" s="12">
        <f t="shared" si="85"/>
        <v>0</v>
      </c>
      <c r="AU148" s="1"/>
      <c r="AV148" s="53">
        <f t="shared" si="86"/>
        <v>0</v>
      </c>
      <c r="AW148" s="1">
        <f t="shared" si="87"/>
        <v>0</v>
      </c>
      <c r="AX148" s="1">
        <f t="shared" si="88"/>
        <v>0</v>
      </c>
      <c r="AY148" s="1">
        <f t="shared" si="89"/>
        <v>0</v>
      </c>
      <c r="AZ148" s="1">
        <f t="shared" si="90"/>
        <v>0</v>
      </c>
      <c r="BA148" s="1">
        <f t="shared" si="91"/>
        <v>1400000</v>
      </c>
      <c r="BB148" s="1">
        <f t="shared" si="92"/>
        <v>1400000</v>
      </c>
      <c r="BC148" s="1">
        <f t="shared" si="93"/>
        <v>1400000</v>
      </c>
      <c r="BD148" s="1">
        <f t="shared" si="94"/>
        <v>1400000</v>
      </c>
      <c r="BE148" s="1">
        <f t="shared" si="95"/>
        <v>1400000</v>
      </c>
      <c r="BF148" s="1">
        <f t="shared" si="96"/>
        <v>1400000</v>
      </c>
      <c r="BG148" s="1">
        <f t="shared" si="97"/>
        <v>1400000</v>
      </c>
      <c r="BH148">
        <f t="shared" si="98"/>
        <v>142</v>
      </c>
    </row>
    <row r="149" spans="1:60" x14ac:dyDescent="0.35">
      <c r="A149">
        <v>40001289</v>
      </c>
      <c r="B149" t="str">
        <f t="shared" si="78"/>
        <v>2026 MERCEDEZ C 180 AVANTGARDE MDIA</v>
      </c>
      <c r="C149" t="s">
        <v>85</v>
      </c>
      <c r="D149" t="s">
        <v>0</v>
      </c>
      <c r="E149" t="s">
        <v>731</v>
      </c>
      <c r="F149" s="72" t="s">
        <v>1814</v>
      </c>
      <c r="G149" t="s">
        <v>1</v>
      </c>
      <c r="H149" t="s">
        <v>2</v>
      </c>
      <c r="I149">
        <v>1501</v>
      </c>
      <c r="J149" t="s">
        <v>2589</v>
      </c>
      <c r="K149" s="3">
        <f t="shared" si="79"/>
        <v>35</v>
      </c>
      <c r="L149" s="3" t="str">
        <f t="shared" si="80"/>
        <v>8100</v>
      </c>
      <c r="M149">
        <v>81123102</v>
      </c>
      <c r="N149" s="3" t="str">
        <f>_xlfn.XLOOKUP(M149,[2]Sheet1!$A:$A,[2]Sheet1!$D:$D)</f>
        <v>ADMIN SERVICES</v>
      </c>
      <c r="O149" t="s">
        <v>6</v>
      </c>
      <c r="P149" t="s">
        <v>400</v>
      </c>
      <c r="Q149" s="2" t="s">
        <v>2124</v>
      </c>
      <c r="R149" s="1">
        <f>2583425+406575</f>
        <v>2990000</v>
      </c>
      <c r="S149" s="67">
        <v>46178</v>
      </c>
      <c r="T149" t="str">
        <f>_xlfn.XLOOKUP(M149,[1]Sheet1!$A:$A,[1]Sheet1!$E:$E)</f>
        <v>CORPORATE</v>
      </c>
      <c r="U149" s="67">
        <v>46178</v>
      </c>
      <c r="V149" s="67" t="s">
        <v>761</v>
      </c>
      <c r="W149" s="67">
        <v>46178</v>
      </c>
      <c r="X149" s="63" t="s">
        <v>3153</v>
      </c>
      <c r="Z149" s="1">
        <f>_xlfn.XLOOKUP(A149,'SAP Report'!A:A,'SAP Report'!C:C)</f>
        <v>2669642.86</v>
      </c>
      <c r="AA149" s="1">
        <f>HLOOKUP($A$4,$AV$6:$BG149,(2+BH148),FALSE)</f>
        <v>2669642.86</v>
      </c>
      <c r="AB149" s="1">
        <f>SUMIF('Open PR PO'!A:A,Monitoring!A149,'Open PR PO'!K:K)</f>
        <v>0</v>
      </c>
      <c r="AC149" s="1">
        <f t="shared" si="99"/>
        <v>2669642.86</v>
      </c>
      <c r="AD149" s="1">
        <f t="shared" si="100"/>
        <v>0</v>
      </c>
      <c r="AE149" s="1">
        <f t="shared" si="101"/>
        <v>0</v>
      </c>
      <c r="AF149" s="1"/>
      <c r="AG149" s="53">
        <f>SUMIFS(Actual!$F:$F,Actual!$N:$N,Monitoring!AG$6,Actual!$A:$A,Monitoring!$A149)</f>
        <v>0</v>
      </c>
      <c r="AH149" s="53">
        <f>SUMIFS(Actual!$F:$F,Actual!$N:$N,Monitoring!AH$6,Actual!$A:$A,Monitoring!$A149)</f>
        <v>0</v>
      </c>
      <c r="AI149" s="53">
        <f>SUMIFS(Actual!$F:$F,Actual!$N:$N,Monitoring!AI$6,Actual!$A:$A,Monitoring!$A149)</f>
        <v>0</v>
      </c>
      <c r="AJ149" s="53">
        <f>SUMIFS(Actual!$F:$F,Actual!$N:$N,Monitoring!AJ$6,Actual!$A:$A,Monitoring!$A149)</f>
        <v>0</v>
      </c>
      <c r="AK149" s="53">
        <f>SUMIFS(Actual!$F:$F,Actual!$N:$N,Monitoring!AK$6,Actual!$A:$A,Monitoring!$A149)</f>
        <v>0</v>
      </c>
      <c r="AL149" s="53">
        <f>SUMIFS(Actual!$F:$F,Actual!$N:$N,Monitoring!AL$6,Actual!$A:$A,Monitoring!$A149)</f>
        <v>0</v>
      </c>
      <c r="AM149" s="53">
        <f>SUMIFS(Actual!$F:$F,Actual!$N:$N,Monitoring!AM$6,Actual!$A:$A,Monitoring!$A149)</f>
        <v>0</v>
      </c>
      <c r="AN149" s="53">
        <f>SUMIFS(Actual!$F:$F,Actual!$N:$N,Monitoring!AN$6,Actual!$A:$A,Monitoring!$A149)</f>
        <v>2669642.86</v>
      </c>
      <c r="AO149" s="53">
        <f>SUMIFS(Actual!$F:$F,Actual!$N:$N,Monitoring!AO$6,Actual!$A:$A,Monitoring!$A149)</f>
        <v>0</v>
      </c>
      <c r="AP149" s="53">
        <f t="shared" si="81"/>
        <v>0</v>
      </c>
      <c r="AQ149" s="53">
        <f t="shared" si="82"/>
        <v>0</v>
      </c>
      <c r="AR149" s="53">
        <f t="shared" si="83"/>
        <v>0</v>
      </c>
      <c r="AS149" s="1">
        <f t="shared" si="84"/>
        <v>2669642.86</v>
      </c>
      <c r="AT149" s="12">
        <f t="shared" si="85"/>
        <v>0</v>
      </c>
      <c r="AU149" s="1"/>
      <c r="AV149" s="53">
        <f t="shared" si="86"/>
        <v>0</v>
      </c>
      <c r="AW149" s="1">
        <f t="shared" si="87"/>
        <v>0</v>
      </c>
      <c r="AX149" s="1">
        <f t="shared" si="88"/>
        <v>0</v>
      </c>
      <c r="AY149" s="1">
        <f t="shared" si="89"/>
        <v>0</v>
      </c>
      <c r="AZ149" s="1">
        <f t="shared" si="90"/>
        <v>0</v>
      </c>
      <c r="BA149" s="1">
        <f t="shared" si="91"/>
        <v>0</v>
      </c>
      <c r="BB149" s="1">
        <f t="shared" si="92"/>
        <v>0</v>
      </c>
      <c r="BC149" s="1">
        <f t="shared" si="93"/>
        <v>2669642.86</v>
      </c>
      <c r="BD149" s="1">
        <f t="shared" si="94"/>
        <v>2669642.86</v>
      </c>
      <c r="BE149" s="1">
        <f t="shared" si="95"/>
        <v>2669642.86</v>
      </c>
      <c r="BF149" s="1">
        <f t="shared" si="96"/>
        <v>2669642.86</v>
      </c>
      <c r="BG149" s="1">
        <f t="shared" si="97"/>
        <v>2669642.86</v>
      </c>
      <c r="BH149">
        <f t="shared" si="98"/>
        <v>143</v>
      </c>
    </row>
    <row r="150" spans="1:60" x14ac:dyDescent="0.35">
      <c r="A150">
        <v>40001290</v>
      </c>
      <c r="B150" t="str">
        <f t="shared" si="78"/>
        <v>2026 BYD SEAL 5 DM-i DYNAMIC M.AMANTE</v>
      </c>
      <c r="C150" t="s">
        <v>85</v>
      </c>
      <c r="D150" t="s">
        <v>0</v>
      </c>
      <c r="E150" t="s">
        <v>731</v>
      </c>
      <c r="F150" s="72" t="s">
        <v>1814</v>
      </c>
      <c r="G150" t="s">
        <v>1</v>
      </c>
      <c r="H150" t="s">
        <v>2</v>
      </c>
      <c r="I150">
        <v>1501</v>
      </c>
      <c r="J150" t="s">
        <v>2127</v>
      </c>
      <c r="K150" s="3">
        <f t="shared" si="79"/>
        <v>37</v>
      </c>
      <c r="L150" s="3" t="str">
        <f t="shared" si="80"/>
        <v>8100</v>
      </c>
      <c r="M150">
        <v>81123102</v>
      </c>
      <c r="N150" s="3" t="str">
        <f>_xlfn.XLOOKUP(M150,[2]Sheet1!$A:$A,[2]Sheet1!$D:$D)</f>
        <v>ADMIN SERVICES</v>
      </c>
      <c r="O150" t="s">
        <v>2126</v>
      </c>
      <c r="P150" t="s">
        <v>402</v>
      </c>
      <c r="Q150" s="2" t="s">
        <v>2125</v>
      </c>
      <c r="R150" s="1">
        <v>868000</v>
      </c>
      <c r="S150" s="67">
        <v>46178</v>
      </c>
      <c r="T150" t="str">
        <f>_xlfn.XLOOKUP(M150,[1]Sheet1!$A:$A,[1]Sheet1!$E:$E)</f>
        <v>CORPORATE</v>
      </c>
      <c r="U150" s="67">
        <v>46178</v>
      </c>
      <c r="V150" s="67" t="s">
        <v>761</v>
      </c>
      <c r="W150" s="67">
        <v>46178</v>
      </c>
      <c r="X150" s="63" t="s">
        <v>2839</v>
      </c>
      <c r="Z150" s="1">
        <f>_xlfn.XLOOKUP(A150,'SAP Report'!A:A,'SAP Report'!C:C)</f>
        <v>775000</v>
      </c>
      <c r="AA150" s="1">
        <f>HLOOKUP($A$4,$AV$6:$BG150,(2+BH149),FALSE)</f>
        <v>775000</v>
      </c>
      <c r="AB150" s="1">
        <f>SUMIF('Open PR PO'!A:A,Monitoring!A150,'Open PR PO'!K:K)</f>
        <v>0</v>
      </c>
      <c r="AC150" s="1">
        <f t="shared" si="99"/>
        <v>775000</v>
      </c>
      <c r="AD150" s="1">
        <f t="shared" si="100"/>
        <v>0</v>
      </c>
      <c r="AE150" s="1">
        <f t="shared" si="101"/>
        <v>0</v>
      </c>
      <c r="AF150" s="1"/>
      <c r="AG150" s="53">
        <f>SUMIFS(Actual!$F:$F,Actual!$N:$N,Monitoring!AG$6,Actual!$A:$A,Monitoring!$A150)</f>
        <v>0</v>
      </c>
      <c r="AH150" s="53">
        <f>SUMIFS(Actual!$F:$F,Actual!$N:$N,Monitoring!AH$6,Actual!$A:$A,Monitoring!$A150)</f>
        <v>0</v>
      </c>
      <c r="AI150" s="53">
        <f>SUMIFS(Actual!$F:$F,Actual!$N:$N,Monitoring!AI$6,Actual!$A:$A,Monitoring!$A150)</f>
        <v>0</v>
      </c>
      <c r="AJ150" s="53">
        <f>SUMIFS(Actual!$F:$F,Actual!$N:$N,Monitoring!AJ$6,Actual!$A:$A,Monitoring!$A150)</f>
        <v>0</v>
      </c>
      <c r="AK150" s="53">
        <f>SUMIFS(Actual!$F:$F,Actual!$N:$N,Monitoring!AK$6,Actual!$A:$A,Monitoring!$A150)</f>
        <v>0</v>
      </c>
      <c r="AL150" s="53">
        <f>SUMIFS(Actual!$F:$F,Actual!$N:$N,Monitoring!AL$6,Actual!$A:$A,Monitoring!$A150)</f>
        <v>0</v>
      </c>
      <c r="AM150" s="53">
        <f>SUMIFS(Actual!$F:$F,Actual!$N:$N,Monitoring!AM$6,Actual!$A:$A,Monitoring!$A150)</f>
        <v>775000</v>
      </c>
      <c r="AN150" s="53">
        <f>SUMIFS(Actual!$F:$F,Actual!$N:$N,Monitoring!AN$6,Actual!$A:$A,Monitoring!$A150)</f>
        <v>0</v>
      </c>
      <c r="AO150" s="53">
        <f>SUMIFS(Actual!$F:$F,Actual!$N:$N,Monitoring!AO$6,Actual!$A:$A,Monitoring!$A150)</f>
        <v>0</v>
      </c>
      <c r="AP150" s="53">
        <f t="shared" si="81"/>
        <v>0</v>
      </c>
      <c r="AQ150" s="53">
        <f t="shared" si="82"/>
        <v>0</v>
      </c>
      <c r="AR150" s="53">
        <f t="shared" si="83"/>
        <v>0</v>
      </c>
      <c r="AS150" s="1">
        <f t="shared" si="84"/>
        <v>775000</v>
      </c>
      <c r="AT150" s="12">
        <f t="shared" si="85"/>
        <v>0</v>
      </c>
      <c r="AU150" s="1"/>
      <c r="AV150" s="53">
        <f t="shared" si="86"/>
        <v>0</v>
      </c>
      <c r="AW150" s="1">
        <f t="shared" si="87"/>
        <v>0</v>
      </c>
      <c r="AX150" s="1">
        <f t="shared" si="88"/>
        <v>0</v>
      </c>
      <c r="AY150" s="1">
        <f t="shared" si="89"/>
        <v>0</v>
      </c>
      <c r="AZ150" s="1">
        <f t="shared" si="90"/>
        <v>0</v>
      </c>
      <c r="BA150" s="1">
        <f t="shared" si="91"/>
        <v>0</v>
      </c>
      <c r="BB150" s="1">
        <f t="shared" si="92"/>
        <v>775000</v>
      </c>
      <c r="BC150" s="1">
        <f t="shared" si="93"/>
        <v>775000</v>
      </c>
      <c r="BD150" s="1">
        <f t="shared" si="94"/>
        <v>775000</v>
      </c>
      <c r="BE150" s="1">
        <f t="shared" si="95"/>
        <v>775000</v>
      </c>
      <c r="BF150" s="1">
        <f t="shared" si="96"/>
        <v>775000</v>
      </c>
      <c r="BG150" s="1">
        <f t="shared" si="97"/>
        <v>775000</v>
      </c>
      <c r="BH150">
        <f t="shared" si="98"/>
        <v>144</v>
      </c>
    </row>
    <row r="151" spans="1:60" x14ac:dyDescent="0.35">
      <c r="A151">
        <v>40001291</v>
      </c>
      <c r="B151" t="str">
        <f t="shared" si="78"/>
        <v>ES SHOWROOM STORAGE RACKS AND PUSHCARTS</v>
      </c>
      <c r="C151" t="s">
        <v>861</v>
      </c>
      <c r="D151" t="s">
        <v>861</v>
      </c>
      <c r="E151" t="s">
        <v>2128</v>
      </c>
      <c r="F151" s="72" t="s">
        <v>1814</v>
      </c>
      <c r="G151" t="s">
        <v>1</v>
      </c>
      <c r="H151" t="s">
        <v>1821</v>
      </c>
      <c r="I151">
        <v>1300</v>
      </c>
      <c r="J151" t="s">
        <v>2132</v>
      </c>
      <c r="K151" s="3">
        <f t="shared" si="79"/>
        <v>39</v>
      </c>
      <c r="L151" s="3" t="str">
        <f t="shared" si="80"/>
        <v>8000</v>
      </c>
      <c r="M151">
        <v>80339101</v>
      </c>
      <c r="N151" s="3" t="str">
        <f>_xlfn.XLOOKUP(M151,[2]Sheet1!$A:$A,[2]Sheet1!$D:$D)</f>
        <v>SBU BS - RBU (COMMON</v>
      </c>
      <c r="O151" t="s">
        <v>2130</v>
      </c>
      <c r="P151" t="s">
        <v>1827</v>
      </c>
      <c r="Q151" s="2" t="s">
        <v>2131</v>
      </c>
      <c r="R151" s="1">
        <v>57340</v>
      </c>
      <c r="S151" t="s">
        <v>2074</v>
      </c>
      <c r="T151" t="str">
        <f>_xlfn.XLOOKUP(M151,[1]Sheet1!$A:$A,[1]Sheet1!$E:$E)</f>
        <v>RESIDENTIAL</v>
      </c>
      <c r="U151" s="67">
        <v>46208</v>
      </c>
      <c r="V151" s="67" t="s">
        <v>761</v>
      </c>
      <c r="W151" s="67">
        <v>46208</v>
      </c>
      <c r="X151" s="63" t="s">
        <v>2133</v>
      </c>
      <c r="Z151" s="1">
        <f>_xlfn.XLOOKUP(A151,'SAP Report'!A:A,'SAP Report'!C:C)</f>
        <v>57340</v>
      </c>
      <c r="AA151" s="1">
        <f>HLOOKUP($A$4,$AV$6:$BG151,(2+BH150),FALSE)</f>
        <v>47178.57</v>
      </c>
      <c r="AB151" s="1">
        <f>SUMIF('Open PR PO'!A:A,Monitoring!A151,'Open PR PO'!K:K)</f>
        <v>0</v>
      </c>
      <c r="AC151" s="1">
        <f t="shared" si="99"/>
        <v>47178.57</v>
      </c>
      <c r="AD151" s="1">
        <f t="shared" si="100"/>
        <v>10161.43</v>
      </c>
      <c r="AE151" s="1">
        <f t="shared" si="101"/>
        <v>10161.43</v>
      </c>
      <c r="AF151" s="1"/>
      <c r="AG151" s="53">
        <f>SUMIFS(Actual!$F:$F,Actual!$N:$N,Monitoring!AG$6,Actual!$A:$A,Monitoring!$A151)</f>
        <v>0</v>
      </c>
      <c r="AH151" s="53">
        <f>SUMIFS(Actual!$F:$F,Actual!$N:$N,Monitoring!AH$6,Actual!$A:$A,Monitoring!$A151)</f>
        <v>0</v>
      </c>
      <c r="AI151" s="53">
        <f>SUMIFS(Actual!$F:$F,Actual!$N:$N,Monitoring!AI$6,Actual!$A:$A,Monitoring!$A151)</f>
        <v>0</v>
      </c>
      <c r="AJ151" s="53">
        <f>SUMIFS(Actual!$F:$F,Actual!$N:$N,Monitoring!AJ$6,Actual!$A:$A,Monitoring!$A151)</f>
        <v>0</v>
      </c>
      <c r="AK151" s="53">
        <f>SUMIFS(Actual!$F:$F,Actual!$N:$N,Monitoring!AK$6,Actual!$A:$A,Monitoring!$A151)</f>
        <v>0</v>
      </c>
      <c r="AL151" s="53">
        <f>SUMIFS(Actual!$F:$F,Actual!$N:$N,Monitoring!AL$6,Actual!$A:$A,Monitoring!$A151)</f>
        <v>26785.71</v>
      </c>
      <c r="AM151" s="53">
        <f>SUMIFS(Actual!$F:$F,Actual!$N:$N,Monitoring!AM$6,Actual!$A:$A,Monitoring!$A151)</f>
        <v>0</v>
      </c>
      <c r="AN151" s="53">
        <f>SUMIFS(Actual!$F:$F,Actual!$N:$N,Monitoring!AN$6,Actual!$A:$A,Monitoring!$A151)</f>
        <v>20392.86</v>
      </c>
      <c r="AO151" s="53">
        <f>SUMIFS(Actual!$F:$F,Actual!$N:$N,Monitoring!AO$6,Actual!$A:$A,Monitoring!$A151)</f>
        <v>0</v>
      </c>
      <c r="AP151" s="53">
        <f t="shared" si="81"/>
        <v>0</v>
      </c>
      <c r="AQ151" s="53">
        <f t="shared" si="82"/>
        <v>5080.7150000000001</v>
      </c>
      <c r="AR151" s="53">
        <f t="shared" si="83"/>
        <v>5080.7150000000001</v>
      </c>
      <c r="AS151" s="1">
        <f t="shared" si="84"/>
        <v>57340</v>
      </c>
      <c r="AT151" s="12">
        <f t="shared" si="85"/>
        <v>0</v>
      </c>
      <c r="AU151" s="1"/>
      <c r="AV151" s="53">
        <f t="shared" si="86"/>
        <v>0</v>
      </c>
      <c r="AW151" s="1">
        <f t="shared" si="87"/>
        <v>0</v>
      </c>
      <c r="AX151" s="1">
        <f t="shared" si="88"/>
        <v>0</v>
      </c>
      <c r="AY151" s="1">
        <f t="shared" si="89"/>
        <v>0</v>
      </c>
      <c r="AZ151" s="1">
        <f t="shared" si="90"/>
        <v>0</v>
      </c>
      <c r="BA151" s="1">
        <f t="shared" si="91"/>
        <v>26785.71</v>
      </c>
      <c r="BB151" s="1">
        <f t="shared" si="92"/>
        <v>26785.71</v>
      </c>
      <c r="BC151" s="1">
        <f t="shared" si="93"/>
        <v>47178.57</v>
      </c>
      <c r="BD151" s="1">
        <f t="shared" si="94"/>
        <v>47178.57</v>
      </c>
      <c r="BE151" s="1">
        <f t="shared" si="95"/>
        <v>47178.57</v>
      </c>
      <c r="BF151" s="1">
        <f t="shared" si="96"/>
        <v>52259.285000000003</v>
      </c>
      <c r="BG151" s="1">
        <f t="shared" si="97"/>
        <v>57340</v>
      </c>
      <c r="BH151">
        <f t="shared" si="98"/>
        <v>145</v>
      </c>
    </row>
    <row r="152" spans="1:60" x14ac:dyDescent="0.35">
      <c r="A152">
        <v>40001292</v>
      </c>
      <c r="B152" t="str">
        <f t="shared" si="78"/>
        <v>2026 WIGO G CVT TOYOTA SHAW L.BRIVA</v>
      </c>
      <c r="C152" t="s">
        <v>85</v>
      </c>
      <c r="D152" t="s">
        <v>0</v>
      </c>
      <c r="E152" t="s">
        <v>731</v>
      </c>
      <c r="F152" s="72" t="s">
        <v>1814</v>
      </c>
      <c r="G152" t="s">
        <v>1</v>
      </c>
      <c r="H152" t="s">
        <v>2</v>
      </c>
      <c r="I152">
        <v>1501</v>
      </c>
      <c r="J152" t="s">
        <v>2136</v>
      </c>
      <c r="K152" s="3">
        <f t="shared" si="79"/>
        <v>35</v>
      </c>
      <c r="L152" s="3" t="str">
        <f t="shared" si="80"/>
        <v>8000</v>
      </c>
      <c r="M152">
        <v>80123102</v>
      </c>
      <c r="N152" s="3" t="str">
        <f>_xlfn.XLOOKUP(M152,[2]Sheet1!$A:$A,[2]Sheet1!$D:$D)</f>
        <v>ADMIN SERVICES</v>
      </c>
      <c r="O152" t="s">
        <v>2134</v>
      </c>
      <c r="P152" t="s">
        <v>410</v>
      </c>
      <c r="Q152" s="2" t="s">
        <v>2135</v>
      </c>
      <c r="R152" s="1">
        <v>715000</v>
      </c>
      <c r="S152" s="67">
        <v>46208</v>
      </c>
      <c r="T152" t="str">
        <f>_xlfn.XLOOKUP(M152,[1]Sheet1!$A:$A,[1]Sheet1!$E:$E)</f>
        <v>CORPORATE</v>
      </c>
      <c r="U152" s="67">
        <v>46208</v>
      </c>
      <c r="V152" s="67" t="s">
        <v>761</v>
      </c>
      <c r="W152" s="67">
        <v>46208</v>
      </c>
      <c r="X152" s="63" t="s">
        <v>2840</v>
      </c>
      <c r="Z152" s="1">
        <f>_xlfn.XLOOKUP(A152,'SAP Report'!A:A,'SAP Report'!C:C)</f>
        <v>628335.71</v>
      </c>
      <c r="AA152" s="1">
        <f>HLOOKUP($A$4,$AV$6:$BG152,(2+BH151),FALSE)</f>
        <v>628335.71</v>
      </c>
      <c r="AB152" s="1">
        <f>SUMIF('Open PR PO'!A:A,Monitoring!A152,'Open PR PO'!K:K)</f>
        <v>0</v>
      </c>
      <c r="AC152" s="1">
        <f t="shared" si="99"/>
        <v>628335.71</v>
      </c>
      <c r="AD152" s="1">
        <f t="shared" si="100"/>
        <v>0</v>
      </c>
      <c r="AE152" s="1">
        <f t="shared" si="101"/>
        <v>0</v>
      </c>
      <c r="AF152" s="1"/>
      <c r="AG152" s="53">
        <f>SUMIFS(Actual!$F:$F,Actual!$N:$N,Monitoring!AG$6,Actual!$A:$A,Monitoring!$A152)</f>
        <v>0</v>
      </c>
      <c r="AH152" s="53">
        <f>SUMIFS(Actual!$F:$F,Actual!$N:$N,Monitoring!AH$6,Actual!$A:$A,Monitoring!$A152)</f>
        <v>0</v>
      </c>
      <c r="AI152" s="53">
        <f>SUMIFS(Actual!$F:$F,Actual!$N:$N,Monitoring!AI$6,Actual!$A:$A,Monitoring!$A152)</f>
        <v>0</v>
      </c>
      <c r="AJ152" s="53">
        <f>SUMIFS(Actual!$F:$F,Actual!$N:$N,Monitoring!AJ$6,Actual!$A:$A,Monitoring!$A152)</f>
        <v>0</v>
      </c>
      <c r="AK152" s="53">
        <f>SUMIFS(Actual!$F:$F,Actual!$N:$N,Monitoring!AK$6,Actual!$A:$A,Monitoring!$A152)</f>
        <v>0</v>
      </c>
      <c r="AL152" s="53">
        <f>SUMIFS(Actual!$F:$F,Actual!$N:$N,Monitoring!AL$6,Actual!$A:$A,Monitoring!$A152)</f>
        <v>628335.71</v>
      </c>
      <c r="AM152" s="53">
        <f>SUMIFS(Actual!$F:$F,Actual!$N:$N,Monitoring!AM$6,Actual!$A:$A,Monitoring!$A152)</f>
        <v>0</v>
      </c>
      <c r="AN152" s="53">
        <f>SUMIFS(Actual!$F:$F,Actual!$N:$N,Monitoring!AN$6,Actual!$A:$A,Monitoring!$A152)</f>
        <v>0</v>
      </c>
      <c r="AO152" s="53">
        <f>SUMIFS(Actual!$F:$F,Actual!$N:$N,Monitoring!AO$6,Actual!$A:$A,Monitoring!$A152)</f>
        <v>0</v>
      </c>
      <c r="AP152" s="53">
        <f t="shared" si="81"/>
        <v>0</v>
      </c>
      <c r="AQ152" s="53">
        <f t="shared" si="82"/>
        <v>0</v>
      </c>
      <c r="AR152" s="53">
        <f t="shared" si="83"/>
        <v>0</v>
      </c>
      <c r="AS152" s="1">
        <f t="shared" si="84"/>
        <v>628335.71</v>
      </c>
      <c r="AT152" s="12">
        <f t="shared" si="85"/>
        <v>0</v>
      </c>
      <c r="AU152" s="1"/>
      <c r="AV152" s="53">
        <f t="shared" si="86"/>
        <v>0</v>
      </c>
      <c r="AW152" s="1">
        <f t="shared" si="87"/>
        <v>0</v>
      </c>
      <c r="AX152" s="1">
        <f t="shared" si="88"/>
        <v>0</v>
      </c>
      <c r="AY152" s="1">
        <f t="shared" si="89"/>
        <v>0</v>
      </c>
      <c r="AZ152" s="1">
        <f t="shared" si="90"/>
        <v>0</v>
      </c>
      <c r="BA152" s="1">
        <f t="shared" si="91"/>
        <v>628335.71</v>
      </c>
      <c r="BB152" s="1">
        <f t="shared" si="92"/>
        <v>628335.71</v>
      </c>
      <c r="BC152" s="1">
        <f t="shared" si="93"/>
        <v>628335.71</v>
      </c>
      <c r="BD152" s="1">
        <f t="shared" si="94"/>
        <v>628335.71</v>
      </c>
      <c r="BE152" s="1">
        <f t="shared" si="95"/>
        <v>628335.71</v>
      </c>
      <c r="BF152" s="1">
        <f t="shared" si="96"/>
        <v>628335.71</v>
      </c>
      <c r="BG152" s="1">
        <f t="shared" si="97"/>
        <v>628335.71</v>
      </c>
      <c r="BH152">
        <f t="shared" si="98"/>
        <v>146</v>
      </c>
    </row>
    <row r="153" spans="1:60" x14ac:dyDescent="0.35">
      <c r="A153">
        <v>10001460</v>
      </c>
      <c r="B153" t="str">
        <f t="shared" si="78"/>
        <v>CC STP REHAB AND REPAIR, PHASE 2</v>
      </c>
      <c r="C153" t="s">
        <v>766</v>
      </c>
      <c r="D153" t="s">
        <v>766</v>
      </c>
      <c r="E153" t="s">
        <v>684</v>
      </c>
      <c r="F153" s="72" t="s">
        <v>1814</v>
      </c>
      <c r="G153" t="s">
        <v>1</v>
      </c>
      <c r="H153" t="s">
        <v>361</v>
      </c>
      <c r="I153">
        <v>1100</v>
      </c>
      <c r="J153" t="s">
        <v>2137</v>
      </c>
      <c r="K153" s="3">
        <f t="shared" si="79"/>
        <v>32</v>
      </c>
      <c r="L153" s="3" t="str">
        <f t="shared" si="80"/>
        <v>8000</v>
      </c>
      <c r="M153">
        <v>80323101</v>
      </c>
      <c r="N153" s="3" t="str">
        <f>_xlfn.XLOOKUP(M153,[2]Sheet1!$A:$A,[2]Sheet1!$D:$D)</f>
        <v>CC DEVELOPABLE</v>
      </c>
      <c r="O153" t="s">
        <v>767</v>
      </c>
      <c r="P153" t="s">
        <v>339</v>
      </c>
      <c r="Q153" s="2" t="s">
        <v>2138</v>
      </c>
      <c r="R153" s="1">
        <v>22853483.170000002</v>
      </c>
      <c r="S153" s="67">
        <v>46361</v>
      </c>
      <c r="T153" t="str">
        <f>_xlfn.XLOOKUP(M153,[1]Sheet1!$A:$A,[1]Sheet1!$E:$E)</f>
        <v>ESTATES</v>
      </c>
      <c r="U153" s="67">
        <v>46027</v>
      </c>
      <c r="V153" s="67" t="s">
        <v>1797</v>
      </c>
      <c r="W153" s="67">
        <v>46361</v>
      </c>
      <c r="X153" s="66" t="s">
        <v>2139</v>
      </c>
      <c r="Z153" s="1">
        <f>_xlfn.XLOOKUP(A153,'SAP Report'!A:A,'SAP Report'!C:C)</f>
        <v>22853483.170000002</v>
      </c>
      <c r="AA153" s="1">
        <f>HLOOKUP($A$4,$AV$6:$BG153,(2+BH152),FALSE)</f>
        <v>0</v>
      </c>
      <c r="AB153" s="1">
        <f>SUMIF('Open PR PO'!A:A,Monitoring!A153,'Open PR PO'!K:K)</f>
        <v>20535714.289999999</v>
      </c>
      <c r="AC153" s="1">
        <f t="shared" si="99"/>
        <v>20535714.289999999</v>
      </c>
      <c r="AD153" s="1">
        <f t="shared" si="100"/>
        <v>2317768.8800000027</v>
      </c>
      <c r="AE153" s="1">
        <f t="shared" si="101"/>
        <v>22853483.170000002</v>
      </c>
      <c r="AF153" s="1"/>
      <c r="AG153" s="53">
        <f>SUMIFS(Actual!$F:$F,Actual!$N:$N,Monitoring!AG$6,Actual!$A:$A,Monitoring!#REF!)</f>
        <v>0</v>
      </c>
      <c r="AH153" s="53">
        <f>SUMIFS(Actual!$F:$F,Actual!$N:$N,Monitoring!AH$6,Actual!$A:$A,Monitoring!#REF!)</f>
        <v>0</v>
      </c>
      <c r="AI153" s="53">
        <f>SUMIFS(Actual!$F:$F,Actual!$N:$N,Monitoring!AI$6,Actual!$A:$A,Monitoring!#REF!)</f>
        <v>0</v>
      </c>
      <c r="AJ153" s="53">
        <f>SUMIFS(Actual!$F:$F,Actual!$N:$N,Monitoring!AJ$6,Actual!$A:$A,Monitoring!#REF!)</f>
        <v>0</v>
      </c>
      <c r="AK153" s="53">
        <f>SUMIFS(Actual!$F:$F,Actual!$N:$N,Monitoring!AK$6,Actual!$A:$A,Monitoring!#REF!)</f>
        <v>0</v>
      </c>
      <c r="AL153" s="53">
        <f>SUMIFS(Actual!$F:$F,Actual!$N:$N,Monitoring!AL$6,Actual!$A:$A,Monitoring!#REF!)</f>
        <v>0</v>
      </c>
      <c r="AM153" s="53">
        <f>SUMIFS(Actual!$F:$F,Actual!$N:$N,Monitoring!AM$6,Actual!$A:$A,Monitoring!#REF!)</f>
        <v>0</v>
      </c>
      <c r="AN153" s="53">
        <f>SUMIFS(Actual!$F:$F,Actual!$N:$N,Monitoring!AN$6,Actual!$A:$A,Monitoring!$A153)</f>
        <v>0</v>
      </c>
      <c r="AO153" s="53">
        <f>SUMIFS(Actual!$F:$F,Actual!$N:$N,Monitoring!AO$6,Actual!$A:$A,Monitoring!$A153)</f>
        <v>0</v>
      </c>
      <c r="AP153" s="53">
        <f t="shared" si="81"/>
        <v>20535714.289999999</v>
      </c>
      <c r="AQ153" s="53">
        <f t="shared" si="82"/>
        <v>1158884.4400000013</v>
      </c>
      <c r="AR153" s="53">
        <f t="shared" si="83"/>
        <v>1158884.4400000013</v>
      </c>
      <c r="AS153" s="1">
        <f t="shared" si="84"/>
        <v>22853483.170000002</v>
      </c>
      <c r="AT153" s="12">
        <f t="shared" si="85"/>
        <v>0</v>
      </c>
      <c r="AU153" s="1"/>
      <c r="AV153" s="53">
        <f t="shared" si="86"/>
        <v>0</v>
      </c>
      <c r="AW153" s="1">
        <f t="shared" si="87"/>
        <v>0</v>
      </c>
      <c r="AX153" s="1">
        <f t="shared" si="88"/>
        <v>0</v>
      </c>
      <c r="AY153" s="1">
        <f t="shared" si="89"/>
        <v>0</v>
      </c>
      <c r="AZ153" s="1">
        <f t="shared" si="90"/>
        <v>0</v>
      </c>
      <c r="BA153" s="1">
        <f t="shared" si="91"/>
        <v>0</v>
      </c>
      <c r="BB153" s="1">
        <f t="shared" si="92"/>
        <v>0</v>
      </c>
      <c r="BC153" s="1">
        <f t="shared" si="93"/>
        <v>0</v>
      </c>
      <c r="BD153" s="1">
        <f t="shared" si="94"/>
        <v>0</v>
      </c>
      <c r="BE153" s="1">
        <f t="shared" si="95"/>
        <v>20535714.289999999</v>
      </c>
      <c r="BF153" s="1">
        <f t="shared" si="96"/>
        <v>21694598.73</v>
      </c>
      <c r="BG153" s="1">
        <f t="shared" si="97"/>
        <v>22853483.170000002</v>
      </c>
      <c r="BH153">
        <f t="shared" si="98"/>
        <v>147</v>
      </c>
    </row>
    <row r="154" spans="1:60" x14ac:dyDescent="0.35">
      <c r="A154">
        <v>10001461</v>
      </c>
      <c r="B154" t="str">
        <f t="shared" si="78"/>
        <v>GH MCKINLEY PARKING WAYFINDING</v>
      </c>
      <c r="C154" t="s">
        <v>9</v>
      </c>
      <c r="D154" t="s">
        <v>9</v>
      </c>
      <c r="E154" t="s">
        <v>698</v>
      </c>
      <c r="F154" s="72" t="s">
        <v>1814</v>
      </c>
      <c r="G154" t="s">
        <v>1</v>
      </c>
      <c r="H154" t="s">
        <v>583</v>
      </c>
      <c r="I154">
        <v>1100</v>
      </c>
      <c r="J154" t="s">
        <v>2140</v>
      </c>
      <c r="K154" s="3">
        <f t="shared" si="79"/>
        <v>30</v>
      </c>
      <c r="L154" s="3" t="str">
        <f t="shared" si="80"/>
        <v>8100</v>
      </c>
      <c r="M154">
        <v>81221202</v>
      </c>
      <c r="N154" s="3" t="str">
        <f>_xlfn.XLOOKUP(M154,[2]Sheet1!$A:$A,[2]Sheet1!$D:$D)</f>
        <v>GSC PARKING</v>
      </c>
      <c r="O154" t="s">
        <v>19</v>
      </c>
      <c r="P154" t="s">
        <v>20</v>
      </c>
      <c r="Q154" s="2" t="s">
        <v>2141</v>
      </c>
      <c r="R154" s="89">
        <v>2000000</v>
      </c>
      <c r="S154" s="67" t="s">
        <v>2143</v>
      </c>
      <c r="T154" t="str">
        <f>_xlfn.XLOOKUP(M154,[1]Sheet1!$A:$A,[1]Sheet1!$E:$E)</f>
        <v>MALLS</v>
      </c>
      <c r="U154" s="67">
        <v>46027</v>
      </c>
      <c r="V154" s="63" t="s">
        <v>1836</v>
      </c>
      <c r="W154" s="67" t="s">
        <v>2142</v>
      </c>
      <c r="X154" s="63" t="s">
        <v>2144</v>
      </c>
      <c r="Z154" s="1">
        <f>_xlfn.XLOOKUP(A154,'SAP Report'!A:A,'SAP Report'!C:C)</f>
        <v>2000000</v>
      </c>
      <c r="AA154" s="1">
        <f>HLOOKUP($A$4,$AV$6:$BG154,(2+BH153),FALSE)</f>
        <v>0</v>
      </c>
      <c r="AB154" s="1">
        <f>SUMIF('Open PR PO'!A:A,Monitoring!A154,'Open PR PO'!K:K)</f>
        <v>0</v>
      </c>
      <c r="AC154" s="1">
        <f t="shared" si="99"/>
        <v>0</v>
      </c>
      <c r="AD154" s="1">
        <f t="shared" si="100"/>
        <v>2000000</v>
      </c>
      <c r="AE154" s="1">
        <f t="shared" si="101"/>
        <v>2000000</v>
      </c>
      <c r="AF154" s="1"/>
      <c r="AG154" s="53">
        <f>SUMIFS(Actual!$F:$F,Actual!$N:$N,Monitoring!AG$6,Actual!$A:$A,Monitoring!$A154)</f>
        <v>0</v>
      </c>
      <c r="AH154" s="53">
        <f>SUMIFS(Actual!$F:$F,Actual!$N:$N,Monitoring!AH$6,Actual!$A:$A,Monitoring!$A154)</f>
        <v>0</v>
      </c>
      <c r="AI154" s="53">
        <f>SUMIFS(Actual!$F:$F,Actual!$N:$N,Monitoring!AI$6,Actual!$A:$A,Monitoring!$A154)</f>
        <v>0</v>
      </c>
      <c r="AJ154" s="53">
        <f>SUMIFS(Actual!$F:$F,Actual!$N:$N,Monitoring!AJ$6,Actual!$A:$A,Monitoring!$A154)</f>
        <v>0</v>
      </c>
      <c r="AK154" s="53">
        <f>SUMIFS(Actual!$F:$F,Actual!$N:$N,Monitoring!AK$6,Actual!$A:$A,Monitoring!$A154)</f>
        <v>0</v>
      </c>
      <c r="AL154" s="53">
        <f>SUMIFS(Actual!$F:$F,Actual!$N:$N,Monitoring!AL$6,Actual!$A:$A,Monitoring!$A154)</f>
        <v>0</v>
      </c>
      <c r="AM154" s="53">
        <f>SUMIFS(Actual!$F:$F,Actual!$N:$N,Monitoring!AM$6,Actual!$A:$A,Monitoring!$A154)</f>
        <v>0</v>
      </c>
      <c r="AN154" s="53">
        <f>SUMIFS(Actual!$F:$F,Actual!$N:$N,Monitoring!AN$6,Actual!$A:$A,Monitoring!$A154)</f>
        <v>0</v>
      </c>
      <c r="AO154" s="53">
        <f>SUMIFS(Actual!$F:$F,Actual!$N:$N,Monitoring!AO$6,Actual!$A:$A,Monitoring!$A154)</f>
        <v>0</v>
      </c>
      <c r="AP154" s="53">
        <f t="shared" si="81"/>
        <v>0</v>
      </c>
      <c r="AQ154" s="53">
        <f t="shared" si="82"/>
        <v>1000000</v>
      </c>
      <c r="AR154" s="53">
        <f t="shared" si="83"/>
        <v>1000000</v>
      </c>
      <c r="AS154" s="1">
        <f t="shared" si="84"/>
        <v>2000000</v>
      </c>
      <c r="AT154" s="12">
        <f t="shared" si="85"/>
        <v>0</v>
      </c>
      <c r="AU154" s="1"/>
      <c r="AV154" s="53">
        <f t="shared" si="86"/>
        <v>0</v>
      </c>
      <c r="AW154" s="1">
        <f t="shared" si="87"/>
        <v>0</v>
      </c>
      <c r="AX154" s="1">
        <f t="shared" si="88"/>
        <v>0</v>
      </c>
      <c r="AY154" s="1">
        <f t="shared" si="89"/>
        <v>0</v>
      </c>
      <c r="AZ154" s="1">
        <f t="shared" si="90"/>
        <v>0</v>
      </c>
      <c r="BA154" s="1">
        <f t="shared" si="91"/>
        <v>0</v>
      </c>
      <c r="BB154" s="1">
        <f t="shared" si="92"/>
        <v>0</v>
      </c>
      <c r="BC154" s="1">
        <f t="shared" si="93"/>
        <v>0</v>
      </c>
      <c r="BD154" s="1">
        <f t="shared" si="94"/>
        <v>0</v>
      </c>
      <c r="BE154" s="1">
        <f t="shared" si="95"/>
        <v>0</v>
      </c>
      <c r="BF154" s="1">
        <f t="shared" si="96"/>
        <v>1000000</v>
      </c>
      <c r="BG154" s="1">
        <f t="shared" si="97"/>
        <v>2000000</v>
      </c>
      <c r="BH154">
        <f t="shared" si="98"/>
        <v>148</v>
      </c>
    </row>
    <row r="155" spans="1:60" x14ac:dyDescent="0.35">
      <c r="A155">
        <v>10001462</v>
      </c>
      <c r="B155" t="str">
        <f t="shared" si="78"/>
        <v>ENS REPLACEMENT OF SYNCHRONIZE PANEL CONTROLLER (MALL)</v>
      </c>
      <c r="C155" t="s">
        <v>9</v>
      </c>
      <c r="D155" t="s">
        <v>9</v>
      </c>
      <c r="E155" t="s">
        <v>263</v>
      </c>
      <c r="F155" s="72" t="s">
        <v>1814</v>
      </c>
      <c r="G155" t="s">
        <v>1</v>
      </c>
      <c r="H155" t="s">
        <v>25</v>
      </c>
      <c r="I155">
        <v>1110</v>
      </c>
      <c r="J155" t="s">
        <v>2529</v>
      </c>
      <c r="K155" s="3">
        <f t="shared" si="79"/>
        <v>54</v>
      </c>
      <c r="L155" s="3" t="str">
        <f t="shared" si="80"/>
        <v>8100</v>
      </c>
      <c r="M155">
        <v>81225201</v>
      </c>
      <c r="N155" s="3" t="str">
        <f>_xlfn.XLOOKUP(M155,[2]Sheet1!$A:$A,[2]Sheet1!$D:$D)</f>
        <v>ESTANCIA EXP - MALL</v>
      </c>
      <c r="O155" t="s">
        <v>2530</v>
      </c>
      <c r="P155" t="s">
        <v>20</v>
      </c>
      <c r="Q155" s="2" t="s">
        <v>2528</v>
      </c>
      <c r="R155" s="89">
        <v>645000</v>
      </c>
      <c r="S155" s="63" t="s">
        <v>2531</v>
      </c>
      <c r="T155" t="str">
        <f>_xlfn.XLOOKUP(M155,[1]Sheet1!$A:$A,[1]Sheet1!$E:$E)</f>
        <v>MALLS</v>
      </c>
      <c r="U155" s="63" t="s">
        <v>2532</v>
      </c>
      <c r="V155" s="63" t="s">
        <v>49</v>
      </c>
      <c r="W155" s="63" t="s">
        <v>2533</v>
      </c>
      <c r="X155" s="63" t="s">
        <v>2534</v>
      </c>
      <c r="Z155" s="1">
        <f>_xlfn.XLOOKUP(A155,'SAP Report'!A:A,'SAP Report'!C:C)</f>
        <v>645000</v>
      </c>
      <c r="AA155" s="1">
        <f>HLOOKUP($A$4,$AV$6:$BG155,(2+BH154),FALSE)</f>
        <v>0</v>
      </c>
      <c r="AB155" s="1">
        <f>SUMIF('Open PR PO'!A:A,Monitoring!A155,'Open PR PO'!K:K)</f>
        <v>580357.14</v>
      </c>
      <c r="AC155" s="1">
        <f t="shared" si="99"/>
        <v>580357.14</v>
      </c>
      <c r="AD155" s="1">
        <f t="shared" si="100"/>
        <v>64642.859999999986</v>
      </c>
      <c r="AE155" s="1">
        <f t="shared" si="101"/>
        <v>645000</v>
      </c>
      <c r="AF155" s="1"/>
      <c r="AG155" s="53">
        <f>SUMIFS(Actual!$F:$F,Actual!$N:$N,Monitoring!AG$6,Actual!$A:$A,Monitoring!$A155)</f>
        <v>0</v>
      </c>
      <c r="AH155" s="53">
        <f>SUMIFS(Actual!$F:$F,Actual!$N:$N,Monitoring!AH$6,Actual!$A:$A,Monitoring!$A155)</f>
        <v>0</v>
      </c>
      <c r="AI155" s="53">
        <f>SUMIFS(Actual!$F:$F,Actual!$N:$N,Monitoring!AI$6,Actual!$A:$A,Monitoring!$A155)</f>
        <v>0</v>
      </c>
      <c r="AJ155" s="53">
        <f>SUMIFS(Actual!$F:$F,Actual!$N:$N,Monitoring!AJ$6,Actual!$A:$A,Monitoring!$A155)</f>
        <v>0</v>
      </c>
      <c r="AK155" s="53">
        <f>SUMIFS(Actual!$F:$F,Actual!$N:$N,Monitoring!AK$6,Actual!$A:$A,Monitoring!$A155)</f>
        <v>0</v>
      </c>
      <c r="AL155" s="53">
        <f>SUMIFS(Actual!$F:$F,Actual!$N:$N,Monitoring!AL$6,Actual!$A:$A,Monitoring!$A155)</f>
        <v>0</v>
      </c>
      <c r="AM155" s="53">
        <f>SUMIFS(Actual!$F:$F,Actual!$N:$N,Monitoring!AM$6,Actual!$A:$A,Monitoring!$A155)</f>
        <v>0</v>
      </c>
      <c r="AN155" s="53">
        <f>SUMIFS(Actual!$F:$F,Actual!$N:$N,Monitoring!AN$6,Actual!$A:$A,Monitoring!$A155)</f>
        <v>0</v>
      </c>
      <c r="AO155" s="53">
        <f>SUMIFS(Actual!$F:$F,Actual!$N:$N,Monitoring!AO$6,Actual!$A:$A,Monitoring!$A155)</f>
        <v>0</v>
      </c>
      <c r="AP155" s="53">
        <f t="shared" si="81"/>
        <v>580357.14</v>
      </c>
      <c r="AQ155" s="53">
        <f t="shared" si="82"/>
        <v>32321.429999999993</v>
      </c>
      <c r="AR155" s="53">
        <f t="shared" si="83"/>
        <v>32321.429999999993</v>
      </c>
      <c r="AS155" s="1">
        <f t="shared" si="84"/>
        <v>645000</v>
      </c>
      <c r="AT155" s="12">
        <f t="shared" si="85"/>
        <v>0</v>
      </c>
      <c r="AU155" s="1"/>
      <c r="AV155" s="53">
        <f t="shared" si="86"/>
        <v>0</v>
      </c>
      <c r="AW155" s="1">
        <f t="shared" si="87"/>
        <v>0</v>
      </c>
      <c r="AX155" s="1">
        <f t="shared" si="88"/>
        <v>0</v>
      </c>
      <c r="AY155" s="1">
        <f t="shared" si="89"/>
        <v>0</v>
      </c>
      <c r="AZ155" s="1">
        <f t="shared" si="90"/>
        <v>0</v>
      </c>
      <c r="BA155" s="1">
        <f t="shared" si="91"/>
        <v>0</v>
      </c>
      <c r="BB155" s="1">
        <f t="shared" si="92"/>
        <v>0</v>
      </c>
      <c r="BC155" s="1">
        <f t="shared" si="93"/>
        <v>0</v>
      </c>
      <c r="BD155" s="1">
        <f t="shared" si="94"/>
        <v>0</v>
      </c>
      <c r="BE155" s="1">
        <f t="shared" si="95"/>
        <v>580357.14</v>
      </c>
      <c r="BF155" s="1">
        <f t="shared" si="96"/>
        <v>612678.57000000007</v>
      </c>
      <c r="BG155" s="1">
        <f t="shared" si="97"/>
        <v>645000</v>
      </c>
      <c r="BH155">
        <f t="shared" si="98"/>
        <v>149</v>
      </c>
    </row>
    <row r="156" spans="1:60" x14ac:dyDescent="0.35">
      <c r="A156">
        <v>10001463</v>
      </c>
      <c r="B156" t="str">
        <f t="shared" si="78"/>
        <v>ENS REPLACEMENT OF SYNCHRONIZE PANEL CONTROLLER (OFFICES)</v>
      </c>
      <c r="C156" t="s">
        <v>93</v>
      </c>
      <c r="D156" t="s">
        <v>93</v>
      </c>
      <c r="E156" t="s">
        <v>263</v>
      </c>
      <c r="F156" s="72" t="s">
        <v>1814</v>
      </c>
      <c r="G156" t="s">
        <v>1</v>
      </c>
      <c r="H156" t="s">
        <v>200</v>
      </c>
      <c r="I156">
        <v>1110</v>
      </c>
      <c r="J156" t="s">
        <v>2535</v>
      </c>
      <c r="K156" s="3">
        <f t="shared" si="79"/>
        <v>57</v>
      </c>
      <c r="L156" s="3" t="str">
        <f t="shared" si="80"/>
        <v>8100</v>
      </c>
      <c r="M156">
        <v>81323201</v>
      </c>
      <c r="N156" s="3" t="str">
        <f>_xlfn.XLOOKUP(M156,[2]Sheet1!$A:$A,[2]Sheet1!$D:$D)</f>
        <v>ESTANCIA - OFFICE</v>
      </c>
      <c r="O156" t="s">
        <v>2530</v>
      </c>
      <c r="P156" t="s">
        <v>91</v>
      </c>
      <c r="Q156" s="2" t="s">
        <v>2536</v>
      </c>
      <c r="R156" s="1">
        <v>645000</v>
      </c>
      <c r="S156" s="63" t="s">
        <v>2533</v>
      </c>
      <c r="T156" t="str">
        <f>_xlfn.XLOOKUP(M156,[1]Sheet1!$A:$A,[1]Sheet1!$E:$E)</f>
        <v>OFFICES</v>
      </c>
      <c r="U156" s="63" t="s">
        <v>2532</v>
      </c>
      <c r="V156" s="63" t="s">
        <v>49</v>
      </c>
      <c r="W156" s="63" t="s">
        <v>2538</v>
      </c>
      <c r="X156" s="63" t="s">
        <v>2540</v>
      </c>
      <c r="Z156" s="1">
        <f>_xlfn.XLOOKUP(A156,'SAP Report'!A:A,'SAP Report'!C:C)</f>
        <v>645000</v>
      </c>
      <c r="AA156" s="1">
        <f>HLOOKUP($A$4,$AV$6:$BG156,(2+BH155),FALSE)</f>
        <v>0</v>
      </c>
      <c r="AB156" s="1">
        <f>SUMIF('Open PR PO'!A:A,Monitoring!A156,'Open PR PO'!K:K)</f>
        <v>580357.14</v>
      </c>
      <c r="AC156" s="1">
        <f t="shared" si="99"/>
        <v>580357.14</v>
      </c>
      <c r="AD156" s="1">
        <f t="shared" si="100"/>
        <v>64642.859999999986</v>
      </c>
      <c r="AE156" s="1">
        <f t="shared" si="101"/>
        <v>645000</v>
      </c>
      <c r="AF156" s="1"/>
      <c r="AG156" s="53">
        <f>SUMIFS(Actual!$F:$F,Actual!$N:$N,Monitoring!AG$6,Actual!$A:$A,Monitoring!$A156)</f>
        <v>0</v>
      </c>
      <c r="AH156" s="53">
        <f>SUMIFS(Actual!$F:$F,Actual!$N:$N,Monitoring!AH$6,Actual!$A:$A,Monitoring!$A156)</f>
        <v>0</v>
      </c>
      <c r="AI156" s="53">
        <f>SUMIFS(Actual!$F:$F,Actual!$N:$N,Monitoring!AI$6,Actual!$A:$A,Monitoring!$A156)</f>
        <v>0</v>
      </c>
      <c r="AJ156" s="53">
        <f>SUMIFS(Actual!$F:$F,Actual!$N:$N,Monitoring!AJ$6,Actual!$A:$A,Monitoring!$A156)</f>
        <v>0</v>
      </c>
      <c r="AK156" s="53">
        <f>SUMIFS(Actual!$F:$F,Actual!$N:$N,Monitoring!AK$6,Actual!$A:$A,Monitoring!$A156)</f>
        <v>0</v>
      </c>
      <c r="AL156" s="53">
        <f>SUMIFS(Actual!$F:$F,Actual!$N:$N,Monitoring!AL$6,Actual!$A:$A,Monitoring!$A156)</f>
        <v>0</v>
      </c>
      <c r="AM156" s="53">
        <f>SUMIFS(Actual!$F:$F,Actual!$N:$N,Monitoring!AM$6,Actual!$A:$A,Monitoring!$A156)</f>
        <v>0</v>
      </c>
      <c r="AN156" s="53">
        <f>SUMIFS(Actual!$F:$F,Actual!$N:$N,Monitoring!AN$6,Actual!$A:$A,Monitoring!$A156)</f>
        <v>0</v>
      </c>
      <c r="AO156" s="53">
        <f>SUMIFS(Actual!$F:$F,Actual!$N:$N,Monitoring!AO$6,Actual!$A:$A,Monitoring!$A156)</f>
        <v>0</v>
      </c>
      <c r="AP156" s="53">
        <f t="shared" si="81"/>
        <v>580357.14</v>
      </c>
      <c r="AQ156" s="53">
        <f t="shared" si="82"/>
        <v>32321.429999999993</v>
      </c>
      <c r="AR156" s="53">
        <f t="shared" si="83"/>
        <v>32321.429999999993</v>
      </c>
      <c r="AS156" s="1">
        <f t="shared" si="84"/>
        <v>645000</v>
      </c>
      <c r="AT156" s="12">
        <f t="shared" si="85"/>
        <v>0</v>
      </c>
      <c r="AU156" s="1"/>
      <c r="AV156" s="53">
        <f t="shared" si="86"/>
        <v>0</v>
      </c>
      <c r="AW156" s="1">
        <f t="shared" si="87"/>
        <v>0</v>
      </c>
      <c r="AX156" s="1">
        <f t="shared" si="88"/>
        <v>0</v>
      </c>
      <c r="AY156" s="1">
        <f t="shared" si="89"/>
        <v>0</v>
      </c>
      <c r="AZ156" s="1">
        <f t="shared" si="90"/>
        <v>0</v>
      </c>
      <c r="BA156" s="1">
        <f t="shared" si="91"/>
        <v>0</v>
      </c>
      <c r="BB156" s="1">
        <f t="shared" si="92"/>
        <v>0</v>
      </c>
      <c r="BC156" s="1">
        <f t="shared" si="93"/>
        <v>0</v>
      </c>
      <c r="BD156" s="1">
        <f t="shared" si="94"/>
        <v>0</v>
      </c>
      <c r="BE156" s="1">
        <f t="shared" si="95"/>
        <v>580357.14</v>
      </c>
      <c r="BF156" s="1">
        <f t="shared" si="96"/>
        <v>612678.57000000007</v>
      </c>
      <c r="BG156" s="1">
        <f t="shared" si="97"/>
        <v>645000</v>
      </c>
      <c r="BH156">
        <f t="shared" si="98"/>
        <v>150</v>
      </c>
    </row>
    <row r="157" spans="1:60" x14ac:dyDescent="0.35">
      <c r="A157">
        <v>40001293</v>
      </c>
      <c r="B157" t="str">
        <f t="shared" si="78"/>
        <v>SEASORY CARD PRINTER S22</v>
      </c>
      <c r="C157" t="s">
        <v>861</v>
      </c>
      <c r="D157" t="s">
        <v>861</v>
      </c>
      <c r="E157" t="s">
        <v>2548</v>
      </c>
      <c r="F157" s="72" t="s">
        <v>1814</v>
      </c>
      <c r="G157" t="s">
        <v>1</v>
      </c>
      <c r="H157" t="s">
        <v>1821</v>
      </c>
      <c r="I157">
        <v>1312</v>
      </c>
      <c r="J157" t="s">
        <v>2541</v>
      </c>
      <c r="K157" s="3">
        <f t="shared" si="79"/>
        <v>24</v>
      </c>
      <c r="L157" s="3" t="str">
        <f t="shared" si="80"/>
        <v>8000</v>
      </c>
      <c r="M157">
        <v>80339101</v>
      </c>
      <c r="N157" s="3" t="str">
        <f>_xlfn.XLOOKUP(M157,[2]Sheet1!$A:$A,[2]Sheet1!$D:$D)</f>
        <v>SBU BS - RBU (COMMON</v>
      </c>
      <c r="O157" t="s">
        <v>2542</v>
      </c>
      <c r="P157" t="s">
        <v>1827</v>
      </c>
      <c r="Q157" s="2" t="s">
        <v>2543</v>
      </c>
      <c r="R157" s="1">
        <v>75000</v>
      </c>
      <c r="S157" t="s">
        <v>2544</v>
      </c>
      <c r="T157" t="str">
        <f>_xlfn.XLOOKUP(M157,[1]Sheet1!$A:$A,[1]Sheet1!$E:$E)</f>
        <v>RESIDENTIAL</v>
      </c>
      <c r="U157" s="67" t="s">
        <v>2545</v>
      </c>
      <c r="V157" s="67" t="s">
        <v>2545</v>
      </c>
      <c r="W157" t="s">
        <v>2546</v>
      </c>
      <c r="X157" s="63" t="s">
        <v>2547</v>
      </c>
      <c r="Z157" s="1">
        <f>_xlfn.XLOOKUP(A157,'SAP Report'!A:A,'SAP Report'!C:C)</f>
        <v>75000</v>
      </c>
      <c r="AA157" s="1">
        <f>HLOOKUP($A$4,$AV$6:$BG157,(2+BH156),FALSE)</f>
        <v>62500</v>
      </c>
      <c r="AB157" s="1">
        <f>SUMIF('Open PR PO'!A:A,Monitoring!A157,'Open PR PO'!K:K)</f>
        <v>0</v>
      </c>
      <c r="AC157" s="1">
        <f t="shared" si="99"/>
        <v>62500</v>
      </c>
      <c r="AD157" s="1">
        <f t="shared" si="100"/>
        <v>12500</v>
      </c>
      <c r="AE157" s="1">
        <f t="shared" si="101"/>
        <v>12500</v>
      </c>
      <c r="AF157" s="1"/>
      <c r="AG157" s="53">
        <f>SUMIFS(Actual!$F:$F,Actual!$N:$N,Monitoring!AG$6,Actual!$A:$A,Monitoring!$A157)</f>
        <v>0</v>
      </c>
      <c r="AH157" s="53">
        <f>SUMIFS(Actual!$F:$F,Actual!$N:$N,Monitoring!AH$6,Actual!$A:$A,Monitoring!$A157)</f>
        <v>0</v>
      </c>
      <c r="AI157" s="53">
        <f>SUMIFS(Actual!$F:$F,Actual!$N:$N,Monitoring!AI$6,Actual!$A:$A,Monitoring!$A157)</f>
        <v>0</v>
      </c>
      <c r="AJ157" s="53">
        <f>SUMIFS(Actual!$F:$F,Actual!$N:$N,Monitoring!AJ$6,Actual!$A:$A,Monitoring!$A157)</f>
        <v>0</v>
      </c>
      <c r="AK157" s="53">
        <f>SUMIFS(Actual!$F:$F,Actual!$N:$N,Monitoring!AK$6,Actual!$A:$A,Monitoring!$A157)</f>
        <v>0</v>
      </c>
      <c r="AL157" s="53">
        <f>SUMIFS(Actual!$F:$F,Actual!$N:$N,Monitoring!AL$6,Actual!$A:$A,Monitoring!$A157)</f>
        <v>0</v>
      </c>
      <c r="AM157" s="53">
        <f>SUMIFS(Actual!$F:$F,Actual!$N:$N,Monitoring!AM$6,Actual!$A:$A,Monitoring!$A157)</f>
        <v>62500</v>
      </c>
      <c r="AN157" s="53">
        <f>SUMIFS(Actual!$F:$F,Actual!$N:$N,Monitoring!AN$6,Actual!$A:$A,Monitoring!$A157)</f>
        <v>0</v>
      </c>
      <c r="AO157" s="53">
        <f>SUMIFS(Actual!$F:$F,Actual!$N:$N,Monitoring!AO$6,Actual!$A:$A,Monitoring!$A157)</f>
        <v>0</v>
      </c>
      <c r="AP157" s="53">
        <f t="shared" si="81"/>
        <v>0</v>
      </c>
      <c r="AQ157" s="53">
        <f t="shared" si="82"/>
        <v>6250</v>
      </c>
      <c r="AR157" s="53">
        <f t="shared" si="83"/>
        <v>6250</v>
      </c>
      <c r="AS157" s="1">
        <f t="shared" si="84"/>
        <v>75000</v>
      </c>
      <c r="AT157" s="12">
        <f t="shared" si="85"/>
        <v>0</v>
      </c>
      <c r="AU157" s="1"/>
      <c r="AV157" s="53">
        <f t="shared" si="86"/>
        <v>0</v>
      </c>
      <c r="AW157" s="1">
        <f t="shared" si="87"/>
        <v>0</v>
      </c>
      <c r="AX157" s="1">
        <f t="shared" si="88"/>
        <v>0</v>
      </c>
      <c r="AY157" s="1">
        <f t="shared" si="89"/>
        <v>0</v>
      </c>
      <c r="AZ157" s="1">
        <f t="shared" si="90"/>
        <v>0</v>
      </c>
      <c r="BA157" s="1">
        <f t="shared" si="91"/>
        <v>0</v>
      </c>
      <c r="BB157" s="1">
        <f t="shared" si="92"/>
        <v>62500</v>
      </c>
      <c r="BC157" s="1">
        <f t="shared" si="93"/>
        <v>62500</v>
      </c>
      <c r="BD157" s="1">
        <f t="shared" si="94"/>
        <v>62500</v>
      </c>
      <c r="BE157" s="1">
        <f t="shared" si="95"/>
        <v>62500</v>
      </c>
      <c r="BF157" s="1">
        <f t="shared" si="96"/>
        <v>68750</v>
      </c>
      <c r="BG157" s="1">
        <f t="shared" si="97"/>
        <v>75000</v>
      </c>
      <c r="BH157">
        <f t="shared" si="98"/>
        <v>151</v>
      </c>
    </row>
    <row r="158" spans="1:60" x14ac:dyDescent="0.35">
      <c r="A158">
        <v>10001464</v>
      </c>
      <c r="B158" t="str">
        <f t="shared" si="78"/>
        <v>CONSTRUCTION OF METROPOLI BRIDGE</v>
      </c>
      <c r="C158" t="s">
        <v>766</v>
      </c>
      <c r="D158" t="s">
        <v>766</v>
      </c>
      <c r="E158" t="s">
        <v>2550</v>
      </c>
      <c r="F158" s="72" t="s">
        <v>1813</v>
      </c>
      <c r="G158" t="s">
        <v>1</v>
      </c>
      <c r="H158" t="s">
        <v>1848</v>
      </c>
      <c r="I158">
        <v>1016</v>
      </c>
      <c r="J158" t="s">
        <v>2551</v>
      </c>
      <c r="K158" s="3">
        <f t="shared" si="79"/>
        <v>32</v>
      </c>
      <c r="L158" s="3" t="str">
        <f t="shared" si="80"/>
        <v>8000</v>
      </c>
      <c r="M158">
        <v>80331501</v>
      </c>
      <c r="N158" s="3" t="str">
        <f>_xlfn.XLOOKUP(M158,[2]Sheet1!$A:$A,[2]Sheet1!$D:$D)</f>
        <v>CV SUBDIVISION</v>
      </c>
      <c r="O158" t="s">
        <v>1852</v>
      </c>
      <c r="P158" t="s">
        <v>1852</v>
      </c>
      <c r="Q158" s="2" t="s">
        <v>2552</v>
      </c>
      <c r="R158" s="1">
        <v>124999999.99999999</v>
      </c>
      <c r="S158" t="s">
        <v>2555</v>
      </c>
      <c r="T158" t="s">
        <v>766</v>
      </c>
      <c r="U158" t="s">
        <v>2553</v>
      </c>
      <c r="V158" t="s">
        <v>2554</v>
      </c>
      <c r="W158" t="s">
        <v>2553</v>
      </c>
      <c r="X158" s="63" t="s">
        <v>2563</v>
      </c>
      <c r="Z158" s="1">
        <f>_xlfn.XLOOKUP(A158,'SAP Report'!A:A,'SAP Report'!C:C)</f>
        <v>125000000</v>
      </c>
      <c r="AA158" s="1">
        <f>HLOOKUP($A$4,$AV$6:$BG158,(2+BH157),FALSE)</f>
        <v>0</v>
      </c>
      <c r="AB158" s="1">
        <f>SUMIF('Open PR PO'!A:A,Monitoring!A158,'Open PR PO'!K:K)</f>
        <v>0</v>
      </c>
      <c r="AC158" s="1">
        <f t="shared" si="99"/>
        <v>0</v>
      </c>
      <c r="AD158" s="1">
        <f t="shared" si="100"/>
        <v>125000000</v>
      </c>
      <c r="AE158" s="1">
        <f t="shared" si="101"/>
        <v>125000000</v>
      </c>
      <c r="AF158" s="1"/>
      <c r="AG158" s="53">
        <f>SUMIFS(Actual!$F:$F,Actual!$N:$N,Monitoring!AG$6,Actual!$A:$A,Monitoring!$A158)</f>
        <v>0</v>
      </c>
      <c r="AH158" s="53">
        <f>SUMIFS(Actual!$F:$F,Actual!$N:$N,Monitoring!AH$6,Actual!$A:$A,Monitoring!$A158)</f>
        <v>0</v>
      </c>
      <c r="AI158" s="53">
        <f>SUMIFS(Actual!$F:$F,Actual!$N:$N,Monitoring!AI$6,Actual!$A:$A,Monitoring!$A158)</f>
        <v>0</v>
      </c>
      <c r="AJ158" s="53">
        <f>SUMIFS(Actual!$F:$F,Actual!$N:$N,Monitoring!AJ$6,Actual!$A:$A,Monitoring!$A158)</f>
        <v>0</v>
      </c>
      <c r="AK158" s="53">
        <f>SUMIFS(Actual!$F:$F,Actual!$N:$N,Monitoring!AK$6,Actual!$A:$A,Monitoring!$A158)</f>
        <v>0</v>
      </c>
      <c r="AL158" s="53">
        <f>SUMIFS(Actual!$F:$F,Actual!$N:$N,Monitoring!AL$6,Actual!$A:$A,Monitoring!$A158)</f>
        <v>0</v>
      </c>
      <c r="AM158" s="53">
        <f>SUMIFS(Actual!$F:$F,Actual!$N:$N,Monitoring!AM$6,Actual!$A:$A,Monitoring!$A158)</f>
        <v>0</v>
      </c>
      <c r="AN158" s="53">
        <f>SUMIFS(Actual!$F:$F,Actual!$N:$N,Monitoring!AN$6,Actual!$A:$A,Monitoring!$A158)</f>
        <v>0</v>
      </c>
      <c r="AO158" s="53">
        <f>SUMIFS(Actual!$F:$F,Actual!$N:$N,Monitoring!AO$6,Actual!$A:$A,Monitoring!$A158)</f>
        <v>0</v>
      </c>
      <c r="AP158" s="53">
        <f t="shared" si="81"/>
        <v>0</v>
      </c>
      <c r="AQ158" s="53">
        <f t="shared" si="82"/>
        <v>62500000</v>
      </c>
      <c r="AR158" s="53">
        <f t="shared" si="83"/>
        <v>62500000</v>
      </c>
      <c r="AS158" s="1">
        <f t="shared" si="84"/>
        <v>125000000</v>
      </c>
      <c r="AT158" s="12">
        <f t="shared" si="85"/>
        <v>0</v>
      </c>
      <c r="AU158" s="1"/>
      <c r="AV158" s="53">
        <f t="shared" si="86"/>
        <v>0</v>
      </c>
      <c r="AW158" s="1">
        <f t="shared" si="87"/>
        <v>0</v>
      </c>
      <c r="AX158" s="1">
        <f t="shared" si="88"/>
        <v>0</v>
      </c>
      <c r="AY158" s="1">
        <f t="shared" si="89"/>
        <v>0</v>
      </c>
      <c r="AZ158" s="1">
        <f t="shared" si="90"/>
        <v>0</v>
      </c>
      <c r="BA158" s="1">
        <f t="shared" si="91"/>
        <v>0</v>
      </c>
      <c r="BB158" s="1">
        <f t="shared" si="92"/>
        <v>0</v>
      </c>
      <c r="BC158" s="1">
        <f t="shared" si="93"/>
        <v>0</v>
      </c>
      <c r="BD158" s="1">
        <f t="shared" si="94"/>
        <v>0</v>
      </c>
      <c r="BE158" s="1">
        <f t="shared" si="95"/>
        <v>0</v>
      </c>
      <c r="BF158" s="1">
        <f t="shared" si="96"/>
        <v>62500000</v>
      </c>
      <c r="BG158" s="1">
        <f t="shared" si="97"/>
        <v>125000000</v>
      </c>
      <c r="BH158">
        <f t="shared" si="98"/>
        <v>152</v>
      </c>
    </row>
    <row r="159" spans="1:60" x14ac:dyDescent="0.35">
      <c r="A159">
        <v>40001294</v>
      </c>
      <c r="B159" t="str">
        <f t="shared" si="78"/>
        <v>BATTERY REPLACEMENT OF UPS EATON 650VA</v>
      </c>
      <c r="C159" t="s">
        <v>85</v>
      </c>
      <c r="D159" t="s">
        <v>797</v>
      </c>
      <c r="E159" t="s">
        <v>2561</v>
      </c>
      <c r="F159" s="72" t="s">
        <v>1814</v>
      </c>
      <c r="G159" t="s">
        <v>1</v>
      </c>
      <c r="H159" t="s">
        <v>454</v>
      </c>
      <c r="I159">
        <v>1310</v>
      </c>
      <c r="J159" t="s">
        <v>2558</v>
      </c>
      <c r="K159" s="3">
        <f t="shared" si="79"/>
        <v>38</v>
      </c>
      <c r="L159" s="3" t="str">
        <f t="shared" si="80"/>
        <v>8100</v>
      </c>
      <c r="M159">
        <v>81124101</v>
      </c>
      <c r="N159" s="3" t="str">
        <f>_xlfn.XLOOKUP(M159,[2]Sheet1!$A:$A,[2]Sheet1!$D:$D)</f>
        <v>IS &amp; IT</v>
      </c>
      <c r="O159" t="s">
        <v>397</v>
      </c>
      <c r="P159" t="s">
        <v>743</v>
      </c>
      <c r="Q159" s="2" t="s">
        <v>2559</v>
      </c>
      <c r="R159" s="1">
        <v>10080</v>
      </c>
      <c r="S159" s="63" t="s">
        <v>2560</v>
      </c>
      <c r="T159" t="str">
        <f>_xlfn.XLOOKUP(M159,[2]Sheet1!$A:$A,[2]Sheet1!$E:$E)</f>
        <v>CORPORATE</v>
      </c>
      <c r="U159" s="63" t="s">
        <v>2553</v>
      </c>
      <c r="V159" s="63" t="s">
        <v>2553</v>
      </c>
      <c r="W159" s="63" t="s">
        <v>2553</v>
      </c>
      <c r="X159" s="63" t="s">
        <v>2562</v>
      </c>
      <c r="Z159" s="1">
        <f>_xlfn.XLOOKUP(A159,'SAP Report'!A:A,'SAP Report'!C:C)</f>
        <v>10080</v>
      </c>
      <c r="AA159" s="1">
        <f>HLOOKUP($A$4,$AV$6:$BG159,(2+BH158),FALSE)</f>
        <v>0</v>
      </c>
      <c r="AB159" s="1">
        <f>SUMIF('Open PR PO'!A:A,Monitoring!A159,'Open PR PO'!K:K)</f>
        <v>0</v>
      </c>
      <c r="AC159" s="1">
        <f t="shared" si="99"/>
        <v>0</v>
      </c>
      <c r="AD159" s="1">
        <f t="shared" si="100"/>
        <v>10080</v>
      </c>
      <c r="AE159" s="1">
        <f t="shared" si="101"/>
        <v>10080</v>
      </c>
      <c r="AF159" s="1"/>
      <c r="AG159" s="53">
        <f>SUMIFS(Actual!$F:$F,Actual!$N:$N,Monitoring!AG$6,Actual!$A:$A,Monitoring!$A159)</f>
        <v>0</v>
      </c>
      <c r="AH159" s="53">
        <f>SUMIFS(Actual!$F:$F,Actual!$N:$N,Monitoring!AH$6,Actual!$A:$A,Monitoring!$A159)</f>
        <v>0</v>
      </c>
      <c r="AI159" s="53">
        <f>SUMIFS(Actual!$F:$F,Actual!$N:$N,Monitoring!AI$6,Actual!$A:$A,Monitoring!$A159)</f>
        <v>0</v>
      </c>
      <c r="AJ159" s="53">
        <f>SUMIFS(Actual!$F:$F,Actual!$N:$N,Monitoring!AJ$6,Actual!$A:$A,Monitoring!$A159)</f>
        <v>0</v>
      </c>
      <c r="AK159" s="53">
        <f>SUMIFS(Actual!$F:$F,Actual!$N:$N,Monitoring!AK$6,Actual!$A:$A,Monitoring!$A159)</f>
        <v>0</v>
      </c>
      <c r="AL159" s="53">
        <f>SUMIFS(Actual!$F:$F,Actual!$N:$N,Monitoring!AL$6,Actual!$A:$A,Monitoring!$A159)</f>
        <v>0</v>
      </c>
      <c r="AM159" s="53">
        <f>SUMIFS(Actual!$F:$F,Actual!$N:$N,Monitoring!AM$6,Actual!$A:$A,Monitoring!$A159)</f>
        <v>0</v>
      </c>
      <c r="AN159" s="53">
        <f>SUMIFS(Actual!$F:$F,Actual!$N:$N,Monitoring!AN$6,Actual!$A:$A,Monitoring!$A159)</f>
        <v>0</v>
      </c>
      <c r="AO159" s="53">
        <f>SUMIFS(Actual!$F:$F,Actual!$N:$N,Monitoring!AO$6,Actual!$A:$A,Monitoring!$A159)</f>
        <v>0</v>
      </c>
      <c r="AP159" s="53">
        <f t="shared" si="81"/>
        <v>0</v>
      </c>
      <c r="AQ159" s="53">
        <f t="shared" si="82"/>
        <v>5040</v>
      </c>
      <c r="AR159" s="53">
        <f t="shared" si="83"/>
        <v>5040</v>
      </c>
      <c r="AS159" s="1">
        <f t="shared" si="84"/>
        <v>10080</v>
      </c>
      <c r="AT159" s="12">
        <f t="shared" si="85"/>
        <v>0</v>
      </c>
      <c r="AU159" s="1"/>
      <c r="AV159" s="53">
        <f t="shared" si="86"/>
        <v>0</v>
      </c>
      <c r="AW159" s="1">
        <f t="shared" si="87"/>
        <v>0</v>
      </c>
      <c r="AX159" s="1">
        <f t="shared" si="88"/>
        <v>0</v>
      </c>
      <c r="AY159" s="1">
        <f t="shared" si="89"/>
        <v>0</v>
      </c>
      <c r="AZ159" s="1">
        <f t="shared" si="90"/>
        <v>0</v>
      </c>
      <c r="BA159" s="1">
        <f t="shared" si="91"/>
        <v>0</v>
      </c>
      <c r="BB159" s="1">
        <f t="shared" si="92"/>
        <v>0</v>
      </c>
      <c r="BC159" s="1">
        <f t="shared" si="93"/>
        <v>0</v>
      </c>
      <c r="BD159" s="1">
        <f t="shared" si="94"/>
        <v>0</v>
      </c>
      <c r="BE159" s="1">
        <f t="shared" si="95"/>
        <v>0</v>
      </c>
      <c r="BF159" s="1">
        <f t="shared" si="96"/>
        <v>5040</v>
      </c>
      <c r="BG159" s="1">
        <f t="shared" si="97"/>
        <v>10080</v>
      </c>
      <c r="BH159">
        <f t="shared" si="98"/>
        <v>153</v>
      </c>
    </row>
    <row r="160" spans="1:60" x14ac:dyDescent="0.35">
      <c r="A160">
        <v>10001465</v>
      </c>
      <c r="B160" t="str">
        <f t="shared" si="78"/>
        <v>CC STANDARDIZE ESTATE SIGNAGES</v>
      </c>
      <c r="C160" t="s">
        <v>766</v>
      </c>
      <c r="D160" t="s">
        <v>766</v>
      </c>
      <c r="E160" t="s">
        <v>2587</v>
      </c>
      <c r="F160" s="72" t="s">
        <v>1814</v>
      </c>
      <c r="G160" t="s">
        <v>1</v>
      </c>
      <c r="H160" t="s">
        <v>373</v>
      </c>
      <c r="I160">
        <v>1100</v>
      </c>
      <c r="J160" t="s">
        <v>2565</v>
      </c>
      <c r="K160" s="3">
        <f t="shared" si="79"/>
        <v>30</v>
      </c>
      <c r="L160" s="3" t="str">
        <f t="shared" si="80"/>
        <v>8000</v>
      </c>
      <c r="M160">
        <v>80323101</v>
      </c>
      <c r="N160" s="3" t="str">
        <f>_xlfn.XLOOKUP(M160,[2]Sheet1!$A:$A,[2]Sheet1!$D:$D)</f>
        <v>CC DEVELOPABLE</v>
      </c>
      <c r="O160" t="s">
        <v>767</v>
      </c>
      <c r="P160" t="s">
        <v>339</v>
      </c>
      <c r="Q160" s="2" t="s">
        <v>2564</v>
      </c>
      <c r="R160" s="1">
        <v>1200000</v>
      </c>
      <c r="S160" s="63" t="s">
        <v>2546</v>
      </c>
      <c r="T160" t="str">
        <f>_xlfn.XLOOKUP(M160,[2]Sheet1!$A:$A,[2]Sheet1!$E:$E)</f>
        <v>ESTATES</v>
      </c>
      <c r="U160" s="63">
        <v>46029</v>
      </c>
      <c r="V160" s="63" t="s">
        <v>1797</v>
      </c>
      <c r="W160" s="63" t="s">
        <v>2553</v>
      </c>
      <c r="X160" s="63" t="s">
        <v>2566</v>
      </c>
      <c r="Z160" s="1">
        <f>_xlfn.XLOOKUP(A160,'SAP Report'!A:A,'SAP Report'!C:C)</f>
        <v>1200000</v>
      </c>
      <c r="AA160" s="1">
        <f>HLOOKUP($A$4,$AV$6:$BG160,(2+BH159),FALSE)</f>
        <v>0</v>
      </c>
      <c r="AB160" s="1">
        <f>SUMIF('Open PR PO'!A:A,Monitoring!A160,'Open PR PO'!K:K)</f>
        <v>0</v>
      </c>
      <c r="AC160" s="1">
        <f t="shared" si="99"/>
        <v>0</v>
      </c>
      <c r="AD160" s="1">
        <f t="shared" si="100"/>
        <v>1200000</v>
      </c>
      <c r="AE160" s="1">
        <f t="shared" si="101"/>
        <v>1200000</v>
      </c>
      <c r="AF160" s="1"/>
      <c r="AG160" s="53">
        <f>SUMIFS(Actual!$F:$F,Actual!$N:$N,Monitoring!AG$6,Actual!$A:$A,Monitoring!$A160)</f>
        <v>0</v>
      </c>
      <c r="AH160" s="53">
        <f>SUMIFS(Actual!$F:$F,Actual!$N:$N,Monitoring!AH$6,Actual!$A:$A,Monitoring!$A160)</f>
        <v>0</v>
      </c>
      <c r="AI160" s="53">
        <f>SUMIFS(Actual!$F:$F,Actual!$N:$N,Monitoring!AI$6,Actual!$A:$A,Monitoring!$A160)</f>
        <v>0</v>
      </c>
      <c r="AJ160" s="53">
        <f>SUMIFS(Actual!$F:$F,Actual!$N:$N,Monitoring!AJ$6,Actual!$A:$A,Monitoring!$A160)</f>
        <v>0</v>
      </c>
      <c r="AK160" s="53">
        <f>SUMIFS(Actual!$F:$F,Actual!$N:$N,Monitoring!AK$6,Actual!$A:$A,Monitoring!$A160)</f>
        <v>0</v>
      </c>
      <c r="AL160" s="53">
        <f>SUMIFS(Actual!$F:$F,Actual!$N:$N,Monitoring!AL$6,Actual!$A:$A,Monitoring!$A160)</f>
        <v>0</v>
      </c>
      <c r="AM160" s="53">
        <f>SUMIFS(Actual!$F:$F,Actual!$N:$N,Monitoring!AM$6,Actual!$A:$A,Monitoring!$A160)</f>
        <v>0</v>
      </c>
      <c r="AN160" s="53">
        <f>SUMIFS(Actual!$F:$F,Actual!$N:$N,Monitoring!AN$6,Actual!$A:$A,Monitoring!$A160)</f>
        <v>0</v>
      </c>
      <c r="AO160" s="53">
        <f>SUMIFS(Actual!$F:$F,Actual!$N:$N,Monitoring!AO$6,Actual!$A:$A,Monitoring!$A160)</f>
        <v>0</v>
      </c>
      <c r="AP160" s="53">
        <f t="shared" si="81"/>
        <v>0</v>
      </c>
      <c r="AQ160" s="53">
        <f t="shared" si="82"/>
        <v>600000</v>
      </c>
      <c r="AR160" s="53">
        <f t="shared" si="83"/>
        <v>600000</v>
      </c>
      <c r="AS160" s="1">
        <f t="shared" si="84"/>
        <v>1200000</v>
      </c>
      <c r="AT160" s="12">
        <f t="shared" si="85"/>
        <v>0</v>
      </c>
      <c r="AU160" s="1"/>
      <c r="AV160" s="53">
        <f t="shared" si="86"/>
        <v>0</v>
      </c>
      <c r="AW160" s="1">
        <f t="shared" si="87"/>
        <v>0</v>
      </c>
      <c r="AX160" s="1">
        <f t="shared" si="88"/>
        <v>0</v>
      </c>
      <c r="AY160" s="1">
        <f t="shared" si="89"/>
        <v>0</v>
      </c>
      <c r="AZ160" s="1">
        <f t="shared" si="90"/>
        <v>0</v>
      </c>
      <c r="BA160" s="1">
        <f t="shared" si="91"/>
        <v>0</v>
      </c>
      <c r="BB160" s="1">
        <f t="shared" si="92"/>
        <v>0</v>
      </c>
      <c r="BC160" s="1">
        <f t="shared" si="93"/>
        <v>0</v>
      </c>
      <c r="BD160" s="1">
        <f t="shared" si="94"/>
        <v>0</v>
      </c>
      <c r="BE160" s="1">
        <f t="shared" si="95"/>
        <v>0</v>
      </c>
      <c r="BF160" s="1">
        <f t="shared" si="96"/>
        <v>600000</v>
      </c>
      <c r="BG160" s="1">
        <f t="shared" si="97"/>
        <v>1200000</v>
      </c>
      <c r="BH160">
        <f t="shared" si="98"/>
        <v>154</v>
      </c>
    </row>
    <row r="161" spans="1:60" x14ac:dyDescent="0.35">
      <c r="A161">
        <v>40001295</v>
      </c>
      <c r="B161" t="str">
        <f t="shared" si="78"/>
        <v>CC ELF TRUCK</v>
      </c>
      <c r="C161" t="s">
        <v>766</v>
      </c>
      <c r="D161" t="s">
        <v>766</v>
      </c>
      <c r="E161" t="s">
        <v>2569</v>
      </c>
      <c r="F161" s="72" t="s">
        <v>1814</v>
      </c>
      <c r="G161" t="s">
        <v>1</v>
      </c>
      <c r="H161" t="s">
        <v>375</v>
      </c>
      <c r="I161">
        <v>1500</v>
      </c>
      <c r="J161" t="s">
        <v>2568</v>
      </c>
      <c r="K161" s="3">
        <f t="shared" si="79"/>
        <v>12</v>
      </c>
      <c r="L161" s="3" t="str">
        <f t="shared" si="80"/>
        <v>8000</v>
      </c>
      <c r="M161">
        <v>80323101</v>
      </c>
      <c r="N161" s="3" t="str">
        <f>_xlfn.XLOOKUP(M161,[2]Sheet1!$A:$A,[2]Sheet1!$D:$D)</f>
        <v>CC DEVELOPABLE</v>
      </c>
      <c r="O161" t="s">
        <v>767</v>
      </c>
      <c r="P161" t="s">
        <v>339</v>
      </c>
      <c r="Q161" s="2" t="s">
        <v>2567</v>
      </c>
      <c r="R161" s="1">
        <v>1300000</v>
      </c>
      <c r="S161" s="63" t="s">
        <v>2546</v>
      </c>
      <c r="T161" t="str">
        <f>_xlfn.XLOOKUP(M161,[2]Sheet1!$A:$A,[2]Sheet1!$E:$E)</f>
        <v>ESTATES</v>
      </c>
      <c r="U161" s="63">
        <v>46029</v>
      </c>
      <c r="V161" s="63" t="s">
        <v>1797</v>
      </c>
      <c r="W161" s="63" t="s">
        <v>2553</v>
      </c>
      <c r="X161" s="63" t="s">
        <v>2570</v>
      </c>
      <c r="Z161" s="1">
        <f>_xlfn.XLOOKUP(A161,'SAP Report'!A:A,'SAP Report'!C:C)</f>
        <v>1300000</v>
      </c>
      <c r="AA161" s="1">
        <f>HLOOKUP($A$4,$AV$6:$BG161,(2+BH160),FALSE)</f>
        <v>0</v>
      </c>
      <c r="AB161" s="1">
        <f>SUMIF('Open PR PO'!A:A,Monitoring!A161,'Open PR PO'!K:K)</f>
        <v>0</v>
      </c>
      <c r="AC161" s="1">
        <f t="shared" si="99"/>
        <v>0</v>
      </c>
      <c r="AD161" s="1">
        <f t="shared" si="100"/>
        <v>1300000</v>
      </c>
      <c r="AE161" s="1">
        <f t="shared" si="101"/>
        <v>1300000</v>
      </c>
      <c r="AF161" s="1"/>
      <c r="AG161" s="53">
        <f>SUMIFS(Actual!$F:$F,Actual!$N:$N,Monitoring!AG$6,Actual!$A:$A,Monitoring!$A161)</f>
        <v>0</v>
      </c>
      <c r="AH161" s="53">
        <f>SUMIFS(Actual!$F:$F,Actual!$N:$N,Monitoring!AH$6,Actual!$A:$A,Monitoring!$A161)</f>
        <v>0</v>
      </c>
      <c r="AI161" s="53">
        <f>SUMIFS(Actual!$F:$F,Actual!$N:$N,Monitoring!AI$6,Actual!$A:$A,Monitoring!$A161)</f>
        <v>0</v>
      </c>
      <c r="AJ161" s="53">
        <f>SUMIFS(Actual!$F:$F,Actual!$N:$N,Monitoring!AJ$6,Actual!$A:$A,Monitoring!$A161)</f>
        <v>0</v>
      </c>
      <c r="AK161" s="53">
        <f>SUMIFS(Actual!$F:$F,Actual!$N:$N,Monitoring!AK$6,Actual!$A:$A,Monitoring!$A161)</f>
        <v>0</v>
      </c>
      <c r="AL161" s="53">
        <f>SUMIFS(Actual!$F:$F,Actual!$N:$N,Monitoring!AL$6,Actual!$A:$A,Monitoring!$A161)</f>
        <v>0</v>
      </c>
      <c r="AM161" s="53">
        <f>SUMIFS(Actual!$F:$F,Actual!$N:$N,Monitoring!AM$6,Actual!$A:$A,Monitoring!$A161)</f>
        <v>0</v>
      </c>
      <c r="AN161" s="53">
        <f>SUMIFS(Actual!$F:$F,Actual!$N:$N,Monitoring!AN$6,Actual!$A:$A,Monitoring!$A161)</f>
        <v>0</v>
      </c>
      <c r="AO161" s="53">
        <f>SUMIFS(Actual!$F:$F,Actual!$N:$N,Monitoring!AO$6,Actual!$A:$A,Monitoring!$A161)</f>
        <v>0</v>
      </c>
      <c r="AP161" s="53">
        <f t="shared" si="81"/>
        <v>0</v>
      </c>
      <c r="AQ161" s="53">
        <f t="shared" si="82"/>
        <v>650000</v>
      </c>
      <c r="AR161" s="53">
        <f t="shared" si="83"/>
        <v>650000</v>
      </c>
      <c r="AS161" s="1">
        <f t="shared" si="84"/>
        <v>1300000</v>
      </c>
      <c r="AT161" s="12">
        <f t="shared" si="85"/>
        <v>0</v>
      </c>
      <c r="AU161" s="1"/>
      <c r="AV161" s="53">
        <f t="shared" si="86"/>
        <v>0</v>
      </c>
      <c r="AW161" s="1">
        <f t="shared" si="87"/>
        <v>0</v>
      </c>
      <c r="AX161" s="1">
        <f t="shared" si="88"/>
        <v>0</v>
      </c>
      <c r="AY161" s="1">
        <f t="shared" si="89"/>
        <v>0</v>
      </c>
      <c r="AZ161" s="1">
        <f t="shared" si="90"/>
        <v>0</v>
      </c>
      <c r="BA161" s="1">
        <f t="shared" si="91"/>
        <v>0</v>
      </c>
      <c r="BB161" s="1">
        <f t="shared" si="92"/>
        <v>0</v>
      </c>
      <c r="BC161" s="1">
        <f t="shared" si="93"/>
        <v>0</v>
      </c>
      <c r="BD161" s="1">
        <f t="shared" si="94"/>
        <v>0</v>
      </c>
      <c r="BE161" s="1">
        <f t="shared" si="95"/>
        <v>0</v>
      </c>
      <c r="BF161" s="1">
        <f t="shared" si="96"/>
        <v>650000</v>
      </c>
      <c r="BG161" s="1">
        <f t="shared" si="97"/>
        <v>1300000</v>
      </c>
      <c r="BH161">
        <f t="shared" si="98"/>
        <v>155</v>
      </c>
    </row>
    <row r="162" spans="1:60" x14ac:dyDescent="0.35">
      <c r="A162">
        <v>10001466</v>
      </c>
      <c r="B162" t="str">
        <f t="shared" si="78"/>
        <v>CC TRAFFIC CONES, BOLLARD &amp; CHAIN</v>
      </c>
      <c r="C162" t="s">
        <v>766</v>
      </c>
      <c r="D162" t="s">
        <v>766</v>
      </c>
      <c r="E162" t="s">
        <v>2573</v>
      </c>
      <c r="F162" s="72" t="s">
        <v>1814</v>
      </c>
      <c r="G162" t="s">
        <v>1</v>
      </c>
      <c r="H162" t="s">
        <v>368</v>
      </c>
      <c r="I162">
        <v>1100</v>
      </c>
      <c r="J162" t="s">
        <v>2571</v>
      </c>
      <c r="K162" s="3">
        <f t="shared" si="79"/>
        <v>33</v>
      </c>
      <c r="L162" s="3" t="str">
        <f t="shared" si="80"/>
        <v>8000</v>
      </c>
      <c r="M162">
        <v>80323101</v>
      </c>
      <c r="N162" s="3" t="str">
        <f>_xlfn.XLOOKUP(M162,[2]Sheet1!$A:$A,[2]Sheet1!$D:$D)</f>
        <v>CC DEVELOPABLE</v>
      </c>
      <c r="O162" t="s">
        <v>767</v>
      </c>
      <c r="P162" t="s">
        <v>339</v>
      </c>
      <c r="Q162" s="2" t="s">
        <v>2572</v>
      </c>
      <c r="R162" s="1">
        <v>249600</v>
      </c>
      <c r="S162" s="63" t="s">
        <v>2546</v>
      </c>
      <c r="T162" t="str">
        <f>_xlfn.XLOOKUP(M162,[2]Sheet1!$A:$A,[2]Sheet1!$E:$E)</f>
        <v>ESTATES</v>
      </c>
      <c r="U162" s="63">
        <v>46029</v>
      </c>
      <c r="V162" s="63" t="s">
        <v>1797</v>
      </c>
      <c r="W162" s="63" t="s">
        <v>2553</v>
      </c>
      <c r="X162" s="63" t="s">
        <v>2574</v>
      </c>
      <c r="Z162" s="1">
        <f>_xlfn.XLOOKUP(A162,'SAP Report'!A:A,'SAP Report'!C:C)</f>
        <v>249600</v>
      </c>
      <c r="AA162" s="1">
        <f>HLOOKUP($A$4,$AV$6:$BG162,(2+BH161),FALSE)</f>
        <v>0</v>
      </c>
      <c r="AB162" s="1">
        <f>SUMIF('Open PR PO'!A:A,Monitoring!A162,'Open PR PO'!K:K)</f>
        <v>218750</v>
      </c>
      <c r="AC162" s="1">
        <f t="shared" si="99"/>
        <v>218750</v>
      </c>
      <c r="AD162" s="1">
        <f t="shared" si="100"/>
        <v>30850</v>
      </c>
      <c r="AE162" s="1">
        <f t="shared" si="101"/>
        <v>249600</v>
      </c>
      <c r="AF162" s="1"/>
      <c r="AG162" s="53">
        <f>SUMIFS(Actual!$F:$F,Actual!$N:$N,Monitoring!AG$6,Actual!$A:$A,Monitoring!$A162)</f>
        <v>0</v>
      </c>
      <c r="AH162" s="53">
        <f>SUMIFS(Actual!$F:$F,Actual!$N:$N,Monitoring!AH$6,Actual!$A:$A,Monitoring!$A162)</f>
        <v>0</v>
      </c>
      <c r="AI162" s="53">
        <f>SUMIFS(Actual!$F:$F,Actual!$N:$N,Monitoring!AI$6,Actual!$A:$A,Monitoring!$A162)</f>
        <v>0</v>
      </c>
      <c r="AJ162" s="53">
        <f>SUMIFS(Actual!$F:$F,Actual!$N:$N,Monitoring!AJ$6,Actual!$A:$A,Monitoring!$A162)</f>
        <v>0</v>
      </c>
      <c r="AK162" s="53">
        <f>SUMIFS(Actual!$F:$F,Actual!$N:$N,Monitoring!AK$6,Actual!$A:$A,Monitoring!$A162)</f>
        <v>0</v>
      </c>
      <c r="AL162" s="53">
        <f>SUMIFS(Actual!$F:$F,Actual!$N:$N,Monitoring!AL$6,Actual!$A:$A,Monitoring!$A162)</f>
        <v>0</v>
      </c>
      <c r="AM162" s="53">
        <f>SUMIFS(Actual!$F:$F,Actual!$N:$N,Monitoring!AM$6,Actual!$A:$A,Monitoring!$A162)</f>
        <v>0</v>
      </c>
      <c r="AN162" s="53">
        <f>SUMIFS(Actual!$F:$F,Actual!$N:$N,Monitoring!AN$6,Actual!$A:$A,Monitoring!$A162)</f>
        <v>0</v>
      </c>
      <c r="AO162" s="53">
        <f>SUMIFS(Actual!$F:$F,Actual!$N:$N,Monitoring!AO$6,Actual!$A:$A,Monitoring!$A162)</f>
        <v>0</v>
      </c>
      <c r="AP162" s="53">
        <f t="shared" si="81"/>
        <v>218750</v>
      </c>
      <c r="AQ162" s="53">
        <f t="shared" si="82"/>
        <v>15425</v>
      </c>
      <c r="AR162" s="53">
        <f t="shared" si="83"/>
        <v>15425</v>
      </c>
      <c r="AS162" s="1">
        <f t="shared" si="84"/>
        <v>249600</v>
      </c>
      <c r="AT162" s="12">
        <f t="shared" si="85"/>
        <v>0</v>
      </c>
      <c r="AU162" s="1"/>
      <c r="AV162" s="53">
        <f t="shared" si="86"/>
        <v>0</v>
      </c>
      <c r="AW162" s="1">
        <f t="shared" si="87"/>
        <v>0</v>
      </c>
      <c r="AX162" s="1">
        <f t="shared" si="88"/>
        <v>0</v>
      </c>
      <c r="AY162" s="1">
        <f t="shared" si="89"/>
        <v>0</v>
      </c>
      <c r="AZ162" s="1">
        <f t="shared" si="90"/>
        <v>0</v>
      </c>
      <c r="BA162" s="1">
        <f t="shared" si="91"/>
        <v>0</v>
      </c>
      <c r="BB162" s="1">
        <f t="shared" si="92"/>
        <v>0</v>
      </c>
      <c r="BC162" s="1">
        <f t="shared" si="93"/>
        <v>0</v>
      </c>
      <c r="BD162" s="1">
        <f t="shared" si="94"/>
        <v>0</v>
      </c>
      <c r="BE162" s="1">
        <f t="shared" si="95"/>
        <v>218750</v>
      </c>
      <c r="BF162" s="1">
        <f t="shared" si="96"/>
        <v>234175</v>
      </c>
      <c r="BG162" s="1">
        <f t="shared" si="97"/>
        <v>249600</v>
      </c>
      <c r="BH162">
        <f t="shared" si="98"/>
        <v>156</v>
      </c>
    </row>
    <row r="163" spans="1:60" x14ac:dyDescent="0.35">
      <c r="A163">
        <v>10001467</v>
      </c>
      <c r="B163" t="str">
        <f t="shared" si="78"/>
        <v>O-PARKLANE PARKING TRAFFIC CONE</v>
      </c>
      <c r="C163" t="s">
        <v>766</v>
      </c>
      <c r="D163" t="s">
        <v>766</v>
      </c>
      <c r="E163" t="s">
        <v>698</v>
      </c>
      <c r="F163" s="72" t="s">
        <v>1814</v>
      </c>
      <c r="G163" t="s">
        <v>1</v>
      </c>
      <c r="H163" t="s">
        <v>384</v>
      </c>
      <c r="I163">
        <v>1100</v>
      </c>
      <c r="J163" t="s">
        <v>2578</v>
      </c>
      <c r="K163" s="3">
        <f t="shared" si="79"/>
        <v>31</v>
      </c>
      <c r="L163" s="3" t="str">
        <f t="shared" si="80"/>
        <v>8100</v>
      </c>
      <c r="M163">
        <v>81226102</v>
      </c>
      <c r="N163" s="3" t="str">
        <f>_xlfn.XLOOKUP(M163,[2]Sheet1!$A:$A,[2]Sheet1!$D:$D)</f>
        <v>O-PARKLANE PARKING</v>
      </c>
      <c r="O163" t="s">
        <v>2575</v>
      </c>
      <c r="P163" t="s">
        <v>339</v>
      </c>
      <c r="Q163" s="2" t="s">
        <v>2576</v>
      </c>
      <c r="R163" s="1">
        <v>68440</v>
      </c>
      <c r="S163" s="63" t="s">
        <v>2546</v>
      </c>
      <c r="T163" t="str">
        <f>_xlfn.XLOOKUP(M163,[2]Sheet1!$A:$A,[2]Sheet1!$E:$E)</f>
        <v>ESTATES</v>
      </c>
      <c r="U163" s="63">
        <v>46029</v>
      </c>
      <c r="V163" s="63" t="s">
        <v>1797</v>
      </c>
      <c r="W163" s="63" t="s">
        <v>2553</v>
      </c>
      <c r="X163" s="63" t="s">
        <v>2577</v>
      </c>
      <c r="Z163" s="1">
        <f>_xlfn.XLOOKUP(A163,'SAP Report'!A:A,'SAP Report'!C:C)</f>
        <v>68440</v>
      </c>
      <c r="AA163" s="1">
        <f>HLOOKUP($A$4,$AV$6:$BG163,(2+BH162),FALSE)</f>
        <v>0</v>
      </c>
      <c r="AB163" s="1">
        <f>SUMIF('Open PR PO'!A:A,Monitoring!A163,'Open PR PO'!K:K)</f>
        <v>55255.360000000001</v>
      </c>
      <c r="AC163" s="1">
        <f t="shared" si="99"/>
        <v>55255.360000000001</v>
      </c>
      <c r="AD163" s="1">
        <f t="shared" si="100"/>
        <v>13184.64</v>
      </c>
      <c r="AE163" s="1">
        <f t="shared" si="101"/>
        <v>68440</v>
      </c>
      <c r="AF163" s="1"/>
      <c r="AG163" s="53">
        <f>SUMIFS(Actual!$F:$F,Actual!$N:$N,Monitoring!AG$6,Actual!$A:$A,Monitoring!$A163)</f>
        <v>0</v>
      </c>
      <c r="AH163" s="53">
        <f>SUMIFS(Actual!$F:$F,Actual!$N:$N,Monitoring!AH$6,Actual!$A:$A,Monitoring!$A163)</f>
        <v>0</v>
      </c>
      <c r="AI163" s="53">
        <f>SUMIFS(Actual!$F:$F,Actual!$N:$N,Monitoring!AI$6,Actual!$A:$A,Monitoring!$A163)</f>
        <v>0</v>
      </c>
      <c r="AJ163" s="53">
        <f>SUMIFS(Actual!$F:$F,Actual!$N:$N,Monitoring!AJ$6,Actual!$A:$A,Monitoring!$A163)</f>
        <v>0</v>
      </c>
      <c r="AK163" s="53">
        <f>SUMIFS(Actual!$F:$F,Actual!$N:$N,Monitoring!AK$6,Actual!$A:$A,Monitoring!$A163)</f>
        <v>0</v>
      </c>
      <c r="AL163" s="53">
        <f>SUMIFS(Actual!$F:$F,Actual!$N:$N,Monitoring!AL$6,Actual!$A:$A,Monitoring!$A163)</f>
        <v>0</v>
      </c>
      <c r="AM163" s="53">
        <f>SUMIFS(Actual!$F:$F,Actual!$N:$N,Monitoring!AM$6,Actual!$A:$A,Monitoring!$A163)</f>
        <v>0</v>
      </c>
      <c r="AN163" s="53">
        <f>SUMIFS(Actual!$F:$F,Actual!$N:$N,Monitoring!AN$6,Actual!$A:$A,Monitoring!$A163)</f>
        <v>0</v>
      </c>
      <c r="AO163" s="53">
        <f>SUMIFS(Actual!$F:$F,Actual!$N:$N,Monitoring!AO$6,Actual!$A:$A,Monitoring!$A163)</f>
        <v>0</v>
      </c>
      <c r="AP163" s="53">
        <f t="shared" si="81"/>
        <v>55255.360000000001</v>
      </c>
      <c r="AQ163" s="53">
        <f t="shared" si="82"/>
        <v>6592.32</v>
      </c>
      <c r="AR163" s="53">
        <f t="shared" si="83"/>
        <v>6592.32</v>
      </c>
      <c r="AS163" s="1">
        <f t="shared" si="84"/>
        <v>68440</v>
      </c>
      <c r="AT163" s="12">
        <f t="shared" si="85"/>
        <v>0</v>
      </c>
      <c r="AU163" s="1"/>
      <c r="AV163" s="53">
        <f t="shared" si="86"/>
        <v>0</v>
      </c>
      <c r="AW163" s="1">
        <f t="shared" si="87"/>
        <v>0</v>
      </c>
      <c r="AX163" s="1">
        <f t="shared" si="88"/>
        <v>0</v>
      </c>
      <c r="AY163" s="1">
        <f t="shared" si="89"/>
        <v>0</v>
      </c>
      <c r="AZ163" s="1">
        <f t="shared" si="90"/>
        <v>0</v>
      </c>
      <c r="BA163" s="1">
        <f t="shared" si="91"/>
        <v>0</v>
      </c>
      <c r="BB163" s="1">
        <f t="shared" si="92"/>
        <v>0</v>
      </c>
      <c r="BC163" s="1">
        <f t="shared" si="93"/>
        <v>0</v>
      </c>
      <c r="BD163" s="1">
        <f t="shared" si="94"/>
        <v>0</v>
      </c>
      <c r="BE163" s="1">
        <f t="shared" si="95"/>
        <v>55255.360000000001</v>
      </c>
      <c r="BF163" s="1">
        <f t="shared" si="96"/>
        <v>61847.68</v>
      </c>
      <c r="BG163" s="1">
        <f t="shared" si="97"/>
        <v>68440</v>
      </c>
      <c r="BH163">
        <f t="shared" si="98"/>
        <v>157</v>
      </c>
    </row>
    <row r="164" spans="1:60" x14ac:dyDescent="0.35">
      <c r="A164">
        <v>10001468</v>
      </c>
      <c r="B164" t="str">
        <f t="shared" si="78"/>
        <v>CC CCTV SYSTEM</v>
      </c>
      <c r="C164" t="s">
        <v>766</v>
      </c>
      <c r="D164" t="s">
        <v>766</v>
      </c>
      <c r="E164" t="s">
        <v>794</v>
      </c>
      <c r="F164" s="72" t="s">
        <v>1814</v>
      </c>
      <c r="G164" t="s">
        <v>1</v>
      </c>
      <c r="H164" t="s">
        <v>379</v>
      </c>
      <c r="I164">
        <v>1110</v>
      </c>
      <c r="J164" t="s">
        <v>2580</v>
      </c>
      <c r="K164" s="3">
        <f t="shared" si="79"/>
        <v>14</v>
      </c>
      <c r="L164" s="3" t="str">
        <f t="shared" si="80"/>
        <v>8000</v>
      </c>
      <c r="M164">
        <v>80323101</v>
      </c>
      <c r="N164" s="3" t="str">
        <f>_xlfn.XLOOKUP(M164,[2]Sheet1!$A:$A,[2]Sheet1!$D:$D)</f>
        <v>CC DEVELOPABLE</v>
      </c>
      <c r="O164" t="s">
        <v>767</v>
      </c>
      <c r="P164" t="s">
        <v>339</v>
      </c>
      <c r="Q164" s="2" t="s">
        <v>2579</v>
      </c>
      <c r="R164" s="1">
        <v>4600255</v>
      </c>
      <c r="S164" s="63" t="s">
        <v>2546</v>
      </c>
      <c r="T164" t="str">
        <f>_xlfn.XLOOKUP(M164,[2]Sheet1!$A:$A,[2]Sheet1!$E:$E)</f>
        <v>ESTATES</v>
      </c>
      <c r="U164" s="63">
        <v>46029</v>
      </c>
      <c r="V164" s="63" t="s">
        <v>1797</v>
      </c>
      <c r="W164" s="63" t="s">
        <v>2553</v>
      </c>
      <c r="X164" s="63" t="s">
        <v>2581</v>
      </c>
      <c r="Z164" s="1">
        <f>_xlfn.XLOOKUP(A164,'SAP Report'!A:A,'SAP Report'!C:C)</f>
        <v>4600255</v>
      </c>
      <c r="AA164" s="1">
        <f>HLOOKUP($A$4,$AV$6:$BG164,(2+BH163),FALSE)</f>
        <v>0</v>
      </c>
      <c r="AB164" s="1">
        <f>SUMIF('Open PR PO'!A:A,Monitoring!A164,'Open PR PO'!K:K)</f>
        <v>3972754.46</v>
      </c>
      <c r="AC164" s="1">
        <f t="shared" si="99"/>
        <v>3972754.46</v>
      </c>
      <c r="AD164" s="1">
        <f t="shared" si="100"/>
        <v>627500.54</v>
      </c>
      <c r="AE164" s="1">
        <f t="shared" si="101"/>
        <v>4600255</v>
      </c>
      <c r="AF164" s="1"/>
      <c r="AG164" s="53">
        <f>SUMIFS(Actual!$F:$F,Actual!$N:$N,Monitoring!AG$6,Actual!$A:$A,Monitoring!$A164)</f>
        <v>0</v>
      </c>
      <c r="AH164" s="53">
        <f>SUMIFS(Actual!$F:$F,Actual!$N:$N,Monitoring!AH$6,Actual!$A:$A,Monitoring!$A164)</f>
        <v>0</v>
      </c>
      <c r="AI164" s="53">
        <f>SUMIFS(Actual!$F:$F,Actual!$N:$N,Monitoring!AI$6,Actual!$A:$A,Monitoring!$A164)</f>
        <v>0</v>
      </c>
      <c r="AJ164" s="53">
        <f>SUMIFS(Actual!$F:$F,Actual!$N:$N,Monitoring!AJ$6,Actual!$A:$A,Monitoring!$A164)</f>
        <v>0</v>
      </c>
      <c r="AK164" s="53">
        <f>SUMIFS(Actual!$F:$F,Actual!$N:$N,Monitoring!AK$6,Actual!$A:$A,Monitoring!$A164)</f>
        <v>0</v>
      </c>
      <c r="AL164" s="53">
        <f>SUMIFS(Actual!$F:$F,Actual!$N:$N,Monitoring!AL$6,Actual!$A:$A,Monitoring!$A164)</f>
        <v>0</v>
      </c>
      <c r="AM164" s="53">
        <f>SUMIFS(Actual!$F:$F,Actual!$N:$N,Monitoring!AM$6,Actual!$A:$A,Monitoring!$A164)</f>
        <v>0</v>
      </c>
      <c r="AN164" s="53">
        <f>SUMIFS(Actual!$F:$F,Actual!$N:$N,Monitoring!AN$6,Actual!$A:$A,Monitoring!$A164)</f>
        <v>0</v>
      </c>
      <c r="AO164" s="53">
        <f>SUMIFS(Actual!$F:$F,Actual!$N:$N,Monitoring!AO$6,Actual!$A:$A,Monitoring!$A164)</f>
        <v>0</v>
      </c>
      <c r="AP164" s="53">
        <f t="shared" si="81"/>
        <v>3972754.46</v>
      </c>
      <c r="AQ164" s="53">
        <f t="shared" si="82"/>
        <v>313750.27</v>
      </c>
      <c r="AR164" s="53">
        <f t="shared" si="83"/>
        <v>313750.27</v>
      </c>
      <c r="AS164" s="1">
        <f t="shared" si="84"/>
        <v>4600255</v>
      </c>
      <c r="AT164" s="12">
        <f t="shared" si="85"/>
        <v>0</v>
      </c>
      <c r="AU164" s="1"/>
      <c r="AV164" s="53">
        <f t="shared" si="86"/>
        <v>0</v>
      </c>
      <c r="AW164" s="1">
        <f t="shared" si="87"/>
        <v>0</v>
      </c>
      <c r="AX164" s="1">
        <f t="shared" si="88"/>
        <v>0</v>
      </c>
      <c r="AY164" s="1">
        <f t="shared" si="89"/>
        <v>0</v>
      </c>
      <c r="AZ164" s="1">
        <f t="shared" si="90"/>
        <v>0</v>
      </c>
      <c r="BA164" s="1">
        <f t="shared" si="91"/>
        <v>0</v>
      </c>
      <c r="BB164" s="1">
        <f t="shared" si="92"/>
        <v>0</v>
      </c>
      <c r="BC164" s="1">
        <f t="shared" si="93"/>
        <v>0</v>
      </c>
      <c r="BD164" s="1">
        <f t="shared" si="94"/>
        <v>0</v>
      </c>
      <c r="BE164" s="1">
        <f t="shared" si="95"/>
        <v>3972754.46</v>
      </c>
      <c r="BF164" s="1">
        <f t="shared" si="96"/>
        <v>4286504.7300000004</v>
      </c>
      <c r="BG164" s="1">
        <f t="shared" si="97"/>
        <v>4600255</v>
      </c>
      <c r="BH164">
        <f t="shared" si="98"/>
        <v>158</v>
      </c>
    </row>
    <row r="165" spans="1:60" x14ac:dyDescent="0.35">
      <c r="A165">
        <v>10001469</v>
      </c>
      <c r="B165" t="str">
        <f t="shared" si="78"/>
        <v>CC RUMBLE STRIP &amp; PEDESTRIAN CROSSING FOR WALKWAY CANOPIES</v>
      </c>
      <c r="C165" t="s">
        <v>766</v>
      </c>
      <c r="D165" t="s">
        <v>766</v>
      </c>
      <c r="E165" t="s">
        <v>2587</v>
      </c>
      <c r="F165" s="72" t="s">
        <v>1814</v>
      </c>
      <c r="G165" t="s">
        <v>1</v>
      </c>
      <c r="H165" t="s">
        <v>371</v>
      </c>
      <c r="I165">
        <v>1100</v>
      </c>
      <c r="J165" t="s">
        <v>2586</v>
      </c>
      <c r="K165" s="3">
        <f t="shared" si="79"/>
        <v>58</v>
      </c>
      <c r="L165" s="3" t="str">
        <f t="shared" si="80"/>
        <v>8000</v>
      </c>
      <c r="M165">
        <v>80323101</v>
      </c>
      <c r="N165" s="3" t="str">
        <f>_xlfn.XLOOKUP(M165,[2]Sheet1!$A:$A,[2]Sheet1!$D:$D)</f>
        <v>CC DEVELOPABLE</v>
      </c>
      <c r="O165" t="s">
        <v>767</v>
      </c>
      <c r="P165" t="s">
        <v>339</v>
      </c>
      <c r="Q165" s="2" t="s">
        <v>2584</v>
      </c>
      <c r="R165" s="1">
        <v>428000</v>
      </c>
      <c r="S165" s="63" t="s">
        <v>2553</v>
      </c>
      <c r="T165" t="str">
        <f>_xlfn.XLOOKUP(M165,[2]Sheet1!$A:$A,[2]Sheet1!$E:$E)</f>
        <v>ESTATES</v>
      </c>
      <c r="U165" s="63">
        <v>46029</v>
      </c>
      <c r="V165" s="63" t="s">
        <v>1797</v>
      </c>
      <c r="W165" s="63" t="s">
        <v>2585</v>
      </c>
      <c r="X165" s="63" t="s">
        <v>2588</v>
      </c>
      <c r="Z165" s="1">
        <f>_xlfn.XLOOKUP(A165,'SAP Report'!A:A,'SAP Report'!C:C)</f>
        <v>428000</v>
      </c>
      <c r="AA165" s="1">
        <f>HLOOKUP($A$4,$AV$6:$BG165,(2+BH164),FALSE)</f>
        <v>0</v>
      </c>
      <c r="AB165" s="1">
        <f>SUMIF('Open PR PO'!A:A,Monitoring!A165,'Open PR PO'!K:K)</f>
        <v>0</v>
      </c>
      <c r="AC165" s="1">
        <f t="shared" si="99"/>
        <v>0</v>
      </c>
      <c r="AD165" s="1">
        <f t="shared" si="100"/>
        <v>428000</v>
      </c>
      <c r="AE165" s="1">
        <f t="shared" si="101"/>
        <v>428000</v>
      </c>
      <c r="AF165" s="1"/>
      <c r="AG165" s="53">
        <f>SUMIFS(Actual!$F:$F,Actual!$N:$N,Monitoring!AG$6,Actual!$A:$A,Monitoring!$A165)</f>
        <v>0</v>
      </c>
      <c r="AH165" s="53">
        <f>SUMIFS(Actual!$F:$F,Actual!$N:$N,Monitoring!AH$6,Actual!$A:$A,Monitoring!$A165)</f>
        <v>0</v>
      </c>
      <c r="AI165" s="53">
        <f>SUMIFS(Actual!$F:$F,Actual!$N:$N,Monitoring!AI$6,Actual!$A:$A,Monitoring!$A165)</f>
        <v>0</v>
      </c>
      <c r="AJ165" s="53">
        <f>SUMIFS(Actual!$F:$F,Actual!$N:$N,Monitoring!AJ$6,Actual!$A:$A,Monitoring!$A165)</f>
        <v>0</v>
      </c>
      <c r="AK165" s="53">
        <f>SUMIFS(Actual!$F:$F,Actual!$N:$N,Monitoring!AK$6,Actual!$A:$A,Monitoring!$A165)</f>
        <v>0</v>
      </c>
      <c r="AL165" s="53">
        <f>SUMIFS(Actual!$F:$F,Actual!$N:$N,Monitoring!AL$6,Actual!$A:$A,Monitoring!$A165)</f>
        <v>0</v>
      </c>
      <c r="AM165" s="53">
        <f>SUMIFS(Actual!$F:$F,Actual!$N:$N,Monitoring!AM$6,Actual!$A:$A,Monitoring!$A165)</f>
        <v>0</v>
      </c>
      <c r="AN165" s="53">
        <f>SUMIFS(Actual!$F:$F,Actual!$N:$N,Monitoring!AN$6,Actual!$A:$A,Monitoring!$A165)</f>
        <v>0</v>
      </c>
      <c r="AO165" s="53">
        <f>SUMIFS(Actual!$F:$F,Actual!$N:$N,Monitoring!AO$6,Actual!$A:$A,Monitoring!$A165)</f>
        <v>0</v>
      </c>
      <c r="AP165" s="53">
        <f t="shared" si="81"/>
        <v>0</v>
      </c>
      <c r="AQ165" s="53">
        <f t="shared" si="82"/>
        <v>214000</v>
      </c>
      <c r="AR165" s="53">
        <f t="shared" si="83"/>
        <v>214000</v>
      </c>
      <c r="AS165" s="1">
        <f t="shared" si="84"/>
        <v>428000</v>
      </c>
      <c r="AT165" s="12">
        <f t="shared" si="85"/>
        <v>0</v>
      </c>
      <c r="AU165" s="1"/>
      <c r="AV165" s="53">
        <f t="shared" si="86"/>
        <v>0</v>
      </c>
      <c r="AW165" s="1">
        <f t="shared" si="87"/>
        <v>0</v>
      </c>
      <c r="AX165" s="1">
        <f t="shared" si="88"/>
        <v>0</v>
      </c>
      <c r="AY165" s="1">
        <f t="shared" si="89"/>
        <v>0</v>
      </c>
      <c r="AZ165" s="1">
        <f t="shared" si="90"/>
        <v>0</v>
      </c>
      <c r="BA165" s="1">
        <f t="shared" si="91"/>
        <v>0</v>
      </c>
      <c r="BB165" s="1">
        <f t="shared" si="92"/>
        <v>0</v>
      </c>
      <c r="BC165" s="1">
        <f t="shared" si="93"/>
        <v>0</v>
      </c>
      <c r="BD165" s="1">
        <f t="shared" si="94"/>
        <v>0</v>
      </c>
      <c r="BE165" s="1">
        <f t="shared" si="95"/>
        <v>0</v>
      </c>
      <c r="BF165" s="1">
        <f t="shared" si="96"/>
        <v>214000</v>
      </c>
      <c r="BG165" s="1">
        <f t="shared" si="97"/>
        <v>428000</v>
      </c>
      <c r="BH165">
        <f t="shared" si="98"/>
        <v>159</v>
      </c>
    </row>
    <row r="166" spans="1:60" x14ac:dyDescent="0.35">
      <c r="A166">
        <v>40001296</v>
      </c>
      <c r="B166" t="str">
        <f t="shared" si="78"/>
        <v>LAPTOPS FOR A.MATA &amp; R.CAJARDO</v>
      </c>
      <c r="C166" t="s">
        <v>85</v>
      </c>
      <c r="D166" t="s">
        <v>797</v>
      </c>
      <c r="E166" t="s">
        <v>803</v>
      </c>
      <c r="F166" s="72" t="s">
        <v>1814</v>
      </c>
      <c r="G166" t="s">
        <v>1</v>
      </c>
      <c r="H166" t="s">
        <v>454</v>
      </c>
      <c r="I166">
        <v>1312</v>
      </c>
      <c r="J166" t="s">
        <v>2591</v>
      </c>
      <c r="K166" s="3">
        <f t="shared" si="79"/>
        <v>30</v>
      </c>
      <c r="L166" s="3" t="str">
        <f t="shared" si="80"/>
        <v>8100</v>
      </c>
      <c r="M166">
        <v>81124101</v>
      </c>
      <c r="N166" s="3" t="str">
        <f>_xlfn.XLOOKUP(M166,[2]Sheet1!$A:$A,[2]Sheet1!$D:$D)</f>
        <v>IS &amp; IT</v>
      </c>
      <c r="O166" t="s">
        <v>805</v>
      </c>
      <c r="P166" t="s">
        <v>743</v>
      </c>
      <c r="Q166" s="2" t="s">
        <v>2590</v>
      </c>
      <c r="R166" s="1">
        <v>169642.86</v>
      </c>
      <c r="S166" s="66" t="s">
        <v>2592</v>
      </c>
      <c r="T166" t="str">
        <f>_xlfn.XLOOKUP(M166,[2]Sheet1!$A:$A,[2]Sheet1!$E:$E)</f>
        <v>CORPORATE</v>
      </c>
      <c r="U166" s="66" t="s">
        <v>2592</v>
      </c>
      <c r="V166" s="66" t="s">
        <v>1797</v>
      </c>
      <c r="W166" s="66" t="s">
        <v>2841</v>
      </c>
      <c r="X166" s="66" t="s">
        <v>2842</v>
      </c>
      <c r="Z166" s="1">
        <f>_xlfn.XLOOKUP(A166,'SAP Report'!A:A,'SAP Report'!C:C)</f>
        <v>169642.86</v>
      </c>
      <c r="AA166" s="1">
        <f>HLOOKUP($A$4,$AV$6:$BG166,(2+BH165),FALSE)</f>
        <v>169642.86</v>
      </c>
      <c r="AB166" s="1">
        <f>SUMIF('Open PR PO'!A:A,Monitoring!A166,'Open PR PO'!K:K)</f>
        <v>0</v>
      </c>
      <c r="AC166" s="1">
        <f t="shared" ref="AC166" si="105">AA166+AB166</f>
        <v>169642.86</v>
      </c>
      <c r="AD166" s="1">
        <f t="shared" ref="AD166" si="106">Z166-AC166</f>
        <v>0</v>
      </c>
      <c r="AE166" s="1">
        <f t="shared" ref="AE166" si="107">Z166-AA166</f>
        <v>0</v>
      </c>
      <c r="AF166" s="1"/>
      <c r="AG166" s="53">
        <f>SUMIFS(Actual!$F:$F,Actual!$N:$N,Monitoring!AG$6,Actual!$A:$A,Monitoring!$A166)</f>
        <v>0</v>
      </c>
      <c r="AH166" s="53">
        <f>SUMIFS(Actual!$F:$F,Actual!$N:$N,Monitoring!AH$6,Actual!$A:$A,Monitoring!$A166)</f>
        <v>0</v>
      </c>
      <c r="AI166" s="53">
        <f>SUMIFS(Actual!$F:$F,Actual!$N:$N,Monitoring!AI$6,Actual!$A:$A,Monitoring!$A166)</f>
        <v>0</v>
      </c>
      <c r="AJ166" s="53">
        <f>SUMIFS(Actual!$F:$F,Actual!$N:$N,Monitoring!AJ$6,Actual!$A:$A,Monitoring!$A166)</f>
        <v>0</v>
      </c>
      <c r="AK166" s="53">
        <f>SUMIFS(Actual!$F:$F,Actual!$N:$N,Monitoring!AK$6,Actual!$A:$A,Monitoring!$A166)</f>
        <v>0</v>
      </c>
      <c r="AL166" s="53">
        <f>SUMIFS(Actual!$F:$F,Actual!$N:$N,Monitoring!AL$6,Actual!$A:$A,Monitoring!$A166)</f>
        <v>0</v>
      </c>
      <c r="AM166" s="53">
        <f>SUMIFS(Actual!$F:$F,Actual!$N:$N,Monitoring!AM$6,Actual!$A:$A,Monitoring!$A166)</f>
        <v>0</v>
      </c>
      <c r="AN166" s="53">
        <f>SUMIFS(Actual!$F:$F,Actual!$N:$N,Monitoring!AN$6,Actual!$A:$A,Monitoring!$A166)</f>
        <v>169642.86</v>
      </c>
      <c r="AO166" s="53">
        <f>SUMIFS(Actual!$F:$F,Actual!$N:$N,Monitoring!AO$6,Actual!$A:$A,Monitoring!$A166)</f>
        <v>0</v>
      </c>
      <c r="AP166" s="53">
        <f t="shared" si="81"/>
        <v>0</v>
      </c>
      <c r="AQ166" s="53">
        <f t="shared" si="82"/>
        <v>0</v>
      </c>
      <c r="AR166" s="53">
        <f t="shared" si="83"/>
        <v>0</v>
      </c>
      <c r="AS166" s="1">
        <f t="shared" si="84"/>
        <v>169642.86</v>
      </c>
      <c r="AT166" s="12">
        <f t="shared" si="85"/>
        <v>0</v>
      </c>
      <c r="AU166" s="1"/>
      <c r="AV166" s="53">
        <f t="shared" si="86"/>
        <v>0</v>
      </c>
      <c r="AW166" s="1">
        <f t="shared" si="87"/>
        <v>0</v>
      </c>
      <c r="AX166" s="1">
        <f t="shared" si="88"/>
        <v>0</v>
      </c>
      <c r="AY166" s="1">
        <f t="shared" si="89"/>
        <v>0</v>
      </c>
      <c r="AZ166" s="1">
        <f t="shared" si="90"/>
        <v>0</v>
      </c>
      <c r="BA166" s="1">
        <f t="shared" si="91"/>
        <v>0</v>
      </c>
      <c r="BB166" s="1">
        <f t="shared" si="92"/>
        <v>0</v>
      </c>
      <c r="BC166" s="1">
        <f t="shared" si="93"/>
        <v>169642.86</v>
      </c>
      <c r="BD166" s="1">
        <f t="shared" si="94"/>
        <v>169642.86</v>
      </c>
      <c r="BE166" s="1">
        <f t="shared" si="95"/>
        <v>169642.86</v>
      </c>
      <c r="BF166" s="1">
        <f t="shared" si="96"/>
        <v>169642.86</v>
      </c>
      <c r="BG166" s="1">
        <f t="shared" si="97"/>
        <v>169642.86</v>
      </c>
      <c r="BH166">
        <f t="shared" si="98"/>
        <v>160</v>
      </c>
    </row>
    <row r="167" spans="1:60" x14ac:dyDescent="0.35">
      <c r="A167">
        <v>40001297</v>
      </c>
      <c r="B167" t="str">
        <f t="shared" si="78"/>
        <v>LAPTOPS FOR J.DURAN, J.IGNACIO, J.GALANG</v>
      </c>
      <c r="C167" t="s">
        <v>85</v>
      </c>
      <c r="D167" t="s">
        <v>797</v>
      </c>
      <c r="E167" t="s">
        <v>803</v>
      </c>
      <c r="F167" s="72" t="s">
        <v>1814</v>
      </c>
      <c r="G167" t="s">
        <v>1</v>
      </c>
      <c r="H167" t="s">
        <v>454</v>
      </c>
      <c r="I167">
        <v>1312</v>
      </c>
      <c r="J167" t="s">
        <v>2859</v>
      </c>
      <c r="K167" s="3">
        <f t="shared" si="79"/>
        <v>40</v>
      </c>
      <c r="L167" s="3" t="str">
        <f t="shared" si="80"/>
        <v>8100</v>
      </c>
      <c r="M167">
        <v>81124101</v>
      </c>
      <c r="N167" s="3" t="str">
        <f>_xlfn.XLOOKUP(M167,[2]Sheet1!$A:$A,[2]Sheet1!$D:$D)</f>
        <v>IS &amp; IT</v>
      </c>
      <c r="O167" t="s">
        <v>805</v>
      </c>
      <c r="P167" t="s">
        <v>743</v>
      </c>
      <c r="Q167" s="2" t="s">
        <v>2860</v>
      </c>
      <c r="R167" s="1">
        <f>285000/1.12</f>
        <v>254464.28571428568</v>
      </c>
      <c r="S167" s="66" t="s">
        <v>2845</v>
      </c>
      <c r="T167" t="str">
        <f>_xlfn.XLOOKUP(M167,[2]Sheet1!$A:$A,[2]Sheet1!$E:$E)</f>
        <v>CORPORATE</v>
      </c>
      <c r="U167" s="66" t="s">
        <v>2845</v>
      </c>
      <c r="V167" s="66" t="s">
        <v>1797</v>
      </c>
      <c r="W167" s="66" t="s">
        <v>2845</v>
      </c>
      <c r="Z167" s="1">
        <f>_xlfn.XLOOKUP(A167,'SAP Report'!A:A,'SAP Report'!C:C)</f>
        <v>254464.29</v>
      </c>
      <c r="AA167" s="1">
        <f>HLOOKUP($A$4,$AV$6:$BG167,(2+BH166),FALSE)</f>
        <v>254464.29</v>
      </c>
      <c r="AB167" s="1">
        <f>SUMIF('Open PR PO'!A:A,Monitoring!A167,'Open PR PO'!K:K)</f>
        <v>0</v>
      </c>
      <c r="AC167" s="1">
        <f t="shared" ref="AC167:AC178" si="108">AA167+AB167</f>
        <v>254464.29</v>
      </c>
      <c r="AD167" s="1">
        <f t="shared" ref="AD167:AD177" si="109">Z167-AC167</f>
        <v>0</v>
      </c>
      <c r="AE167" s="1">
        <f t="shared" ref="AE167:AE177" si="110">Z167-AA167</f>
        <v>0</v>
      </c>
      <c r="AF167" s="1"/>
      <c r="AG167" s="53">
        <f>SUMIFS(Actual!$F:$F,Actual!$N:$N,Monitoring!AG$6,Actual!$A:$A,Monitoring!$A167)</f>
        <v>0</v>
      </c>
      <c r="AH167" s="53">
        <f>SUMIFS(Actual!$F:$F,Actual!$N:$N,Monitoring!AH$6,Actual!$A:$A,Monitoring!$A167)</f>
        <v>0</v>
      </c>
      <c r="AI167" s="53">
        <f>SUMIFS(Actual!$F:$F,Actual!$N:$N,Monitoring!AI$6,Actual!$A:$A,Monitoring!$A167)</f>
        <v>0</v>
      </c>
      <c r="AJ167" s="53">
        <f>SUMIFS(Actual!$F:$F,Actual!$N:$N,Monitoring!AJ$6,Actual!$A:$A,Monitoring!$A167)</f>
        <v>0</v>
      </c>
      <c r="AK167" s="53">
        <f>SUMIFS(Actual!$F:$F,Actual!$N:$N,Monitoring!AK$6,Actual!$A:$A,Monitoring!$A167)</f>
        <v>0</v>
      </c>
      <c r="AL167" s="53">
        <f>SUMIFS(Actual!$F:$F,Actual!$N:$N,Monitoring!AL$6,Actual!$A:$A,Monitoring!$A167)</f>
        <v>0</v>
      </c>
      <c r="AM167" s="53">
        <f>SUMIFS(Actual!$F:$F,Actual!$N:$N,Monitoring!AM$6,Actual!$A:$A,Monitoring!$A167)</f>
        <v>0</v>
      </c>
      <c r="AN167" s="53">
        <f>SUMIFS(Actual!$F:$F,Actual!$N:$N,Monitoring!AN$6,Actual!$A:$A,Monitoring!$A167)</f>
        <v>254464.29</v>
      </c>
      <c r="AO167" s="53">
        <f>SUMIFS(Actual!$F:$F,Actual!$N:$N,Monitoring!AO$6,Actual!$A:$A,Monitoring!$A167)</f>
        <v>0</v>
      </c>
      <c r="AP167" s="53">
        <f t="shared" si="81"/>
        <v>0</v>
      </c>
      <c r="AQ167" s="53">
        <f t="shared" si="82"/>
        <v>0</v>
      </c>
      <c r="AR167" s="53">
        <f t="shared" si="83"/>
        <v>0</v>
      </c>
      <c r="AS167" s="1">
        <f t="shared" si="84"/>
        <v>254464.29</v>
      </c>
      <c r="AT167" s="12">
        <f t="shared" si="85"/>
        <v>0</v>
      </c>
      <c r="AU167" s="1"/>
      <c r="AV167" s="53">
        <f t="shared" si="86"/>
        <v>0</v>
      </c>
      <c r="AW167" s="1">
        <f t="shared" si="87"/>
        <v>0</v>
      </c>
      <c r="AX167" s="1">
        <f t="shared" si="88"/>
        <v>0</v>
      </c>
      <c r="AY167" s="1">
        <f t="shared" si="89"/>
        <v>0</v>
      </c>
      <c r="AZ167" s="1">
        <f t="shared" si="90"/>
        <v>0</v>
      </c>
      <c r="BA167" s="1">
        <f t="shared" si="91"/>
        <v>0</v>
      </c>
      <c r="BB167" s="1">
        <f t="shared" si="92"/>
        <v>0</v>
      </c>
      <c r="BC167" s="1">
        <f t="shared" si="93"/>
        <v>254464.29</v>
      </c>
      <c r="BD167" s="1">
        <f t="shared" si="94"/>
        <v>254464.29</v>
      </c>
      <c r="BE167" s="1">
        <f t="shared" si="95"/>
        <v>254464.29</v>
      </c>
      <c r="BF167" s="1">
        <f t="shared" si="96"/>
        <v>254464.29</v>
      </c>
      <c r="BG167" s="1">
        <f t="shared" si="97"/>
        <v>254464.29</v>
      </c>
      <c r="BH167">
        <f t="shared" si="98"/>
        <v>161</v>
      </c>
    </row>
    <row r="168" spans="1:60" x14ac:dyDescent="0.35">
      <c r="A168">
        <v>40001298</v>
      </c>
      <c r="B168" t="str">
        <f t="shared" si="78"/>
        <v>LIFETIME CHAIRS AND TABLES</v>
      </c>
      <c r="C168" t="s">
        <v>861</v>
      </c>
      <c r="D168" t="s">
        <v>861</v>
      </c>
      <c r="E168" t="s">
        <v>2128</v>
      </c>
      <c r="F168" s="72" t="s">
        <v>1814</v>
      </c>
      <c r="G168" t="s">
        <v>1</v>
      </c>
      <c r="H168" t="s">
        <v>1821</v>
      </c>
      <c r="I168">
        <v>1300</v>
      </c>
      <c r="J168" t="s">
        <v>3092</v>
      </c>
      <c r="K168" s="3">
        <f t="shared" si="79"/>
        <v>26</v>
      </c>
      <c r="L168" s="3" t="str">
        <f t="shared" si="80"/>
        <v>8000</v>
      </c>
      <c r="M168">
        <v>80339101</v>
      </c>
      <c r="N168" s="3" t="str">
        <f>_xlfn.XLOOKUP(M168,[2]Sheet1!$A:$A,[2]Sheet1!$D:$D)</f>
        <v>SBU BS - RBU (COMMON</v>
      </c>
      <c r="O168" t="s">
        <v>2130</v>
      </c>
      <c r="P168" t="s">
        <v>1827</v>
      </c>
      <c r="Q168" s="2" t="s">
        <v>3093</v>
      </c>
      <c r="R168" s="1">
        <v>19096.46</v>
      </c>
      <c r="S168" s="66" t="s">
        <v>3094</v>
      </c>
      <c r="T168" t="str">
        <f>_xlfn.XLOOKUP(M168,[1]Sheet1!$A:$A,[1]Sheet1!$E:$E)</f>
        <v>RESIDENTIAL</v>
      </c>
      <c r="U168" s="66" t="s">
        <v>3095</v>
      </c>
      <c r="V168" s="66" t="s">
        <v>3095</v>
      </c>
      <c r="W168" s="66" t="s">
        <v>3096</v>
      </c>
      <c r="X168" s="63" t="s">
        <v>3098</v>
      </c>
      <c r="Z168" s="1">
        <f>_xlfn.XLOOKUP(A168,'SAP Report'!A:A,'SAP Report'!C:C)</f>
        <v>19096.46</v>
      </c>
      <c r="AA168" s="1">
        <f>HLOOKUP($A$4,$AV$6:$BG168,(2+BH167),FALSE)</f>
        <v>0</v>
      </c>
      <c r="AB168" s="1">
        <f>SUMIF('Open PR PO'!A:A,Monitoring!A168,'Open PR PO'!K:K)</f>
        <v>18242.5</v>
      </c>
      <c r="AC168" s="1">
        <f t="shared" si="108"/>
        <v>18242.5</v>
      </c>
      <c r="AD168" s="1">
        <f t="shared" si="109"/>
        <v>853.95999999999913</v>
      </c>
      <c r="AE168" s="1">
        <f t="shared" si="110"/>
        <v>19096.46</v>
      </c>
      <c r="AF168" s="1"/>
      <c r="AG168" s="53">
        <f>SUMIFS(Actual!$F:$F,Actual!$N:$N,Monitoring!AG$6,Actual!$A:$A,Monitoring!$A168)</f>
        <v>0</v>
      </c>
      <c r="AH168" s="53">
        <f>SUMIFS(Actual!$F:$F,Actual!$N:$N,Monitoring!AH$6,Actual!$A:$A,Monitoring!$A168)</f>
        <v>0</v>
      </c>
      <c r="AI168" s="53">
        <f>SUMIFS(Actual!$F:$F,Actual!$N:$N,Monitoring!AI$6,Actual!$A:$A,Monitoring!$A168)</f>
        <v>0</v>
      </c>
      <c r="AJ168" s="53">
        <f>SUMIFS(Actual!$F:$F,Actual!$N:$N,Monitoring!AJ$6,Actual!$A:$A,Monitoring!$A168)</f>
        <v>0</v>
      </c>
      <c r="AK168" s="53">
        <f>SUMIFS(Actual!$F:$F,Actual!$N:$N,Monitoring!AK$6,Actual!$A:$A,Monitoring!$A168)</f>
        <v>0</v>
      </c>
      <c r="AL168" s="53">
        <f>SUMIFS(Actual!$F:$F,Actual!$N:$N,Monitoring!AL$6,Actual!$A:$A,Monitoring!$A168)</f>
        <v>0</v>
      </c>
      <c r="AM168" s="53">
        <f>SUMIFS(Actual!$F:$F,Actual!$N:$N,Monitoring!AM$6,Actual!$A:$A,Monitoring!$A168)</f>
        <v>0</v>
      </c>
      <c r="AN168" s="53">
        <f>SUMIFS(Actual!$F:$F,Actual!$N:$N,Monitoring!AN$6,Actual!$A:$A,Monitoring!$A168)</f>
        <v>0</v>
      </c>
      <c r="AO168" s="53">
        <f>SUMIFS(Actual!$F:$F,Actual!$N:$N,Monitoring!AO$6,Actual!$A:$A,Monitoring!$A168)</f>
        <v>0</v>
      </c>
      <c r="AP168" s="53">
        <f t="shared" si="81"/>
        <v>18242.5</v>
      </c>
      <c r="AQ168" s="53">
        <f t="shared" si="82"/>
        <v>426.97999999999956</v>
      </c>
      <c r="AR168" s="53">
        <f t="shared" si="83"/>
        <v>426.97999999999956</v>
      </c>
      <c r="AS168" s="1">
        <f t="shared" si="84"/>
        <v>19096.46</v>
      </c>
      <c r="AT168" s="12">
        <f t="shared" si="85"/>
        <v>0</v>
      </c>
      <c r="AU168" s="1"/>
      <c r="AV168" s="53">
        <f t="shared" si="86"/>
        <v>0</v>
      </c>
      <c r="AW168" s="1">
        <f t="shared" si="87"/>
        <v>0</v>
      </c>
      <c r="AX168" s="1">
        <f t="shared" si="88"/>
        <v>0</v>
      </c>
      <c r="AY168" s="1">
        <f t="shared" si="89"/>
        <v>0</v>
      </c>
      <c r="AZ168" s="1">
        <f t="shared" si="90"/>
        <v>0</v>
      </c>
      <c r="BA168" s="1">
        <f t="shared" si="91"/>
        <v>0</v>
      </c>
      <c r="BB168" s="1">
        <f t="shared" si="92"/>
        <v>0</v>
      </c>
      <c r="BC168" s="1">
        <f t="shared" si="93"/>
        <v>0</v>
      </c>
      <c r="BD168" s="1">
        <f t="shared" si="94"/>
        <v>0</v>
      </c>
      <c r="BE168" s="1">
        <f t="shared" si="95"/>
        <v>18242.5</v>
      </c>
      <c r="BF168" s="1">
        <f t="shared" si="96"/>
        <v>18669.48</v>
      </c>
      <c r="BG168" s="1">
        <f t="shared" si="97"/>
        <v>19096.46</v>
      </c>
      <c r="BH168">
        <f t="shared" si="98"/>
        <v>162</v>
      </c>
    </row>
    <row r="169" spans="1:60" x14ac:dyDescent="0.35">
      <c r="A169">
        <v>40001299</v>
      </c>
      <c r="B169" t="str">
        <f t="shared" si="78"/>
        <v>LAPTOPS FOR NEW HIRES (15 UNITS)</v>
      </c>
      <c r="C169" t="s">
        <v>85</v>
      </c>
      <c r="D169" t="s">
        <v>797</v>
      </c>
      <c r="E169" t="s">
        <v>803</v>
      </c>
      <c r="F169" s="72" t="s">
        <v>1814</v>
      </c>
      <c r="G169" t="s">
        <v>1</v>
      </c>
      <c r="H169" t="s">
        <v>454</v>
      </c>
      <c r="I169">
        <v>1312</v>
      </c>
      <c r="J169" t="s">
        <v>3202</v>
      </c>
      <c r="K169" s="3">
        <f t="shared" si="79"/>
        <v>32</v>
      </c>
      <c r="L169" s="3" t="str">
        <f t="shared" si="80"/>
        <v>8100</v>
      </c>
      <c r="M169">
        <v>81124101</v>
      </c>
      <c r="N169" s="3" t="str">
        <f>_xlfn.XLOOKUP(M169,[2]Sheet1!$A:$A,[2]Sheet1!$D:$D)</f>
        <v>IS &amp; IT</v>
      </c>
      <c r="O169" t="s">
        <v>3100</v>
      </c>
      <c r="P169" t="s">
        <v>743</v>
      </c>
      <c r="Q169" s="2" t="s">
        <v>3101</v>
      </c>
      <c r="R169" s="1">
        <f>87500*15</f>
        <v>1312500</v>
      </c>
      <c r="S169" s="66" t="s">
        <v>3102</v>
      </c>
      <c r="T169" t="str">
        <f>_xlfn.XLOOKUP(M169,[2]Sheet1!$A:$A,[2]Sheet1!$E:$E)</f>
        <v>CORPORATE</v>
      </c>
      <c r="U169" s="66" t="s">
        <v>3102</v>
      </c>
      <c r="V169" s="66" t="s">
        <v>3102</v>
      </c>
      <c r="W169" s="66" t="s">
        <v>3102</v>
      </c>
      <c r="X169" s="66" t="s">
        <v>3103</v>
      </c>
      <c r="Z169" s="1">
        <f>_xlfn.XLOOKUP(A169,'SAP Report'!A:A,'SAP Report'!C:C)</f>
        <v>1312500</v>
      </c>
      <c r="AA169" s="1">
        <f>HLOOKUP($A$4,$AV$6:$BG169,(2+BH168),FALSE)</f>
        <v>1272321.43</v>
      </c>
      <c r="AB169" s="1">
        <f>SUMIF('Open PR PO'!A:A,Monitoring!A169,'Open PR PO'!K:K)</f>
        <v>0</v>
      </c>
      <c r="AC169" s="1">
        <f t="shared" si="108"/>
        <v>1272321.43</v>
      </c>
      <c r="AD169" s="1">
        <f t="shared" si="109"/>
        <v>40178.570000000065</v>
      </c>
      <c r="AE169" s="1">
        <f t="shared" si="110"/>
        <v>40178.570000000065</v>
      </c>
      <c r="AF169" s="1"/>
      <c r="AG169" s="53">
        <f>SUMIFS(Actual!$F:$F,Actual!$N:$N,Monitoring!AG$6,Actual!$A:$A,Monitoring!$A169)</f>
        <v>0</v>
      </c>
      <c r="AH169" s="53">
        <f>SUMIFS(Actual!$F:$F,Actual!$N:$N,Monitoring!AH$6,Actual!$A:$A,Monitoring!$A169)</f>
        <v>0</v>
      </c>
      <c r="AI169" s="53">
        <f>SUMIFS(Actual!$F:$F,Actual!$N:$N,Monitoring!AI$6,Actual!$A:$A,Monitoring!$A169)</f>
        <v>0</v>
      </c>
      <c r="AJ169" s="53">
        <f>SUMIFS(Actual!$F:$F,Actual!$N:$N,Monitoring!AJ$6,Actual!$A:$A,Monitoring!$A169)</f>
        <v>0</v>
      </c>
      <c r="AK169" s="53">
        <f>SUMIFS(Actual!$F:$F,Actual!$N:$N,Monitoring!AK$6,Actual!$A:$A,Monitoring!$A169)</f>
        <v>0</v>
      </c>
      <c r="AL169" s="53">
        <f>SUMIFS(Actual!$F:$F,Actual!$N:$N,Monitoring!AL$6,Actual!$A:$A,Monitoring!$A169)</f>
        <v>0</v>
      </c>
      <c r="AM169" s="53">
        <f>SUMIFS(Actual!$F:$F,Actual!$N:$N,Monitoring!AM$6,Actual!$A:$A,Monitoring!$A169)</f>
        <v>0</v>
      </c>
      <c r="AN169" s="53">
        <f>SUMIFS(Actual!$F:$F,Actual!$N:$N,Monitoring!AN$6,Actual!$A:$A,Monitoring!$A169)</f>
        <v>0</v>
      </c>
      <c r="AO169" s="53">
        <f>SUMIFS(Actual!$F:$F,Actual!$N:$N,Monitoring!AO$6,Actual!$A:$A,Monitoring!$A169)</f>
        <v>1272321.43</v>
      </c>
      <c r="AP169" s="53">
        <f t="shared" si="81"/>
        <v>0</v>
      </c>
      <c r="AQ169" s="53">
        <f t="shared" si="82"/>
        <v>20089.285000000033</v>
      </c>
      <c r="AR169" s="53">
        <f t="shared" si="83"/>
        <v>20089.285000000033</v>
      </c>
      <c r="AS169" s="1">
        <f t="shared" si="84"/>
        <v>1312500</v>
      </c>
      <c r="AT169" s="12">
        <f t="shared" si="85"/>
        <v>0</v>
      </c>
      <c r="AU169" s="1"/>
      <c r="AV169" s="53">
        <f t="shared" si="86"/>
        <v>0</v>
      </c>
      <c r="AW169" s="1">
        <f t="shared" si="87"/>
        <v>0</v>
      </c>
      <c r="AX169" s="1">
        <f t="shared" si="88"/>
        <v>0</v>
      </c>
      <c r="AY169" s="1">
        <f t="shared" si="89"/>
        <v>0</v>
      </c>
      <c r="AZ169" s="1">
        <f t="shared" si="90"/>
        <v>0</v>
      </c>
      <c r="BA169" s="1">
        <f t="shared" si="91"/>
        <v>0</v>
      </c>
      <c r="BB169" s="1">
        <f t="shared" si="92"/>
        <v>0</v>
      </c>
      <c r="BC169" s="1">
        <f t="shared" si="93"/>
        <v>0</v>
      </c>
      <c r="BD169" s="1">
        <f t="shared" si="94"/>
        <v>1272321.43</v>
      </c>
      <c r="BE169" s="1">
        <f t="shared" si="95"/>
        <v>1272321.43</v>
      </c>
      <c r="BF169" s="1">
        <f t="shared" si="96"/>
        <v>1292410.7149999999</v>
      </c>
      <c r="BG169" s="1">
        <f t="shared" si="97"/>
        <v>1312500</v>
      </c>
      <c r="BH169">
        <f t="shared" si="98"/>
        <v>163</v>
      </c>
    </row>
    <row r="170" spans="1:60" x14ac:dyDescent="0.35">
      <c r="A170">
        <v>40001300</v>
      </c>
      <c r="B170" t="str">
        <f t="shared" si="78"/>
        <v>OUTSOURCED TIMEKEEPING SYSTEM</v>
      </c>
      <c r="C170" t="s">
        <v>9</v>
      </c>
      <c r="D170" t="s">
        <v>9</v>
      </c>
      <c r="E170" t="s">
        <v>3160</v>
      </c>
      <c r="F170" s="72" t="s">
        <v>1814</v>
      </c>
      <c r="G170" t="s">
        <v>1</v>
      </c>
      <c r="H170" t="s">
        <v>623</v>
      </c>
      <c r="I170">
        <v>1312</v>
      </c>
      <c r="J170" t="s">
        <v>3155</v>
      </c>
      <c r="K170" s="3">
        <f t="shared" si="79"/>
        <v>29</v>
      </c>
      <c r="L170" s="3" t="str">
        <f t="shared" si="80"/>
        <v>8100</v>
      </c>
      <c r="M170">
        <v>81221201</v>
      </c>
      <c r="N170" s="3" t="str">
        <f>_xlfn.XLOOKUP(M170,[2]Sheet1!$A:$A,[2]Sheet1!$D:$D)</f>
        <v>GSC OLD BLDGS</v>
      </c>
      <c r="O170" t="s">
        <v>3156</v>
      </c>
      <c r="P170" t="s">
        <v>13</v>
      </c>
      <c r="Q170" s="2" t="s">
        <v>3154</v>
      </c>
      <c r="R170" s="89">
        <v>2000000</v>
      </c>
      <c r="S170" s="66" t="s">
        <v>3157</v>
      </c>
      <c r="T170" t="str">
        <f>_xlfn.XLOOKUP(M170,[2]Sheet1!$A:$A,[2]Sheet1!$E:$E)</f>
        <v>MALLS</v>
      </c>
      <c r="U170" s="66" t="s">
        <v>3157</v>
      </c>
      <c r="V170" s="66" t="s">
        <v>3158</v>
      </c>
      <c r="W170" s="66" t="s">
        <v>3159</v>
      </c>
      <c r="X170" s="66" t="s">
        <v>3161</v>
      </c>
      <c r="Z170" s="1">
        <f>_xlfn.XLOOKUP(A170,'SAP Report'!A:A,'SAP Report'!C:C)</f>
        <v>2000000</v>
      </c>
      <c r="AA170" s="1">
        <f>HLOOKUP($A$4,$AV$6:$BG170,(2+BH169),FALSE)</f>
        <v>0</v>
      </c>
      <c r="AB170" s="1">
        <f>SUMIF('Open PR PO'!A:A,Monitoring!A170,'Open PR PO'!K:K)</f>
        <v>0</v>
      </c>
      <c r="AC170" s="1">
        <f t="shared" si="108"/>
        <v>0</v>
      </c>
      <c r="AD170" s="1">
        <f t="shared" si="109"/>
        <v>2000000</v>
      </c>
      <c r="AE170" s="1">
        <f t="shared" si="110"/>
        <v>2000000</v>
      </c>
      <c r="AF170" s="1"/>
      <c r="AG170" s="53">
        <f>SUMIFS(Actual!$F:$F,Actual!$N:$N,Monitoring!AG$6,Actual!$A:$A,Monitoring!$A170)</f>
        <v>0</v>
      </c>
      <c r="AH170" s="53">
        <f>SUMIFS(Actual!$F:$F,Actual!$N:$N,Monitoring!AH$6,Actual!$A:$A,Monitoring!$A170)</f>
        <v>0</v>
      </c>
      <c r="AI170" s="53">
        <f>SUMIFS(Actual!$F:$F,Actual!$N:$N,Monitoring!AI$6,Actual!$A:$A,Monitoring!$A170)</f>
        <v>0</v>
      </c>
      <c r="AJ170" s="53">
        <f>SUMIFS(Actual!$F:$F,Actual!$N:$N,Monitoring!AJ$6,Actual!$A:$A,Monitoring!$A170)</f>
        <v>0</v>
      </c>
      <c r="AK170" s="53">
        <f>SUMIFS(Actual!$F:$F,Actual!$N:$N,Monitoring!AK$6,Actual!$A:$A,Monitoring!$A170)</f>
        <v>0</v>
      </c>
      <c r="AL170" s="53">
        <f>SUMIFS(Actual!$F:$F,Actual!$N:$N,Monitoring!AL$6,Actual!$A:$A,Monitoring!$A170)</f>
        <v>0</v>
      </c>
      <c r="AM170" s="53">
        <f>SUMIFS(Actual!$F:$F,Actual!$N:$N,Monitoring!AM$6,Actual!$A:$A,Monitoring!$A170)</f>
        <v>0</v>
      </c>
      <c r="AN170" s="53">
        <f>SUMIFS(Actual!$F:$F,Actual!$N:$N,Monitoring!AN$6,Actual!$A:$A,Monitoring!$A170)</f>
        <v>0</v>
      </c>
      <c r="AO170" s="53">
        <f>SUMIFS(Actual!$F:$F,Actual!$N:$N,Monitoring!AO$6,Actual!$A:$A,Monitoring!$A170)</f>
        <v>0</v>
      </c>
      <c r="AP170" s="53">
        <f t="shared" si="81"/>
        <v>0</v>
      </c>
      <c r="AQ170" s="53">
        <f t="shared" si="82"/>
        <v>1000000</v>
      </c>
      <c r="AR170" s="53">
        <f t="shared" si="83"/>
        <v>1000000</v>
      </c>
      <c r="AS170" s="1">
        <f t="shared" si="84"/>
        <v>2000000</v>
      </c>
      <c r="AT170" s="12">
        <f t="shared" si="85"/>
        <v>0</v>
      </c>
      <c r="AU170" s="1"/>
      <c r="AV170" s="53">
        <f t="shared" si="86"/>
        <v>0</v>
      </c>
      <c r="AW170" s="1">
        <f t="shared" si="87"/>
        <v>0</v>
      </c>
      <c r="AX170" s="1">
        <f t="shared" si="88"/>
        <v>0</v>
      </c>
      <c r="AY170" s="1">
        <f t="shared" si="89"/>
        <v>0</v>
      </c>
      <c r="AZ170" s="1">
        <f t="shared" si="90"/>
        <v>0</v>
      </c>
      <c r="BA170" s="1">
        <f t="shared" si="91"/>
        <v>0</v>
      </c>
      <c r="BB170" s="1">
        <f t="shared" si="92"/>
        <v>0</v>
      </c>
      <c r="BC170" s="1">
        <f t="shared" si="93"/>
        <v>0</v>
      </c>
      <c r="BD170" s="1">
        <f t="shared" si="94"/>
        <v>0</v>
      </c>
      <c r="BE170" s="1">
        <f t="shared" si="95"/>
        <v>0</v>
      </c>
      <c r="BF170" s="1">
        <f t="shared" si="96"/>
        <v>1000000</v>
      </c>
      <c r="BG170" s="1">
        <f t="shared" si="97"/>
        <v>2000000</v>
      </c>
      <c r="BH170">
        <f t="shared" si="98"/>
        <v>164</v>
      </c>
    </row>
    <row r="171" spans="1:60" x14ac:dyDescent="0.35">
      <c r="A171">
        <v>40001301</v>
      </c>
      <c r="B171" t="str">
        <f t="shared" si="78"/>
        <v>LAPTOP FOR W.ALCANTARA</v>
      </c>
      <c r="C171" t="s">
        <v>85</v>
      </c>
      <c r="D171" t="s">
        <v>797</v>
      </c>
      <c r="E171" t="s">
        <v>803</v>
      </c>
      <c r="F171" s="72" t="s">
        <v>1814</v>
      </c>
      <c r="G171" t="s">
        <v>1</v>
      </c>
      <c r="H171" t="s">
        <v>454</v>
      </c>
      <c r="I171">
        <v>1312</v>
      </c>
      <c r="J171" t="s">
        <v>3162</v>
      </c>
      <c r="K171" s="3">
        <f t="shared" si="79"/>
        <v>22</v>
      </c>
      <c r="L171" s="3" t="str">
        <f t="shared" si="80"/>
        <v>8100</v>
      </c>
      <c r="M171">
        <v>81124101</v>
      </c>
      <c r="N171" s="3" t="str">
        <f>_xlfn.XLOOKUP(M171,[2]Sheet1!$A:$A,[2]Sheet1!$D:$D)</f>
        <v>IS &amp; IT</v>
      </c>
      <c r="O171" t="s">
        <v>3100</v>
      </c>
      <c r="P171" t="s">
        <v>743</v>
      </c>
      <c r="Q171" s="2" t="s">
        <v>3163</v>
      </c>
      <c r="R171" s="1">
        <f>155000/1.12</f>
        <v>138392.85714285713</v>
      </c>
      <c r="S171" s="66" t="s">
        <v>3159</v>
      </c>
      <c r="T171" t="str">
        <f>_xlfn.XLOOKUP(M171,[2]Sheet1!$A:$A,[2]Sheet1!$E:$E)</f>
        <v>CORPORATE</v>
      </c>
      <c r="U171" s="66" t="s">
        <v>3159</v>
      </c>
      <c r="V171" s="66" t="s">
        <v>3159</v>
      </c>
      <c r="W171" s="66" t="s">
        <v>3159</v>
      </c>
      <c r="Z171" s="1">
        <f>_xlfn.XLOOKUP(A171,'SAP Report'!A:A,'SAP Report'!C:C)</f>
        <v>138392.85999999999</v>
      </c>
      <c r="AA171" s="1">
        <f>HLOOKUP($A$4,$AV$6:$BG171,(2+BH170),FALSE)</f>
        <v>0</v>
      </c>
      <c r="AB171" s="1">
        <f>SUMIF('Open PR PO'!A:A,Monitoring!A171,'Open PR PO'!K:K)</f>
        <v>116517.86</v>
      </c>
      <c r="AC171" s="1">
        <f t="shared" si="108"/>
        <v>116517.86</v>
      </c>
      <c r="AD171" s="1">
        <f t="shared" si="109"/>
        <v>21874.999999999985</v>
      </c>
      <c r="AE171" s="1">
        <f t="shared" si="110"/>
        <v>138392.85999999999</v>
      </c>
      <c r="AF171" s="1"/>
      <c r="AG171" s="53">
        <f>SUMIFS(Actual!$F:$F,Actual!$N:$N,Monitoring!AG$6,Actual!$A:$A,Monitoring!$A171)</f>
        <v>0</v>
      </c>
      <c r="AH171" s="53">
        <f>SUMIFS(Actual!$F:$F,Actual!$N:$N,Monitoring!AH$6,Actual!$A:$A,Monitoring!$A171)</f>
        <v>0</v>
      </c>
      <c r="AI171" s="53">
        <f>SUMIFS(Actual!$F:$F,Actual!$N:$N,Monitoring!AI$6,Actual!$A:$A,Monitoring!$A171)</f>
        <v>0</v>
      </c>
      <c r="AJ171" s="53">
        <f>SUMIFS(Actual!$F:$F,Actual!$N:$N,Monitoring!AJ$6,Actual!$A:$A,Monitoring!$A171)</f>
        <v>0</v>
      </c>
      <c r="AK171" s="53">
        <f>SUMIFS(Actual!$F:$F,Actual!$N:$N,Monitoring!AK$6,Actual!$A:$A,Monitoring!$A171)</f>
        <v>0</v>
      </c>
      <c r="AL171" s="53">
        <f>SUMIFS(Actual!$F:$F,Actual!$N:$N,Monitoring!AL$6,Actual!$A:$A,Monitoring!$A171)</f>
        <v>0</v>
      </c>
      <c r="AM171" s="53">
        <f>SUMIFS(Actual!$F:$F,Actual!$N:$N,Monitoring!AM$6,Actual!$A:$A,Monitoring!$A171)</f>
        <v>0</v>
      </c>
      <c r="AN171" s="53">
        <f>SUMIFS(Actual!$F:$F,Actual!$N:$N,Monitoring!AN$6,Actual!$A:$A,Monitoring!$A171)</f>
        <v>0</v>
      </c>
      <c r="AO171" s="53">
        <f>SUMIFS(Actual!$F:$F,Actual!$N:$N,Monitoring!AO$6,Actual!$A:$A,Monitoring!$A171)</f>
        <v>0</v>
      </c>
      <c r="AP171" s="53">
        <f t="shared" si="81"/>
        <v>116517.86</v>
      </c>
      <c r="AQ171" s="53">
        <f t="shared" si="82"/>
        <v>10937.499999999993</v>
      </c>
      <c r="AR171" s="53">
        <f t="shared" si="83"/>
        <v>10937.499999999993</v>
      </c>
      <c r="AS171" s="1">
        <f t="shared" si="84"/>
        <v>138392.85999999999</v>
      </c>
      <c r="AT171" s="12">
        <f t="shared" si="85"/>
        <v>0</v>
      </c>
      <c r="AU171" s="1"/>
      <c r="AV171" s="53">
        <f t="shared" si="86"/>
        <v>0</v>
      </c>
      <c r="AW171" s="1">
        <f t="shared" si="87"/>
        <v>0</v>
      </c>
      <c r="AX171" s="1">
        <f t="shared" si="88"/>
        <v>0</v>
      </c>
      <c r="AY171" s="1">
        <f t="shared" si="89"/>
        <v>0</v>
      </c>
      <c r="AZ171" s="1">
        <f t="shared" si="90"/>
        <v>0</v>
      </c>
      <c r="BA171" s="1">
        <f t="shared" si="91"/>
        <v>0</v>
      </c>
      <c r="BB171" s="1">
        <f t="shared" si="92"/>
        <v>0</v>
      </c>
      <c r="BC171" s="1">
        <f t="shared" si="93"/>
        <v>0</v>
      </c>
      <c r="BD171" s="1">
        <f t="shared" si="94"/>
        <v>0</v>
      </c>
      <c r="BE171" s="1">
        <f t="shared" si="95"/>
        <v>116517.86</v>
      </c>
      <c r="BF171" s="1">
        <f t="shared" si="96"/>
        <v>127455.35999999999</v>
      </c>
      <c r="BG171" s="1">
        <f t="shared" si="97"/>
        <v>138392.85999999999</v>
      </c>
      <c r="BH171">
        <f t="shared" si="98"/>
        <v>165</v>
      </c>
    </row>
    <row r="172" spans="1:60" x14ac:dyDescent="0.35">
      <c r="A172">
        <v>40001302</v>
      </c>
      <c r="B172" t="str">
        <f t="shared" si="78"/>
        <v>ES CINEMA DESKTOP COMPUTERS</v>
      </c>
      <c r="C172" t="s">
        <v>9</v>
      </c>
      <c r="D172" t="s">
        <v>9</v>
      </c>
      <c r="E172" t="s">
        <v>758</v>
      </c>
      <c r="F172" s="72" t="s">
        <v>1814</v>
      </c>
      <c r="G172" t="s">
        <v>1</v>
      </c>
      <c r="H172" t="s">
        <v>493</v>
      </c>
      <c r="I172">
        <v>1312</v>
      </c>
      <c r="J172" t="s">
        <v>3166</v>
      </c>
      <c r="K172" s="3">
        <f t="shared" si="79"/>
        <v>27</v>
      </c>
      <c r="L172" s="3" t="str">
        <f t="shared" si="80"/>
        <v>8100</v>
      </c>
      <c r="M172">
        <v>81225206</v>
      </c>
      <c r="N172" s="3" t="str">
        <f>_xlfn.XLOOKUP(M172,[2]Sheet1!$A:$A,[2]Sheet1!$D:$D)</f>
        <v>ESTANCIA CINEMA-RC</v>
      </c>
      <c r="O172" t="s">
        <v>3165</v>
      </c>
      <c r="P172" t="s">
        <v>20</v>
      </c>
      <c r="Q172" s="2" t="s">
        <v>3164</v>
      </c>
      <c r="R172" s="89">
        <v>95000</v>
      </c>
      <c r="S172" s="63" t="s">
        <v>3159</v>
      </c>
      <c r="T172" t="str">
        <f>_xlfn.XLOOKUP(M172,[2]Sheet1!$A:$A,[2]Sheet1!$E:$E)</f>
        <v>MALLS</v>
      </c>
      <c r="U172" s="63" t="s">
        <v>3159</v>
      </c>
      <c r="V172" s="63" t="s">
        <v>23</v>
      </c>
      <c r="W172" s="63" t="s">
        <v>3159</v>
      </c>
      <c r="X172" s="63" t="s">
        <v>3167</v>
      </c>
      <c r="Z172" s="1">
        <f>_xlfn.XLOOKUP(A172,'SAP Report'!A:A,'SAP Report'!C:C)</f>
        <v>95000</v>
      </c>
      <c r="AA172" s="1">
        <f>HLOOKUP($A$4,$AV$6:$BG172,(2+BH171),FALSE)</f>
        <v>0</v>
      </c>
      <c r="AB172" s="1">
        <f>SUMIF('Open PR PO'!A:A,Monitoring!A172,'Open PR PO'!K:K)</f>
        <v>93928.58</v>
      </c>
      <c r="AC172" s="1">
        <f t="shared" si="108"/>
        <v>93928.58</v>
      </c>
      <c r="AD172" s="1">
        <f t="shared" si="109"/>
        <v>1071.4199999999983</v>
      </c>
      <c r="AE172" s="1">
        <f t="shared" si="110"/>
        <v>95000</v>
      </c>
      <c r="AF172" s="1"/>
      <c r="AG172" s="53">
        <f>SUMIFS(Actual!$F:$F,Actual!$N:$N,Monitoring!AG$6,Actual!$A:$A,Monitoring!$A172)</f>
        <v>0</v>
      </c>
      <c r="AH172" s="53">
        <f>SUMIFS(Actual!$F:$F,Actual!$N:$N,Monitoring!AH$6,Actual!$A:$A,Monitoring!$A172)</f>
        <v>0</v>
      </c>
      <c r="AI172" s="53">
        <f>SUMIFS(Actual!$F:$F,Actual!$N:$N,Monitoring!AI$6,Actual!$A:$A,Monitoring!$A172)</f>
        <v>0</v>
      </c>
      <c r="AJ172" s="53">
        <f>SUMIFS(Actual!$F:$F,Actual!$N:$N,Monitoring!AJ$6,Actual!$A:$A,Monitoring!$A172)</f>
        <v>0</v>
      </c>
      <c r="AK172" s="53">
        <f>SUMIFS(Actual!$F:$F,Actual!$N:$N,Monitoring!AK$6,Actual!$A:$A,Monitoring!$A172)</f>
        <v>0</v>
      </c>
      <c r="AL172" s="53">
        <f>SUMIFS(Actual!$F:$F,Actual!$N:$N,Monitoring!AL$6,Actual!$A:$A,Monitoring!$A172)</f>
        <v>0</v>
      </c>
      <c r="AM172" s="53">
        <f>SUMIFS(Actual!$F:$F,Actual!$N:$N,Monitoring!AM$6,Actual!$A:$A,Monitoring!$A172)</f>
        <v>0</v>
      </c>
      <c r="AN172" s="53">
        <f>SUMIFS(Actual!$F:$F,Actual!$N:$N,Monitoring!AN$6,Actual!$A:$A,Monitoring!$A172)</f>
        <v>0</v>
      </c>
      <c r="AO172" s="53">
        <f>SUMIFS(Actual!$F:$F,Actual!$N:$N,Monitoring!AO$6,Actual!$A:$A,Monitoring!$A172)</f>
        <v>0</v>
      </c>
      <c r="AP172" s="53">
        <f t="shared" si="81"/>
        <v>93928.58</v>
      </c>
      <c r="AQ172" s="53">
        <f t="shared" si="82"/>
        <v>535.70999999999913</v>
      </c>
      <c r="AR172" s="53">
        <f t="shared" si="83"/>
        <v>535.70999999999913</v>
      </c>
      <c r="AS172" s="1">
        <f t="shared" si="84"/>
        <v>95000</v>
      </c>
      <c r="AT172" s="12">
        <f t="shared" si="85"/>
        <v>0</v>
      </c>
      <c r="AU172" s="1"/>
      <c r="AV172" s="53">
        <f t="shared" si="86"/>
        <v>0</v>
      </c>
      <c r="AW172" s="1">
        <f t="shared" si="87"/>
        <v>0</v>
      </c>
      <c r="AX172" s="1">
        <f t="shared" si="88"/>
        <v>0</v>
      </c>
      <c r="AY172" s="1">
        <f t="shared" si="89"/>
        <v>0</v>
      </c>
      <c r="AZ172" s="1">
        <f t="shared" si="90"/>
        <v>0</v>
      </c>
      <c r="BA172" s="1">
        <f t="shared" si="91"/>
        <v>0</v>
      </c>
      <c r="BB172" s="1">
        <f t="shared" si="92"/>
        <v>0</v>
      </c>
      <c r="BC172" s="1">
        <f t="shared" si="93"/>
        <v>0</v>
      </c>
      <c r="BD172" s="1">
        <f t="shared" si="94"/>
        <v>0</v>
      </c>
      <c r="BE172" s="1">
        <f t="shared" si="95"/>
        <v>93928.58</v>
      </c>
      <c r="BF172" s="1">
        <f t="shared" si="96"/>
        <v>94464.290000000008</v>
      </c>
      <c r="BG172" s="1">
        <f t="shared" si="97"/>
        <v>95000</v>
      </c>
      <c r="BH172">
        <f t="shared" si="98"/>
        <v>166</v>
      </c>
    </row>
    <row r="173" spans="1:60" x14ac:dyDescent="0.35">
      <c r="A173">
        <v>40001303</v>
      </c>
      <c r="B173" t="str">
        <f t="shared" si="78"/>
        <v>PRINTERS FOR TREASURY</v>
      </c>
      <c r="C173" t="s">
        <v>85</v>
      </c>
      <c r="D173" t="s">
        <v>797</v>
      </c>
      <c r="E173" t="s">
        <v>2548</v>
      </c>
      <c r="F173" s="72" t="s">
        <v>1814</v>
      </c>
      <c r="G173" t="s">
        <v>1</v>
      </c>
      <c r="H173" t="s">
        <v>427</v>
      </c>
      <c r="I173">
        <v>1312</v>
      </c>
      <c r="J173" t="s">
        <v>3172</v>
      </c>
      <c r="K173" s="3">
        <f t="shared" si="79"/>
        <v>21</v>
      </c>
      <c r="L173" s="3" t="str">
        <f t="shared" si="80"/>
        <v>8100</v>
      </c>
      <c r="M173">
        <v>81124101</v>
      </c>
      <c r="N173" s="3" t="str">
        <f>_xlfn.XLOOKUP(M173,[2]Sheet1!$A:$A,[2]Sheet1!$D:$D)</f>
        <v>IS &amp; IT</v>
      </c>
      <c r="O173" t="s">
        <v>397</v>
      </c>
      <c r="P173" t="s">
        <v>743</v>
      </c>
      <c r="Q173" s="2" t="s">
        <v>3173</v>
      </c>
      <c r="R173" s="1">
        <f>13795*3</f>
        <v>41385</v>
      </c>
      <c r="S173" s="66" t="s">
        <v>3174</v>
      </c>
      <c r="T173" t="str">
        <f>_xlfn.XLOOKUP(M173,[2]Sheet1!$A:$A,[2]Sheet1!$E:$E)</f>
        <v>CORPORATE</v>
      </c>
      <c r="U173" s="66" t="s">
        <v>3174</v>
      </c>
      <c r="V173" s="66" t="s">
        <v>3174</v>
      </c>
      <c r="W173" s="66" t="s">
        <v>3174</v>
      </c>
      <c r="X173" s="66" t="s">
        <v>3175</v>
      </c>
      <c r="Z173" s="1">
        <f>_xlfn.XLOOKUP(A173,'SAP Report'!A:A,'SAP Report'!C:C)</f>
        <v>41385</v>
      </c>
      <c r="AA173" s="1">
        <f>HLOOKUP($A$4,$AV$6:$BG173,(2+BH172),FALSE)</f>
        <v>36950.89</v>
      </c>
      <c r="AB173" s="1">
        <f>SUMIF('Open PR PO'!A:A,Monitoring!A173,'Open PR PO'!K:K)</f>
        <v>0</v>
      </c>
      <c r="AC173" s="1">
        <f t="shared" si="108"/>
        <v>36950.89</v>
      </c>
      <c r="AD173" s="1">
        <f t="shared" si="109"/>
        <v>4434.1100000000006</v>
      </c>
      <c r="AE173" s="1">
        <f t="shared" si="110"/>
        <v>4434.1100000000006</v>
      </c>
      <c r="AF173" s="1"/>
      <c r="AG173" s="53">
        <f>SUMIFS(Actual!$F:$F,Actual!$N:$N,Monitoring!AG$6,Actual!$A:$A,Monitoring!$A173)</f>
        <v>0</v>
      </c>
      <c r="AH173" s="53">
        <f>SUMIFS(Actual!$F:$F,Actual!$N:$N,Monitoring!AH$6,Actual!$A:$A,Monitoring!$A173)</f>
        <v>0</v>
      </c>
      <c r="AI173" s="53">
        <f>SUMIFS(Actual!$F:$F,Actual!$N:$N,Monitoring!AI$6,Actual!$A:$A,Monitoring!$A173)</f>
        <v>0</v>
      </c>
      <c r="AJ173" s="53">
        <f>SUMIFS(Actual!$F:$F,Actual!$N:$N,Monitoring!AJ$6,Actual!$A:$A,Monitoring!$A173)</f>
        <v>0</v>
      </c>
      <c r="AK173" s="53">
        <f>SUMIFS(Actual!$F:$F,Actual!$N:$N,Monitoring!AK$6,Actual!$A:$A,Monitoring!$A173)</f>
        <v>0</v>
      </c>
      <c r="AL173" s="53">
        <f>SUMIFS(Actual!$F:$F,Actual!$N:$N,Monitoring!AL$6,Actual!$A:$A,Monitoring!$A173)</f>
        <v>0</v>
      </c>
      <c r="AM173" s="53">
        <f>SUMIFS(Actual!$F:$F,Actual!$N:$N,Monitoring!AM$6,Actual!$A:$A,Monitoring!$A173)</f>
        <v>0</v>
      </c>
      <c r="AN173" s="53">
        <f>SUMIFS(Actual!$F:$F,Actual!$N:$N,Monitoring!AN$6,Actual!$A:$A,Monitoring!$A173)</f>
        <v>0</v>
      </c>
      <c r="AO173" s="53">
        <f>SUMIFS(Actual!$F:$F,Actual!$N:$N,Monitoring!AO$6,Actual!$A:$A,Monitoring!$A173)</f>
        <v>36950.89</v>
      </c>
      <c r="AP173" s="53">
        <f t="shared" si="81"/>
        <v>0</v>
      </c>
      <c r="AQ173" s="53">
        <f t="shared" si="82"/>
        <v>2217.0550000000003</v>
      </c>
      <c r="AR173" s="53">
        <f t="shared" si="83"/>
        <v>2217.0550000000003</v>
      </c>
      <c r="AS173" s="1">
        <f t="shared" si="84"/>
        <v>41385</v>
      </c>
      <c r="AT173" s="12">
        <f t="shared" si="85"/>
        <v>0</v>
      </c>
      <c r="AU173" s="1"/>
      <c r="AV173" s="53">
        <f t="shared" si="86"/>
        <v>0</v>
      </c>
      <c r="AW173" s="1">
        <f t="shared" si="87"/>
        <v>0</v>
      </c>
      <c r="AX173" s="1">
        <f t="shared" si="88"/>
        <v>0</v>
      </c>
      <c r="AY173" s="1">
        <f t="shared" si="89"/>
        <v>0</v>
      </c>
      <c r="AZ173" s="1">
        <f t="shared" si="90"/>
        <v>0</v>
      </c>
      <c r="BA173" s="1">
        <f t="shared" si="91"/>
        <v>0</v>
      </c>
      <c r="BB173" s="1">
        <f t="shared" si="92"/>
        <v>0</v>
      </c>
      <c r="BC173" s="1">
        <f t="shared" si="93"/>
        <v>0</v>
      </c>
      <c r="BD173" s="1">
        <f t="shared" si="94"/>
        <v>36950.89</v>
      </c>
      <c r="BE173" s="1">
        <f t="shared" si="95"/>
        <v>36950.89</v>
      </c>
      <c r="BF173" s="1">
        <f t="shared" si="96"/>
        <v>39167.945</v>
      </c>
      <c r="BG173" s="1">
        <f t="shared" si="97"/>
        <v>41385</v>
      </c>
      <c r="BH173">
        <f t="shared" si="98"/>
        <v>167</v>
      </c>
    </row>
    <row r="174" spans="1:60" x14ac:dyDescent="0.35">
      <c r="A174">
        <v>40001304</v>
      </c>
      <c r="B174" t="str">
        <f t="shared" si="78"/>
        <v>LAPTOP REPLACEMENT (6 UNITS)</v>
      </c>
      <c r="C174" t="s">
        <v>85</v>
      </c>
      <c r="D174" t="s">
        <v>797</v>
      </c>
      <c r="E174" t="s">
        <v>803</v>
      </c>
      <c r="F174" s="72" t="s">
        <v>1814</v>
      </c>
      <c r="G174" t="s">
        <v>1</v>
      </c>
      <c r="H174" t="s">
        <v>454</v>
      </c>
      <c r="I174">
        <v>1312</v>
      </c>
      <c r="J174" t="s">
        <v>3180</v>
      </c>
      <c r="K174" s="3">
        <f t="shared" si="79"/>
        <v>28</v>
      </c>
      <c r="L174" s="3" t="str">
        <f t="shared" si="80"/>
        <v>8100</v>
      </c>
      <c r="M174">
        <v>81124101</v>
      </c>
      <c r="N174" s="3" t="str">
        <f>_xlfn.XLOOKUP(M174,[2]Sheet1!$A:$A,[2]Sheet1!$D:$D)</f>
        <v>IS &amp; IT</v>
      </c>
      <c r="O174" t="s">
        <v>3176</v>
      </c>
      <c r="P174" t="s">
        <v>743</v>
      </c>
      <c r="Q174" s="2" t="s">
        <v>3177</v>
      </c>
      <c r="R174" s="1">
        <v>508929</v>
      </c>
      <c r="S174" s="66" t="s">
        <v>3178</v>
      </c>
      <c r="T174" t="str">
        <f>_xlfn.XLOOKUP(M174,[2]Sheet1!$A:$A,[2]Sheet1!$E:$E)</f>
        <v>CORPORATE</v>
      </c>
      <c r="U174" s="66" t="s">
        <v>3179</v>
      </c>
      <c r="V174" s="66" t="s">
        <v>3179</v>
      </c>
      <c r="W174" s="66" t="s">
        <v>3179</v>
      </c>
      <c r="X174" s="66" t="s">
        <v>3181</v>
      </c>
      <c r="Z174" s="1">
        <f>_xlfn.XLOOKUP(A174,'SAP Report'!A:A,'SAP Report'!C:C)</f>
        <v>508929</v>
      </c>
      <c r="AA174" s="1">
        <f>HLOOKUP($A$4,$AV$6:$BG174,(2+BH173),FALSE)</f>
        <v>0</v>
      </c>
      <c r="AB174" s="1">
        <f>SUMIF('Open PR PO'!A:A,Monitoring!A174,'Open PR PO'!K:K)</f>
        <v>508928.58</v>
      </c>
      <c r="AC174" s="1">
        <f t="shared" si="108"/>
        <v>508928.58</v>
      </c>
      <c r="AD174" s="1">
        <f t="shared" si="109"/>
        <v>0.41999999998370185</v>
      </c>
      <c r="AE174" s="1">
        <f t="shared" si="110"/>
        <v>508929</v>
      </c>
      <c r="AF174" s="1"/>
      <c r="AG174" s="53">
        <f>SUMIFS(Actual!$F:$F,Actual!$N:$N,Monitoring!AG$6,Actual!$A:$A,Monitoring!$A174)</f>
        <v>0</v>
      </c>
      <c r="AH174" s="53">
        <f>SUMIFS(Actual!$F:$F,Actual!$N:$N,Monitoring!AH$6,Actual!$A:$A,Monitoring!$A174)</f>
        <v>0</v>
      </c>
      <c r="AI174" s="53">
        <f>SUMIFS(Actual!$F:$F,Actual!$N:$N,Monitoring!AI$6,Actual!$A:$A,Monitoring!$A174)</f>
        <v>0</v>
      </c>
      <c r="AJ174" s="53">
        <f>SUMIFS(Actual!$F:$F,Actual!$N:$N,Monitoring!AJ$6,Actual!$A:$A,Monitoring!$A174)</f>
        <v>0</v>
      </c>
      <c r="AK174" s="53">
        <f>SUMIFS(Actual!$F:$F,Actual!$N:$N,Monitoring!AK$6,Actual!$A:$A,Monitoring!$A174)</f>
        <v>0</v>
      </c>
      <c r="AL174" s="53">
        <f>SUMIFS(Actual!$F:$F,Actual!$N:$N,Monitoring!AL$6,Actual!$A:$A,Monitoring!$A174)</f>
        <v>0</v>
      </c>
      <c r="AM174" s="53">
        <f>SUMIFS(Actual!$F:$F,Actual!$N:$N,Monitoring!AM$6,Actual!$A:$A,Monitoring!$A174)</f>
        <v>0</v>
      </c>
      <c r="AN174" s="53">
        <f>SUMIFS(Actual!$F:$F,Actual!$N:$N,Monitoring!AN$6,Actual!$A:$A,Monitoring!$A174)</f>
        <v>0</v>
      </c>
      <c r="AO174" s="53">
        <f>SUMIFS(Actual!$F:$F,Actual!$N:$N,Monitoring!AO$6,Actual!$A:$A,Monitoring!$A174)</f>
        <v>0</v>
      </c>
      <c r="AP174" s="53">
        <f t="shared" si="81"/>
        <v>508928.58</v>
      </c>
      <c r="AQ174" s="53">
        <f t="shared" si="82"/>
        <v>0.20999999999185093</v>
      </c>
      <c r="AR174" s="53">
        <f t="shared" si="83"/>
        <v>0.20999999999185093</v>
      </c>
      <c r="AS174" s="1">
        <f t="shared" si="84"/>
        <v>508929</v>
      </c>
      <c r="AT174" s="12">
        <f t="shared" si="85"/>
        <v>0</v>
      </c>
      <c r="AU174" s="1"/>
      <c r="AV174" s="53">
        <f t="shared" si="86"/>
        <v>0</v>
      </c>
      <c r="AW174" s="1">
        <f t="shared" si="87"/>
        <v>0</v>
      </c>
      <c r="AX174" s="1">
        <f t="shared" si="88"/>
        <v>0</v>
      </c>
      <c r="AY174" s="1">
        <f t="shared" si="89"/>
        <v>0</v>
      </c>
      <c r="AZ174" s="1">
        <f t="shared" si="90"/>
        <v>0</v>
      </c>
      <c r="BA174" s="1">
        <f t="shared" si="91"/>
        <v>0</v>
      </c>
      <c r="BB174" s="1">
        <f t="shared" si="92"/>
        <v>0</v>
      </c>
      <c r="BC174" s="1">
        <f t="shared" si="93"/>
        <v>0</v>
      </c>
      <c r="BD174" s="1">
        <f t="shared" si="94"/>
        <v>0</v>
      </c>
      <c r="BE174" s="1">
        <f t="shared" si="95"/>
        <v>508928.58</v>
      </c>
      <c r="BF174" s="1">
        <f t="shared" si="96"/>
        <v>508928.79000000004</v>
      </c>
      <c r="BG174" s="1">
        <f t="shared" si="97"/>
        <v>508929</v>
      </c>
      <c r="BH174">
        <f t="shared" si="98"/>
        <v>168</v>
      </c>
    </row>
    <row r="175" spans="1:60" x14ac:dyDescent="0.35">
      <c r="A175">
        <v>40001305</v>
      </c>
      <c r="B175" t="str">
        <f t="shared" si="78"/>
        <v>GH CINEMA ZEBRA PRINTER</v>
      </c>
      <c r="C175" t="s">
        <v>9</v>
      </c>
      <c r="D175" t="s">
        <v>9</v>
      </c>
      <c r="E175" t="s">
        <v>758</v>
      </c>
      <c r="F175" s="72" t="s">
        <v>1814</v>
      </c>
      <c r="G175" t="s">
        <v>1</v>
      </c>
      <c r="H175" t="s">
        <v>503</v>
      </c>
      <c r="I175">
        <v>1360</v>
      </c>
      <c r="J175" t="s">
        <v>3184</v>
      </c>
      <c r="K175" s="3">
        <f t="shared" si="79"/>
        <v>23</v>
      </c>
      <c r="L175" s="3" t="str">
        <f t="shared" si="80"/>
        <v>8100</v>
      </c>
      <c r="M175">
        <v>81221705</v>
      </c>
      <c r="N175" s="3" t="str">
        <f>_xlfn.XLOOKUP(M175,[2]Sheet1!$A:$A,[2]Sheet1!$D:$D)</f>
        <v>GH CINEMA</v>
      </c>
      <c r="O175" t="s">
        <v>3165</v>
      </c>
      <c r="P175" t="s">
        <v>20</v>
      </c>
      <c r="Q175" s="2" t="s">
        <v>3183</v>
      </c>
      <c r="R175" s="89">
        <v>97000</v>
      </c>
      <c r="S175" s="66" t="s">
        <v>3186</v>
      </c>
      <c r="T175" t="str">
        <f>_xlfn.XLOOKUP(M175,[2]Sheet1!$A:$A,[2]Sheet1!$E:$E)</f>
        <v>MALLS</v>
      </c>
      <c r="U175" s="66" t="s">
        <v>3185</v>
      </c>
      <c r="V175" s="66" t="s">
        <v>3185</v>
      </c>
      <c r="W175" s="66" t="s">
        <v>3185</v>
      </c>
      <c r="X175" s="66" t="s">
        <v>3187</v>
      </c>
      <c r="Z175" s="1">
        <f>_xlfn.XLOOKUP(A175,'SAP Report'!A:A,'SAP Report'!C:C)</f>
        <v>97000</v>
      </c>
      <c r="AA175" s="1">
        <f>HLOOKUP($A$4,$AV$6:$BG175,(2+BH174),FALSE)</f>
        <v>0</v>
      </c>
      <c r="AB175" s="1">
        <f>SUMIF('Open PR PO'!A:A,Monitoring!A175,'Open PR PO'!K:K)</f>
        <v>96607.14</v>
      </c>
      <c r="AC175" s="1">
        <f t="shared" si="108"/>
        <v>96607.14</v>
      </c>
      <c r="AD175" s="1">
        <f t="shared" si="109"/>
        <v>392.86000000000058</v>
      </c>
      <c r="AE175" s="1">
        <f t="shared" si="110"/>
        <v>97000</v>
      </c>
      <c r="AF175" s="1"/>
      <c r="AG175" s="53">
        <f>SUMIFS(Actual!$F:$F,Actual!$N:$N,Monitoring!AG$6,Actual!$A:$A,Monitoring!$A175)</f>
        <v>0</v>
      </c>
      <c r="AH175" s="53">
        <f>SUMIFS(Actual!$F:$F,Actual!$N:$N,Monitoring!AH$6,Actual!$A:$A,Monitoring!$A175)</f>
        <v>0</v>
      </c>
      <c r="AI175" s="53">
        <f>SUMIFS(Actual!$F:$F,Actual!$N:$N,Monitoring!AI$6,Actual!$A:$A,Monitoring!$A175)</f>
        <v>0</v>
      </c>
      <c r="AJ175" s="53">
        <f>SUMIFS(Actual!$F:$F,Actual!$N:$N,Monitoring!AJ$6,Actual!$A:$A,Monitoring!$A175)</f>
        <v>0</v>
      </c>
      <c r="AK175" s="53">
        <f>SUMIFS(Actual!$F:$F,Actual!$N:$N,Monitoring!AK$6,Actual!$A:$A,Monitoring!$A175)</f>
        <v>0</v>
      </c>
      <c r="AL175" s="53">
        <f>SUMIFS(Actual!$F:$F,Actual!$N:$N,Monitoring!AL$6,Actual!$A:$A,Monitoring!$A175)</f>
        <v>0</v>
      </c>
      <c r="AM175" s="53">
        <f>SUMIFS(Actual!$F:$F,Actual!$N:$N,Monitoring!AM$6,Actual!$A:$A,Monitoring!$A175)</f>
        <v>0</v>
      </c>
      <c r="AN175" s="53">
        <f>SUMIFS(Actual!$F:$F,Actual!$N:$N,Monitoring!AN$6,Actual!$A:$A,Monitoring!$A175)</f>
        <v>0</v>
      </c>
      <c r="AO175" s="53">
        <f>SUMIFS(Actual!$F:$F,Actual!$N:$N,Monitoring!AO$6,Actual!$A:$A,Monitoring!$A175)</f>
        <v>0</v>
      </c>
      <c r="AP175" s="53">
        <f t="shared" si="81"/>
        <v>96607.14</v>
      </c>
      <c r="AQ175" s="53">
        <f t="shared" si="82"/>
        <v>196.43000000000029</v>
      </c>
      <c r="AR175" s="53">
        <f t="shared" si="83"/>
        <v>196.43000000000029</v>
      </c>
      <c r="AS175" s="1">
        <f t="shared" si="84"/>
        <v>97000</v>
      </c>
      <c r="AT175" s="12">
        <f t="shared" si="85"/>
        <v>0</v>
      </c>
      <c r="AU175" s="1"/>
      <c r="AV175" s="53">
        <f t="shared" si="86"/>
        <v>0</v>
      </c>
      <c r="AW175" s="1">
        <f t="shared" si="87"/>
        <v>0</v>
      </c>
      <c r="AX175" s="1">
        <f t="shared" si="88"/>
        <v>0</v>
      </c>
      <c r="AY175" s="1">
        <f t="shared" si="89"/>
        <v>0</v>
      </c>
      <c r="AZ175" s="1">
        <f t="shared" si="90"/>
        <v>0</v>
      </c>
      <c r="BA175" s="1">
        <f t="shared" si="91"/>
        <v>0</v>
      </c>
      <c r="BB175" s="1">
        <f t="shared" si="92"/>
        <v>0</v>
      </c>
      <c r="BC175" s="1">
        <f t="shared" si="93"/>
        <v>0</v>
      </c>
      <c r="BD175" s="1">
        <f t="shared" si="94"/>
        <v>0</v>
      </c>
      <c r="BE175" s="1">
        <f t="shared" si="95"/>
        <v>96607.14</v>
      </c>
      <c r="BF175" s="1">
        <f t="shared" si="96"/>
        <v>96803.57</v>
      </c>
      <c r="BG175" s="1">
        <f t="shared" si="97"/>
        <v>97000</v>
      </c>
      <c r="BH175">
        <f t="shared" si="98"/>
        <v>169</v>
      </c>
    </row>
    <row r="176" spans="1:60" x14ac:dyDescent="0.35">
      <c r="A176">
        <v>40001306</v>
      </c>
      <c r="B176" t="str">
        <f t="shared" si="78"/>
        <v>ES CINEMA ZEBRA PRINTER</v>
      </c>
      <c r="C176" t="s">
        <v>9</v>
      </c>
      <c r="D176" t="s">
        <v>9</v>
      </c>
      <c r="E176" t="s">
        <v>758</v>
      </c>
      <c r="F176" s="72" t="s">
        <v>1814</v>
      </c>
      <c r="G176" t="s">
        <v>1</v>
      </c>
      <c r="H176" t="s">
        <v>493</v>
      </c>
      <c r="I176">
        <v>1360</v>
      </c>
      <c r="J176" t="s">
        <v>3190</v>
      </c>
      <c r="K176" s="3">
        <f t="shared" si="79"/>
        <v>23</v>
      </c>
      <c r="L176" s="3" t="str">
        <f t="shared" si="80"/>
        <v>8100</v>
      </c>
      <c r="M176">
        <v>81225206</v>
      </c>
      <c r="N176" s="3" t="str">
        <f>_xlfn.XLOOKUP(M176,[2]Sheet1!$A:$A,[2]Sheet1!$D:$D)</f>
        <v>ESTANCIA CINEMA-RC</v>
      </c>
      <c r="O176" t="s">
        <v>3165</v>
      </c>
      <c r="P176" t="s">
        <v>20</v>
      </c>
      <c r="Q176" s="2" t="s">
        <v>3189</v>
      </c>
      <c r="R176" s="89">
        <v>145000</v>
      </c>
      <c r="S176" s="66" t="s">
        <v>3186</v>
      </c>
      <c r="T176" t="str">
        <f>_xlfn.XLOOKUP(M176,[2]Sheet1!$A:$A,[2]Sheet1!$E:$E)</f>
        <v>MALLS</v>
      </c>
      <c r="U176" s="66" t="s">
        <v>3185</v>
      </c>
      <c r="V176" s="66" t="s">
        <v>3185</v>
      </c>
      <c r="W176" s="66" t="s">
        <v>3185</v>
      </c>
      <c r="X176" s="66" t="s">
        <v>3194</v>
      </c>
      <c r="Z176" s="1">
        <f>_xlfn.XLOOKUP(A176,'SAP Report'!A:A,'SAP Report'!C:C)</f>
        <v>145000</v>
      </c>
      <c r="AA176" s="1">
        <f>HLOOKUP($A$4,$AV$6:$BG176,(2+BH175),FALSE)</f>
        <v>0</v>
      </c>
      <c r="AB176" s="1">
        <f>SUMIF('Open PR PO'!A:A,Monitoring!A176,'Open PR PO'!K:K)</f>
        <v>144910.71</v>
      </c>
      <c r="AC176" s="1">
        <f t="shared" si="108"/>
        <v>144910.71</v>
      </c>
      <c r="AD176" s="1">
        <f t="shared" si="109"/>
        <v>89.290000000008149</v>
      </c>
      <c r="AE176" s="1">
        <f t="shared" si="110"/>
        <v>145000</v>
      </c>
      <c r="AF176" s="1"/>
      <c r="AG176" s="53">
        <f>SUMIFS(Actual!$F:$F,Actual!$N:$N,Monitoring!AG$6,Actual!$A:$A,Monitoring!$A176)</f>
        <v>0</v>
      </c>
      <c r="AH176" s="53">
        <f>SUMIFS(Actual!$F:$F,Actual!$N:$N,Monitoring!AH$6,Actual!$A:$A,Monitoring!$A176)</f>
        <v>0</v>
      </c>
      <c r="AI176" s="53">
        <f>SUMIFS(Actual!$F:$F,Actual!$N:$N,Monitoring!AI$6,Actual!$A:$A,Monitoring!$A176)</f>
        <v>0</v>
      </c>
      <c r="AJ176" s="53">
        <f>SUMIFS(Actual!$F:$F,Actual!$N:$N,Monitoring!AJ$6,Actual!$A:$A,Monitoring!$A176)</f>
        <v>0</v>
      </c>
      <c r="AK176" s="53">
        <f>SUMIFS(Actual!$F:$F,Actual!$N:$N,Monitoring!AK$6,Actual!$A:$A,Monitoring!$A176)</f>
        <v>0</v>
      </c>
      <c r="AL176" s="53">
        <f>SUMIFS(Actual!$F:$F,Actual!$N:$N,Monitoring!AL$6,Actual!$A:$A,Monitoring!$A176)</f>
        <v>0</v>
      </c>
      <c r="AM176" s="53">
        <f>SUMIFS(Actual!$F:$F,Actual!$N:$N,Monitoring!AM$6,Actual!$A:$A,Monitoring!$A176)</f>
        <v>0</v>
      </c>
      <c r="AN176" s="53">
        <f>SUMIFS(Actual!$F:$F,Actual!$N:$N,Monitoring!AN$6,Actual!$A:$A,Monitoring!$A176)</f>
        <v>0</v>
      </c>
      <c r="AO176" s="53">
        <f>SUMIFS(Actual!$F:$F,Actual!$N:$N,Monitoring!AO$6,Actual!$A:$A,Monitoring!$A176)</f>
        <v>0</v>
      </c>
      <c r="AP176" s="53">
        <f t="shared" si="81"/>
        <v>144910.71</v>
      </c>
      <c r="AQ176" s="53">
        <f t="shared" si="82"/>
        <v>44.645000000004075</v>
      </c>
      <c r="AR176" s="53">
        <f t="shared" si="83"/>
        <v>44.645000000004075</v>
      </c>
      <c r="AS176" s="1">
        <f t="shared" si="84"/>
        <v>145000</v>
      </c>
      <c r="AT176" s="12">
        <f t="shared" si="85"/>
        <v>0</v>
      </c>
      <c r="AU176" s="1"/>
      <c r="AV176" s="53">
        <f t="shared" si="86"/>
        <v>0</v>
      </c>
      <c r="AW176" s="1">
        <f t="shared" si="87"/>
        <v>0</v>
      </c>
      <c r="AX176" s="1">
        <f t="shared" si="88"/>
        <v>0</v>
      </c>
      <c r="AY176" s="1">
        <f t="shared" si="89"/>
        <v>0</v>
      </c>
      <c r="AZ176" s="1">
        <f t="shared" si="90"/>
        <v>0</v>
      </c>
      <c r="BA176" s="1">
        <f t="shared" si="91"/>
        <v>0</v>
      </c>
      <c r="BB176" s="1">
        <f t="shared" si="92"/>
        <v>0</v>
      </c>
      <c r="BC176" s="1">
        <f t="shared" si="93"/>
        <v>0</v>
      </c>
      <c r="BD176" s="1">
        <f t="shared" si="94"/>
        <v>0</v>
      </c>
      <c r="BE176" s="1">
        <f t="shared" si="95"/>
        <v>144910.71</v>
      </c>
      <c r="BF176" s="1">
        <f t="shared" si="96"/>
        <v>144955.35499999998</v>
      </c>
      <c r="BG176" s="1">
        <f t="shared" si="97"/>
        <v>145000</v>
      </c>
      <c r="BH176">
        <f t="shared" si="98"/>
        <v>170</v>
      </c>
    </row>
    <row r="177" spans="1:60" x14ac:dyDescent="0.35">
      <c r="A177">
        <v>10001470</v>
      </c>
      <c r="B177" t="str">
        <f t="shared" si="78"/>
        <v>ENW WATERPROOFING AND REPAINTING OF FAÇADE</v>
      </c>
      <c r="C177" t="s">
        <v>93</v>
      </c>
      <c r="D177" t="s">
        <v>93</v>
      </c>
      <c r="E177" t="s">
        <v>683</v>
      </c>
      <c r="F177" s="72" t="s">
        <v>1814</v>
      </c>
      <c r="G177" t="s">
        <v>1</v>
      </c>
      <c r="H177" t="s">
        <v>203</v>
      </c>
      <c r="I177">
        <v>1100</v>
      </c>
      <c r="J177" t="s">
        <v>3198</v>
      </c>
      <c r="K177" s="3">
        <f t="shared" si="79"/>
        <v>42</v>
      </c>
      <c r="L177" s="3" t="str">
        <f t="shared" si="80"/>
        <v>8100</v>
      </c>
      <c r="M177">
        <v>81323201</v>
      </c>
      <c r="N177" s="3" t="str">
        <f>_xlfn.XLOOKUP(M177,[2]Sheet1!$A:$A,[2]Sheet1!$D:$D)</f>
        <v>ESTANCIA - OFFICE</v>
      </c>
      <c r="O177" t="s">
        <v>91</v>
      </c>
      <c r="P177" t="s">
        <v>150</v>
      </c>
      <c r="Q177" s="2" t="s">
        <v>3197</v>
      </c>
      <c r="R177" s="1">
        <v>821500</v>
      </c>
      <c r="S177" s="66" t="s">
        <v>3199</v>
      </c>
      <c r="T177" t="str">
        <f>_xlfn.XLOOKUP(M177,[2]Sheet1!$A:$A,[2]Sheet1!$E:$E)</f>
        <v>OFFICES</v>
      </c>
      <c r="U177" s="66" t="s">
        <v>3200</v>
      </c>
      <c r="V177" s="63" t="s">
        <v>663</v>
      </c>
      <c r="W177" s="66" t="s">
        <v>3200</v>
      </c>
      <c r="X177" s="66" t="s">
        <v>3201</v>
      </c>
      <c r="Z177" s="1">
        <f>_xlfn.XLOOKUP(A177,'SAP Report'!A:A,'SAP Report'!C:C)</f>
        <v>821500</v>
      </c>
      <c r="AA177" s="1">
        <f>HLOOKUP($A$4,$AV$6:$BG177,(2+BH176),FALSE)</f>
        <v>0</v>
      </c>
      <c r="AB177" s="1">
        <f>SUMIF('Open PR PO'!A:A,Monitoring!A177,'Open PR PO'!K:K)</f>
        <v>821428.57</v>
      </c>
      <c r="AC177" s="1">
        <f t="shared" si="108"/>
        <v>821428.57</v>
      </c>
      <c r="AD177" s="1">
        <f t="shared" si="109"/>
        <v>71.430000000051223</v>
      </c>
      <c r="AE177" s="1">
        <f t="shared" si="110"/>
        <v>821500</v>
      </c>
      <c r="AF177" s="1"/>
      <c r="AG177" s="53">
        <f>SUMIFS(Actual!$F:$F,Actual!$N:$N,Monitoring!AG$6,Actual!$A:$A,Monitoring!$A177)</f>
        <v>0</v>
      </c>
      <c r="AH177" s="53">
        <f>SUMIFS(Actual!$F:$F,Actual!$N:$N,Monitoring!AH$6,Actual!$A:$A,Monitoring!$A177)</f>
        <v>0</v>
      </c>
      <c r="AI177" s="53">
        <f>SUMIFS(Actual!$F:$F,Actual!$N:$N,Monitoring!AI$6,Actual!$A:$A,Monitoring!$A177)</f>
        <v>0</v>
      </c>
      <c r="AJ177" s="53">
        <f>SUMIFS(Actual!$F:$F,Actual!$N:$N,Monitoring!AJ$6,Actual!$A:$A,Monitoring!$A177)</f>
        <v>0</v>
      </c>
      <c r="AK177" s="53">
        <f>SUMIFS(Actual!$F:$F,Actual!$N:$N,Monitoring!AK$6,Actual!$A:$A,Monitoring!$A177)</f>
        <v>0</v>
      </c>
      <c r="AL177" s="53">
        <f>SUMIFS(Actual!$F:$F,Actual!$N:$N,Monitoring!AL$6,Actual!$A:$A,Monitoring!$A177)</f>
        <v>0</v>
      </c>
      <c r="AM177" s="53">
        <f>SUMIFS(Actual!$F:$F,Actual!$N:$N,Monitoring!AM$6,Actual!$A:$A,Monitoring!$A177)</f>
        <v>0</v>
      </c>
      <c r="AN177" s="53">
        <f>SUMIFS(Actual!$F:$F,Actual!$N:$N,Monitoring!AN$6,Actual!$A:$A,Monitoring!$A177)</f>
        <v>0</v>
      </c>
      <c r="AO177" s="53">
        <f>SUMIFS(Actual!$F:$F,Actual!$N:$N,Monitoring!AO$6,Actual!$A:$A,Monitoring!$A177)</f>
        <v>0</v>
      </c>
      <c r="AP177" s="53">
        <f t="shared" si="81"/>
        <v>821428.57</v>
      </c>
      <c r="AQ177" s="53">
        <f t="shared" si="82"/>
        <v>35.715000000025611</v>
      </c>
      <c r="AR177" s="53">
        <f t="shared" si="83"/>
        <v>35.715000000025611</v>
      </c>
      <c r="AS177" s="1">
        <f t="shared" si="84"/>
        <v>821500</v>
      </c>
      <c r="AT177" s="12">
        <f t="shared" si="85"/>
        <v>0</v>
      </c>
      <c r="AU177" s="1"/>
      <c r="AV177" s="53">
        <f t="shared" si="86"/>
        <v>0</v>
      </c>
      <c r="AW177" s="1">
        <f t="shared" si="87"/>
        <v>0</v>
      </c>
      <c r="AX177" s="1">
        <f t="shared" si="88"/>
        <v>0</v>
      </c>
      <c r="AY177" s="1">
        <f t="shared" si="89"/>
        <v>0</v>
      </c>
      <c r="AZ177" s="1">
        <f t="shared" si="90"/>
        <v>0</v>
      </c>
      <c r="BA177" s="1">
        <f t="shared" si="91"/>
        <v>0</v>
      </c>
      <c r="BB177" s="1">
        <f t="shared" si="92"/>
        <v>0</v>
      </c>
      <c r="BC177" s="1">
        <f t="shared" si="93"/>
        <v>0</v>
      </c>
      <c r="BD177" s="1">
        <f t="shared" si="94"/>
        <v>0</v>
      </c>
      <c r="BE177" s="1">
        <f t="shared" si="95"/>
        <v>821428.57</v>
      </c>
      <c r="BF177" s="1">
        <f t="shared" si="96"/>
        <v>821464.28499999992</v>
      </c>
      <c r="BG177" s="1">
        <f t="shared" si="97"/>
        <v>821500</v>
      </c>
      <c r="BH177">
        <f t="shared" si="98"/>
        <v>171</v>
      </c>
    </row>
    <row r="178" spans="1:60" x14ac:dyDescent="0.35">
      <c r="A178">
        <v>40001307</v>
      </c>
      <c r="B178" t="str">
        <f t="shared" si="78"/>
        <v>LAPTOP REPLACEMENT (5 UNITS)</v>
      </c>
      <c r="C178" t="s">
        <v>85</v>
      </c>
      <c r="D178" t="s">
        <v>797</v>
      </c>
      <c r="E178" t="s">
        <v>803</v>
      </c>
      <c r="F178" s="72" t="s">
        <v>1814</v>
      </c>
      <c r="G178" t="s">
        <v>1</v>
      </c>
      <c r="H178" t="s">
        <v>454</v>
      </c>
      <c r="I178">
        <v>1312</v>
      </c>
      <c r="J178" t="s">
        <v>3203</v>
      </c>
      <c r="K178" s="3">
        <f t="shared" si="79"/>
        <v>28</v>
      </c>
      <c r="L178" s="3" t="str">
        <f t="shared" si="80"/>
        <v>8100</v>
      </c>
      <c r="M178">
        <v>81124101</v>
      </c>
      <c r="N178" s="3" t="str">
        <f>_xlfn.XLOOKUP(M178,[2]Sheet1!$A:$A,[2]Sheet1!$D:$D)</f>
        <v>IS &amp; IT</v>
      </c>
      <c r="O178" t="s">
        <v>3100</v>
      </c>
      <c r="P178" t="s">
        <v>743</v>
      </c>
      <c r="Q178" s="2" t="s">
        <v>3204</v>
      </c>
      <c r="R178" s="1">
        <f>ROUNDUP((475000/1.12),)</f>
        <v>424108</v>
      </c>
      <c r="S178" s="66" t="s">
        <v>3205</v>
      </c>
      <c r="T178" t="str">
        <f>_xlfn.XLOOKUP(M178,[2]Sheet1!$A:$A,[2]Sheet1!$E:$E)</f>
        <v>CORPORATE</v>
      </c>
      <c r="U178" s="66" t="s">
        <v>3206</v>
      </c>
      <c r="V178" s="66" t="s">
        <v>3206</v>
      </c>
      <c r="W178" s="66" t="s">
        <v>3206</v>
      </c>
      <c r="X178" s="66" t="s">
        <v>3207</v>
      </c>
      <c r="Z178" s="1">
        <f>_xlfn.XLOOKUP(A178,'SAP Report'!A:A,'SAP Report'!C:C)</f>
        <v>424108</v>
      </c>
      <c r="AA178" s="1">
        <f>HLOOKUP($A$4,$AV$6:$BG178,(2+BH177),FALSE)</f>
        <v>0</v>
      </c>
      <c r="AB178" s="1">
        <f>SUMIF('Open PR PO'!A:A,Monitoring!A178,'Open PR PO'!K:K)</f>
        <v>0</v>
      </c>
      <c r="AC178" s="1">
        <f t="shared" si="108"/>
        <v>0</v>
      </c>
      <c r="AD178" s="1">
        <f>Z178-AC178</f>
        <v>424108</v>
      </c>
      <c r="AE178" s="1">
        <f>Z178-AA178</f>
        <v>424108</v>
      </c>
      <c r="AF178" s="1"/>
      <c r="AG178" s="53">
        <f>SUMIFS(Actual!$F:$F,Actual!$N:$N,Monitoring!AG$6,Actual!$A:$A,Monitoring!$A178)</f>
        <v>0</v>
      </c>
      <c r="AH178" s="53">
        <f>SUMIFS(Actual!$F:$F,Actual!$N:$N,Monitoring!AH$6,Actual!$A:$A,Monitoring!$A178)</f>
        <v>0</v>
      </c>
      <c r="AI178" s="53">
        <f>SUMIFS(Actual!$F:$F,Actual!$N:$N,Monitoring!AI$6,Actual!$A:$A,Monitoring!$A178)</f>
        <v>0</v>
      </c>
      <c r="AJ178" s="53">
        <f>SUMIFS(Actual!$F:$F,Actual!$N:$N,Monitoring!AJ$6,Actual!$A:$A,Monitoring!$A178)</f>
        <v>0</v>
      </c>
      <c r="AK178" s="53">
        <f>SUMIFS(Actual!$F:$F,Actual!$N:$N,Monitoring!AK$6,Actual!$A:$A,Monitoring!$A178)</f>
        <v>0</v>
      </c>
      <c r="AL178" s="53">
        <f>SUMIFS(Actual!$F:$F,Actual!$N:$N,Monitoring!AL$6,Actual!$A:$A,Monitoring!$A178)</f>
        <v>0</v>
      </c>
      <c r="AM178" s="53">
        <f>SUMIFS(Actual!$F:$F,Actual!$N:$N,Monitoring!AM$6,Actual!$A:$A,Monitoring!$A178)</f>
        <v>0</v>
      </c>
      <c r="AN178" s="53">
        <f>SUMIFS(Actual!$F:$F,Actual!$N:$N,Monitoring!AN$6,Actual!$A:$A,Monitoring!$A178)</f>
        <v>0</v>
      </c>
      <c r="AO178" s="53">
        <f>SUMIFS(Actual!$F:$F,Actual!$N:$N,Monitoring!AO$6,Actual!$A:$A,Monitoring!$A178)</f>
        <v>0</v>
      </c>
      <c r="AP178" s="53">
        <f t="shared" si="81"/>
        <v>0</v>
      </c>
      <c r="AQ178" s="53">
        <f t="shared" si="82"/>
        <v>212054</v>
      </c>
      <c r="AR178" s="53">
        <f t="shared" si="83"/>
        <v>212054</v>
      </c>
      <c r="AS178" s="1">
        <f t="shared" si="84"/>
        <v>424108</v>
      </c>
      <c r="AT178" s="12">
        <f t="shared" si="85"/>
        <v>0</v>
      </c>
      <c r="AU178" s="1"/>
      <c r="AV178" s="53">
        <f t="shared" si="86"/>
        <v>0</v>
      </c>
      <c r="AW178" s="1">
        <f t="shared" si="87"/>
        <v>0</v>
      </c>
      <c r="AX178" s="1">
        <f t="shared" si="88"/>
        <v>0</v>
      </c>
      <c r="AY178" s="1">
        <f t="shared" si="89"/>
        <v>0</v>
      </c>
      <c r="AZ178" s="1">
        <f t="shared" si="90"/>
        <v>0</v>
      </c>
      <c r="BA178" s="1">
        <f t="shared" si="91"/>
        <v>0</v>
      </c>
      <c r="BB178" s="1">
        <f t="shared" si="92"/>
        <v>0</v>
      </c>
      <c r="BC178" s="1">
        <f t="shared" si="93"/>
        <v>0</v>
      </c>
      <c r="BD178" s="1">
        <f t="shared" si="94"/>
        <v>0</v>
      </c>
      <c r="BE178" s="1">
        <f t="shared" si="95"/>
        <v>0</v>
      </c>
      <c r="BF178" s="1">
        <f t="shared" si="96"/>
        <v>212054</v>
      </c>
      <c r="BG178" s="1">
        <f t="shared" si="97"/>
        <v>424108</v>
      </c>
      <c r="BH178">
        <f t="shared" si="98"/>
        <v>172</v>
      </c>
    </row>
    <row r="179" spans="1:60" x14ac:dyDescent="0.35">
      <c r="A179">
        <v>40001308</v>
      </c>
      <c r="B179" t="str">
        <f t="shared" ref="B179:B185" si="111">J179</f>
        <v>2026 CHERY TIGGO K.CONERAS</v>
      </c>
      <c r="C179" t="s">
        <v>85</v>
      </c>
      <c r="D179" t="s">
        <v>0</v>
      </c>
      <c r="E179" t="s">
        <v>731</v>
      </c>
      <c r="F179" s="72" t="s">
        <v>1814</v>
      </c>
      <c r="G179" t="s">
        <v>1</v>
      </c>
      <c r="H179" t="s">
        <v>2</v>
      </c>
      <c r="I179">
        <v>1501</v>
      </c>
      <c r="J179" t="s">
        <v>3214</v>
      </c>
      <c r="K179" s="3">
        <f t="shared" ref="K179:K185" si="112">LEN(J179)</f>
        <v>26</v>
      </c>
      <c r="L179" s="3" t="str">
        <f t="shared" ref="L179:L185" si="113">LEFT(M179,2)&amp;"00"</f>
        <v>8100</v>
      </c>
      <c r="M179">
        <v>81123102</v>
      </c>
      <c r="N179" s="3" t="str">
        <f>_xlfn.XLOOKUP(M179,[2]Sheet1!$A:$A,[2]Sheet1!$D:$D)</f>
        <v>ADMIN SERVICES</v>
      </c>
      <c r="O179" t="s">
        <v>3213</v>
      </c>
      <c r="P179" t="s">
        <v>6</v>
      </c>
      <c r="Q179" s="2" t="s">
        <v>3212</v>
      </c>
      <c r="R179" s="1">
        <f>ROUNDUP((1013000/1.12),)</f>
        <v>904465</v>
      </c>
      <c r="S179" s="66" t="s">
        <v>3206</v>
      </c>
      <c r="T179" t="str">
        <f>_xlfn.XLOOKUP(M179,[2]Sheet1!$A:$A,[2]Sheet1!$E:$E)</f>
        <v>CORPORATE</v>
      </c>
      <c r="U179" s="66" t="s">
        <v>3206</v>
      </c>
      <c r="V179" s="66" t="s">
        <v>3206</v>
      </c>
      <c r="W179" s="66" t="s">
        <v>3206</v>
      </c>
      <c r="X179" s="63" t="s">
        <v>3215</v>
      </c>
      <c r="Z179" s="1">
        <f>_xlfn.XLOOKUP(A179,'SAP Report'!A:A,'SAP Report'!C:C)</f>
        <v>904465</v>
      </c>
      <c r="AA179" s="1"/>
      <c r="AB179" s="1">
        <f>SUMIF('Open PR PO'!A:A,Monitoring!A179,'Open PR PO'!K:K)</f>
        <v>0</v>
      </c>
      <c r="AC179" s="1">
        <f t="shared" ref="AC179:AC184" si="114">AA179+AB179</f>
        <v>0</v>
      </c>
      <c r="AD179" s="1">
        <f t="shared" ref="AD179:AD184" si="115">Z179-AC179</f>
        <v>904465</v>
      </c>
      <c r="AE179" s="1">
        <f t="shared" ref="AE179:AE184" si="116">Z179-AA179</f>
        <v>904465</v>
      </c>
      <c r="AF179" s="1"/>
      <c r="AG179" s="53">
        <f>SUMIFS(Actual!$F:$F,Actual!$N:$N,Monitoring!AG$6,Actual!$A:$A,Monitoring!$A179)</f>
        <v>0</v>
      </c>
      <c r="AH179" s="53">
        <f>SUMIFS(Actual!$F:$F,Actual!$N:$N,Monitoring!AH$6,Actual!$A:$A,Monitoring!$A179)</f>
        <v>0</v>
      </c>
      <c r="AI179" s="53">
        <f>SUMIFS(Actual!$F:$F,Actual!$N:$N,Monitoring!AI$6,Actual!$A:$A,Monitoring!$A179)</f>
        <v>0</v>
      </c>
      <c r="AJ179" s="53">
        <f>SUMIFS(Actual!$F:$F,Actual!$N:$N,Monitoring!AJ$6,Actual!$A:$A,Monitoring!$A179)</f>
        <v>0</v>
      </c>
      <c r="AK179" s="53">
        <f>SUMIFS(Actual!$F:$F,Actual!$N:$N,Monitoring!AK$6,Actual!$A:$A,Monitoring!$A179)</f>
        <v>0</v>
      </c>
      <c r="AL179" s="53">
        <f>SUMIFS(Actual!$F:$F,Actual!$N:$N,Monitoring!AL$6,Actual!$A:$A,Monitoring!$A179)</f>
        <v>0</v>
      </c>
      <c r="AM179" s="53">
        <f>SUMIFS(Actual!$F:$F,Actual!$N:$N,Monitoring!AM$6,Actual!$A:$A,Monitoring!$A179)</f>
        <v>0</v>
      </c>
      <c r="AN179" s="53">
        <f>SUMIFS(Actual!$F:$F,Actual!$N:$N,Monitoring!AN$6,Actual!$A:$A,Monitoring!$A179)</f>
        <v>0</v>
      </c>
      <c r="AO179" s="53">
        <f>SUMIFS(Actual!$F:$F,Actual!$N:$N,Monitoring!AO$6,Actual!$A:$A,Monitoring!$A179)</f>
        <v>0</v>
      </c>
      <c r="AP179" s="53">
        <f t="shared" si="81"/>
        <v>0</v>
      </c>
      <c r="AQ179" s="53">
        <f t="shared" si="82"/>
        <v>452232.5</v>
      </c>
      <c r="AR179" s="53">
        <f t="shared" si="83"/>
        <v>452232.5</v>
      </c>
      <c r="AS179" s="1">
        <f t="shared" ref="AS179:AS184" si="117">SUM(AG179:AR179)</f>
        <v>904465</v>
      </c>
      <c r="AT179" s="12">
        <f t="shared" ref="AT179:AT184" si="118">Z179-AS179</f>
        <v>0</v>
      </c>
      <c r="AU179" s="1"/>
      <c r="AV179" s="53">
        <f t="shared" si="86"/>
        <v>0</v>
      </c>
      <c r="AW179" s="1">
        <f t="shared" si="87"/>
        <v>0</v>
      </c>
      <c r="AX179" s="1">
        <f t="shared" si="88"/>
        <v>0</v>
      </c>
      <c r="AY179" s="1">
        <f t="shared" si="89"/>
        <v>0</v>
      </c>
      <c r="AZ179" s="1">
        <f t="shared" si="90"/>
        <v>0</v>
      </c>
      <c r="BA179" s="1">
        <f t="shared" si="91"/>
        <v>0</v>
      </c>
      <c r="BB179" s="1">
        <f t="shared" si="92"/>
        <v>0</v>
      </c>
      <c r="BC179" s="1">
        <f t="shared" si="93"/>
        <v>0</v>
      </c>
      <c r="BD179" s="1">
        <f t="shared" si="94"/>
        <v>0</v>
      </c>
      <c r="BE179" s="1">
        <f t="shared" si="95"/>
        <v>0</v>
      </c>
      <c r="BF179" s="1">
        <f t="shared" si="96"/>
        <v>452232.5</v>
      </c>
      <c r="BG179" s="1">
        <f t="shared" si="97"/>
        <v>904465</v>
      </c>
      <c r="BH179">
        <f t="shared" si="98"/>
        <v>173</v>
      </c>
    </row>
    <row r="180" spans="1:60" x14ac:dyDescent="0.35">
      <c r="A180">
        <v>10001471</v>
      </c>
      <c r="B180" t="str">
        <f t="shared" si="111"/>
        <v>VMALL SPACE RE-CUT AT FORMER EXECUTIVE OPTICAL SPACE</v>
      </c>
      <c r="C180" t="s">
        <v>9</v>
      </c>
      <c r="D180" t="s">
        <v>9</v>
      </c>
      <c r="E180" t="s">
        <v>734</v>
      </c>
      <c r="F180" s="72" t="s">
        <v>1814</v>
      </c>
      <c r="G180" t="s">
        <v>1</v>
      </c>
      <c r="H180" t="s">
        <v>527</v>
      </c>
      <c r="I180">
        <v>1100</v>
      </c>
      <c r="J180" t="s">
        <v>3426</v>
      </c>
      <c r="K180" s="3">
        <f t="shared" si="112"/>
        <v>52</v>
      </c>
      <c r="L180" s="3" t="str">
        <f t="shared" si="113"/>
        <v>8100</v>
      </c>
      <c r="M180">
        <v>81221605</v>
      </c>
      <c r="N180" s="3" t="str">
        <f>_xlfn.XLOOKUP(M180,[2]Sheet1!$A:$A,[2]Sheet1!$D:$D)</f>
        <v>V-MALL</v>
      </c>
      <c r="O180" t="s">
        <v>3427</v>
      </c>
      <c r="P180" t="s">
        <v>13</v>
      </c>
      <c r="Q180" s="2" t="s">
        <v>3424</v>
      </c>
      <c r="R180" s="24">
        <v>1041964.29</v>
      </c>
      <c r="S180" s="66" t="s">
        <v>3425</v>
      </c>
      <c r="T180" t="str">
        <f>_xlfn.XLOOKUP(M180,[2]Sheet1!$A:$A,[2]Sheet1!$E:$E)</f>
        <v>MALLS</v>
      </c>
      <c r="U180" s="66" t="s">
        <v>3428</v>
      </c>
      <c r="V180" s="66" t="s">
        <v>56</v>
      </c>
      <c r="W180" s="66" t="s">
        <v>3429</v>
      </c>
      <c r="X180" s="66" t="s">
        <v>3430</v>
      </c>
      <c r="Z180" s="24">
        <v>1041964.29</v>
      </c>
      <c r="AA180" s="1"/>
      <c r="AB180" s="1">
        <f>SUMIF('Open PR PO'!A:A,Monitoring!A180,'Open PR PO'!K:K)</f>
        <v>0</v>
      </c>
      <c r="AC180" s="1">
        <f t="shared" si="114"/>
        <v>0</v>
      </c>
      <c r="AD180" s="1">
        <f t="shared" si="115"/>
        <v>1041964.29</v>
      </c>
      <c r="AE180" s="1">
        <f t="shared" si="116"/>
        <v>1041964.29</v>
      </c>
      <c r="AF180" s="1"/>
      <c r="AG180" s="53">
        <f>SUMIFS(Actual!$F:$F,Actual!$N:$N,Monitoring!AG$6,Actual!$A:$A,Monitoring!$A180)</f>
        <v>0</v>
      </c>
      <c r="AH180" s="53">
        <f>SUMIFS(Actual!$F:$F,Actual!$N:$N,Monitoring!AH$6,Actual!$A:$A,Monitoring!$A180)</f>
        <v>0</v>
      </c>
      <c r="AI180" s="53">
        <f>SUMIFS(Actual!$F:$F,Actual!$N:$N,Monitoring!AI$6,Actual!$A:$A,Monitoring!$A180)</f>
        <v>0</v>
      </c>
      <c r="AJ180" s="53">
        <f>SUMIFS(Actual!$F:$F,Actual!$N:$N,Monitoring!AJ$6,Actual!$A:$A,Monitoring!$A180)</f>
        <v>0</v>
      </c>
      <c r="AK180" s="53">
        <f>SUMIFS(Actual!$F:$F,Actual!$N:$N,Monitoring!AK$6,Actual!$A:$A,Monitoring!$A180)</f>
        <v>0</v>
      </c>
      <c r="AL180" s="53">
        <f>SUMIFS(Actual!$F:$F,Actual!$N:$N,Monitoring!AL$6,Actual!$A:$A,Monitoring!$A180)</f>
        <v>0</v>
      </c>
      <c r="AM180" s="53">
        <f>SUMIFS(Actual!$F:$F,Actual!$N:$N,Monitoring!AM$6,Actual!$A:$A,Monitoring!$A180)</f>
        <v>0</v>
      </c>
      <c r="AN180" s="53">
        <f>SUMIFS(Actual!$F:$F,Actual!$N:$N,Monitoring!AN$6,Actual!$A:$A,Monitoring!$A180)</f>
        <v>0</v>
      </c>
      <c r="AO180" s="53">
        <f>SUMIFS(Actual!$F:$F,Actual!$N:$N,Monitoring!AO$6,Actual!$A:$A,Monitoring!$A180)</f>
        <v>0</v>
      </c>
      <c r="AP180" s="53">
        <f t="shared" si="81"/>
        <v>0</v>
      </c>
      <c r="AQ180" s="53">
        <f t="shared" si="82"/>
        <v>520982.14500000002</v>
      </c>
      <c r="AR180" s="53">
        <f t="shared" si="83"/>
        <v>520982.14500000002</v>
      </c>
      <c r="AS180" s="1">
        <f t="shared" si="117"/>
        <v>1041964.29</v>
      </c>
      <c r="AT180" s="12">
        <f t="shared" si="118"/>
        <v>0</v>
      </c>
      <c r="AU180" s="1"/>
      <c r="AV180" s="53">
        <f t="shared" si="86"/>
        <v>0</v>
      </c>
      <c r="AW180" s="1">
        <f t="shared" si="87"/>
        <v>0</v>
      </c>
      <c r="AX180" s="1">
        <f t="shared" si="88"/>
        <v>0</v>
      </c>
      <c r="AY180" s="1">
        <f t="shared" si="89"/>
        <v>0</v>
      </c>
      <c r="AZ180" s="1">
        <f t="shared" si="90"/>
        <v>0</v>
      </c>
      <c r="BA180" s="1">
        <f t="shared" si="91"/>
        <v>0</v>
      </c>
      <c r="BB180" s="1">
        <f t="shared" si="92"/>
        <v>0</v>
      </c>
      <c r="BC180" s="1">
        <f t="shared" si="93"/>
        <v>0</v>
      </c>
      <c r="BD180" s="1">
        <f t="shared" si="94"/>
        <v>0</v>
      </c>
      <c r="BE180" s="1">
        <f t="shared" si="95"/>
        <v>0</v>
      </c>
      <c r="BF180" s="1">
        <f t="shared" si="96"/>
        <v>520982.14500000002</v>
      </c>
      <c r="BG180" s="1">
        <f t="shared" si="97"/>
        <v>1041964.29</v>
      </c>
      <c r="BH180">
        <f t="shared" si="98"/>
        <v>174</v>
      </c>
    </row>
    <row r="181" spans="1:60" x14ac:dyDescent="0.35">
      <c r="A181">
        <v>40001309</v>
      </c>
      <c r="B181" t="str">
        <f t="shared" si="111"/>
        <v>ES CINEMA MAIN SERVER SPARE PARTS</v>
      </c>
      <c r="C181" t="s">
        <v>9</v>
      </c>
      <c r="D181" t="s">
        <v>9</v>
      </c>
      <c r="E181" t="s">
        <v>758</v>
      </c>
      <c r="F181" s="72" t="s">
        <v>1814</v>
      </c>
      <c r="G181" t="s">
        <v>1</v>
      </c>
      <c r="H181" t="s">
        <v>620</v>
      </c>
      <c r="I181">
        <v>1312</v>
      </c>
      <c r="J181" t="s">
        <v>3431</v>
      </c>
      <c r="K181" s="3">
        <f t="shared" si="112"/>
        <v>33</v>
      </c>
      <c r="L181" s="3" t="str">
        <f t="shared" si="113"/>
        <v>8100</v>
      </c>
      <c r="M181">
        <v>81225206</v>
      </c>
      <c r="N181" s="3" t="str">
        <f>_xlfn.XLOOKUP(M181,[2]Sheet1!$A:$A,[2]Sheet1!$D:$D)</f>
        <v>ESTANCIA CINEMA-RC</v>
      </c>
      <c r="O181" t="s">
        <v>3165</v>
      </c>
      <c r="P181" t="s">
        <v>20</v>
      </c>
      <c r="Q181" s="2" t="s">
        <v>3432</v>
      </c>
      <c r="R181" s="89">
        <v>1000000</v>
      </c>
      <c r="S181" s="66" t="s">
        <v>3433</v>
      </c>
      <c r="T181" t="str">
        <f>_xlfn.XLOOKUP(M181,[2]Sheet1!$A:$A,[2]Sheet1!$E:$E)</f>
        <v>MALLS</v>
      </c>
      <c r="U181" s="66" t="s">
        <v>3186</v>
      </c>
      <c r="V181" s="66" t="s">
        <v>663</v>
      </c>
      <c r="W181" s="66" t="s">
        <v>3434</v>
      </c>
      <c r="X181" s="63" t="s">
        <v>3435</v>
      </c>
      <c r="Z181" s="1">
        <v>1000000</v>
      </c>
      <c r="AA181" s="1"/>
      <c r="AB181" s="1">
        <f>SUMIF('Open PR PO'!A:A,Monitoring!A181,'Open PR PO'!K:K)</f>
        <v>0</v>
      </c>
      <c r="AC181" s="1">
        <f t="shared" si="114"/>
        <v>0</v>
      </c>
      <c r="AD181" s="1">
        <f t="shared" si="115"/>
        <v>1000000</v>
      </c>
      <c r="AE181" s="1">
        <f t="shared" si="116"/>
        <v>1000000</v>
      </c>
      <c r="AF181" s="1"/>
      <c r="AG181" s="53">
        <f>SUMIFS(Actual!$F:$F,Actual!$N:$N,Monitoring!AG$6,Actual!$A:$A,Monitoring!$A181)</f>
        <v>0</v>
      </c>
      <c r="AH181" s="53">
        <f>SUMIFS(Actual!$F:$F,Actual!$N:$N,Monitoring!AH$6,Actual!$A:$A,Monitoring!$A181)</f>
        <v>0</v>
      </c>
      <c r="AI181" s="53">
        <f>SUMIFS(Actual!$F:$F,Actual!$N:$N,Monitoring!AI$6,Actual!$A:$A,Monitoring!$A181)</f>
        <v>0</v>
      </c>
      <c r="AJ181" s="53">
        <f>SUMIFS(Actual!$F:$F,Actual!$N:$N,Monitoring!AJ$6,Actual!$A:$A,Monitoring!$A181)</f>
        <v>0</v>
      </c>
      <c r="AK181" s="53">
        <f>SUMIFS(Actual!$F:$F,Actual!$N:$N,Monitoring!AK$6,Actual!$A:$A,Monitoring!$A181)</f>
        <v>0</v>
      </c>
      <c r="AL181" s="53">
        <f>SUMIFS(Actual!$F:$F,Actual!$N:$N,Monitoring!AL$6,Actual!$A:$A,Monitoring!$A181)</f>
        <v>0</v>
      </c>
      <c r="AM181" s="53">
        <f>SUMIFS(Actual!$F:$F,Actual!$N:$N,Monitoring!AM$6,Actual!$A:$A,Monitoring!$A181)</f>
        <v>0</v>
      </c>
      <c r="AN181" s="53">
        <f>SUMIFS(Actual!$F:$F,Actual!$N:$N,Monitoring!AN$6,Actual!$A:$A,Monitoring!$A181)</f>
        <v>0</v>
      </c>
      <c r="AO181" s="53">
        <f>SUMIFS(Actual!$F:$F,Actual!$N:$N,Monitoring!AO$6,Actual!$A:$A,Monitoring!$A181)</f>
        <v>0</v>
      </c>
      <c r="AP181" s="53">
        <f t="shared" si="81"/>
        <v>0</v>
      </c>
      <c r="AQ181" s="53">
        <f t="shared" si="82"/>
        <v>500000</v>
      </c>
      <c r="AR181" s="53">
        <f t="shared" si="83"/>
        <v>500000</v>
      </c>
      <c r="AS181" s="1">
        <f t="shared" si="117"/>
        <v>1000000</v>
      </c>
      <c r="AT181" s="12">
        <f t="shared" si="118"/>
        <v>0</v>
      </c>
      <c r="AU181" s="1"/>
      <c r="AV181" s="53">
        <f t="shared" si="86"/>
        <v>0</v>
      </c>
      <c r="AW181" s="1">
        <f t="shared" si="87"/>
        <v>0</v>
      </c>
      <c r="AX181" s="1">
        <f t="shared" si="88"/>
        <v>0</v>
      </c>
      <c r="AY181" s="1">
        <f t="shared" si="89"/>
        <v>0</v>
      </c>
      <c r="AZ181" s="1">
        <f t="shared" si="90"/>
        <v>0</v>
      </c>
      <c r="BA181" s="1">
        <f t="shared" si="91"/>
        <v>0</v>
      </c>
      <c r="BB181" s="1">
        <f t="shared" si="92"/>
        <v>0</v>
      </c>
      <c r="BC181" s="1">
        <f t="shared" si="93"/>
        <v>0</v>
      </c>
      <c r="BD181" s="1">
        <f t="shared" si="94"/>
        <v>0</v>
      </c>
      <c r="BE181" s="1">
        <f t="shared" si="95"/>
        <v>0</v>
      </c>
      <c r="BF181" s="1">
        <f t="shared" si="96"/>
        <v>500000</v>
      </c>
      <c r="BG181" s="1">
        <f t="shared" si="97"/>
        <v>1000000</v>
      </c>
      <c r="BH181">
        <f t="shared" si="98"/>
        <v>175</v>
      </c>
    </row>
    <row r="182" spans="1:60" x14ac:dyDescent="0.35">
      <c r="B182">
        <f t="shared" si="111"/>
        <v>0</v>
      </c>
      <c r="F182" s="72"/>
      <c r="K182" s="3">
        <f t="shared" si="112"/>
        <v>0</v>
      </c>
      <c r="L182" s="3" t="str">
        <f t="shared" si="113"/>
        <v>00</v>
      </c>
      <c r="N182" s="3">
        <f>_xlfn.XLOOKUP(M182,[2]Sheet1!$A:$A,[2]Sheet1!$D:$D)</f>
        <v>0</v>
      </c>
      <c r="Q182" s="2"/>
      <c r="Z182" s="1"/>
      <c r="AA182" s="1"/>
      <c r="AB182" s="1">
        <f>SUMIF('Open PR PO'!A:A,Monitoring!A182,'Open PR PO'!K:K)</f>
        <v>0</v>
      </c>
      <c r="AC182" s="1">
        <f t="shared" si="114"/>
        <v>0</v>
      </c>
      <c r="AD182" s="1">
        <f t="shared" si="115"/>
        <v>0</v>
      </c>
      <c r="AE182" s="1">
        <f t="shared" si="116"/>
        <v>0</v>
      </c>
      <c r="AF182" s="1"/>
      <c r="AG182" s="53">
        <f>SUMIFS(Actual!$F:$F,Actual!$N:$N,Monitoring!AG$6,Actual!$A:$A,Monitoring!$A182)</f>
        <v>0</v>
      </c>
      <c r="AH182" s="53">
        <f>SUMIFS(Actual!$F:$F,Actual!$N:$N,Monitoring!AH$6,Actual!$A:$A,Monitoring!$A182)</f>
        <v>0</v>
      </c>
      <c r="AI182" s="53">
        <f>SUMIFS(Actual!$F:$F,Actual!$N:$N,Monitoring!AI$6,Actual!$A:$A,Monitoring!$A182)</f>
        <v>0</v>
      </c>
      <c r="AJ182" s="53">
        <f>SUMIFS(Actual!$F:$F,Actual!$N:$N,Monitoring!AJ$6,Actual!$A:$A,Monitoring!$A182)</f>
        <v>0</v>
      </c>
      <c r="AK182" s="53">
        <f>SUMIFS(Actual!$F:$F,Actual!$N:$N,Monitoring!AK$6,Actual!$A:$A,Monitoring!$A182)</f>
        <v>0</v>
      </c>
      <c r="AL182" s="53">
        <f>SUMIFS(Actual!$F:$F,Actual!$N:$N,Monitoring!AL$6,Actual!$A:$A,Monitoring!$A182)</f>
        <v>0</v>
      </c>
      <c r="AM182" s="53">
        <f>SUMIFS(Actual!$F:$F,Actual!$N:$N,Monitoring!AM$6,Actual!$A:$A,Monitoring!$A182)</f>
        <v>0</v>
      </c>
      <c r="AN182" s="53">
        <f>SUMIFS(Actual!$F:$F,Actual!$N:$N,Monitoring!AN$6,Actual!$A:$A,Monitoring!$A182)</f>
        <v>0</v>
      </c>
      <c r="AO182" s="53">
        <f>SUMIFS(Actual!$F:$F,Actual!$N:$N,Monitoring!AO$6,Actual!$A:$A,Monitoring!$A182)</f>
        <v>0</v>
      </c>
      <c r="AP182" s="53">
        <f t="shared" si="81"/>
        <v>0</v>
      </c>
      <c r="AQ182" s="53">
        <f t="shared" si="82"/>
        <v>0</v>
      </c>
      <c r="AR182" s="53">
        <f t="shared" si="83"/>
        <v>0</v>
      </c>
      <c r="AS182" s="1">
        <f t="shared" si="117"/>
        <v>0</v>
      </c>
      <c r="AT182" s="12">
        <f t="shared" si="118"/>
        <v>0</v>
      </c>
      <c r="AU182" s="1"/>
      <c r="AV182" s="53">
        <f t="shared" si="86"/>
        <v>0</v>
      </c>
      <c r="AW182" s="1">
        <f t="shared" si="87"/>
        <v>0</v>
      </c>
      <c r="AX182" s="1">
        <f t="shared" si="88"/>
        <v>0</v>
      </c>
      <c r="AY182" s="1">
        <f t="shared" si="89"/>
        <v>0</v>
      </c>
      <c r="AZ182" s="1">
        <f t="shared" si="90"/>
        <v>0</v>
      </c>
      <c r="BA182" s="1">
        <f t="shared" si="91"/>
        <v>0</v>
      </c>
      <c r="BB182" s="1">
        <f t="shared" si="92"/>
        <v>0</v>
      </c>
      <c r="BC182" s="1">
        <f t="shared" si="93"/>
        <v>0</v>
      </c>
      <c r="BD182" s="1">
        <f t="shared" si="94"/>
        <v>0</v>
      </c>
      <c r="BE182" s="1">
        <f t="shared" si="95"/>
        <v>0</v>
      </c>
      <c r="BF182" s="1">
        <f t="shared" si="96"/>
        <v>0</v>
      </c>
      <c r="BG182" s="1">
        <f t="shared" si="97"/>
        <v>0</v>
      </c>
      <c r="BH182">
        <f t="shared" si="98"/>
        <v>176</v>
      </c>
    </row>
    <row r="183" spans="1:60" x14ac:dyDescent="0.35">
      <c r="B183">
        <f t="shared" si="111"/>
        <v>0</v>
      </c>
      <c r="K183" s="3">
        <f t="shared" si="112"/>
        <v>0</v>
      </c>
      <c r="L183" s="3" t="str">
        <f t="shared" si="113"/>
        <v>00</v>
      </c>
      <c r="N183" s="3">
        <f>_xlfn.XLOOKUP(M183,[2]Sheet1!$A:$A,[2]Sheet1!$D:$D)</f>
        <v>0</v>
      </c>
      <c r="Z183" s="1"/>
      <c r="AA183" s="1"/>
      <c r="AB183" s="1">
        <f>SUMIF('Open PR PO'!A:A,Monitoring!A183,'Open PR PO'!K:K)</f>
        <v>0</v>
      </c>
      <c r="AC183" s="1">
        <f t="shared" si="114"/>
        <v>0</v>
      </c>
      <c r="AD183" s="1">
        <f t="shared" si="115"/>
        <v>0</v>
      </c>
      <c r="AE183" s="1">
        <f t="shared" si="116"/>
        <v>0</v>
      </c>
      <c r="AF183" s="1"/>
      <c r="AG183" s="53">
        <f>SUMIFS(Actual!$F:$F,Actual!$N:$N,Monitoring!AG$6,Actual!$A:$A,Monitoring!$A183)</f>
        <v>0</v>
      </c>
      <c r="AH183" s="53">
        <f>SUMIFS(Actual!$F:$F,Actual!$N:$N,Monitoring!AH$6,Actual!$A:$A,Monitoring!$A183)</f>
        <v>0</v>
      </c>
      <c r="AI183" s="53">
        <f>SUMIFS(Actual!$F:$F,Actual!$N:$N,Monitoring!AI$6,Actual!$A:$A,Monitoring!$A183)</f>
        <v>0</v>
      </c>
      <c r="AJ183" s="53">
        <f>SUMIFS(Actual!$F:$F,Actual!$N:$N,Monitoring!AJ$6,Actual!$A:$A,Monitoring!$A183)</f>
        <v>0</v>
      </c>
      <c r="AK183" s="53">
        <f>SUMIFS(Actual!$F:$F,Actual!$N:$N,Monitoring!AK$6,Actual!$A:$A,Monitoring!$A183)</f>
        <v>0</v>
      </c>
      <c r="AL183" s="53">
        <f>SUMIFS(Actual!$F:$F,Actual!$N:$N,Monitoring!AL$6,Actual!$A:$A,Monitoring!$A183)</f>
        <v>0</v>
      </c>
      <c r="AM183" s="53">
        <f>SUMIFS(Actual!$F:$F,Actual!$N:$N,Monitoring!AM$6,Actual!$A:$A,Monitoring!$A183)</f>
        <v>0</v>
      </c>
      <c r="AN183" s="53">
        <f>SUMIFS(Actual!$F:$F,Actual!$N:$N,Monitoring!AN$6,Actual!$A:$A,Monitoring!$A183)</f>
        <v>0</v>
      </c>
      <c r="AO183" s="53">
        <f>SUMIFS(Actual!$F:$F,Actual!$N:$N,Monitoring!AO$6,Actual!$A:$A,Monitoring!$A183)</f>
        <v>0</v>
      </c>
      <c r="AP183" s="53">
        <f t="shared" si="81"/>
        <v>0</v>
      </c>
      <c r="AQ183" s="53">
        <f t="shared" si="82"/>
        <v>0</v>
      </c>
      <c r="AR183" s="53">
        <f t="shared" si="83"/>
        <v>0</v>
      </c>
      <c r="AS183" s="1">
        <f t="shared" si="117"/>
        <v>0</v>
      </c>
      <c r="AT183" s="12">
        <f t="shared" si="118"/>
        <v>0</v>
      </c>
      <c r="AU183" s="1"/>
      <c r="AV183" s="53">
        <f t="shared" si="86"/>
        <v>0</v>
      </c>
      <c r="AW183" s="1">
        <f t="shared" si="87"/>
        <v>0</v>
      </c>
      <c r="AX183" s="1">
        <f t="shared" si="88"/>
        <v>0</v>
      </c>
      <c r="AY183" s="1">
        <f t="shared" si="89"/>
        <v>0</v>
      </c>
      <c r="AZ183" s="1">
        <f t="shared" si="90"/>
        <v>0</v>
      </c>
      <c r="BA183" s="1">
        <f t="shared" si="91"/>
        <v>0</v>
      </c>
      <c r="BB183" s="1">
        <f t="shared" si="92"/>
        <v>0</v>
      </c>
      <c r="BC183" s="1">
        <f t="shared" si="93"/>
        <v>0</v>
      </c>
      <c r="BD183" s="1">
        <f t="shared" si="94"/>
        <v>0</v>
      </c>
      <c r="BE183" s="1">
        <f t="shared" si="95"/>
        <v>0</v>
      </c>
      <c r="BF183" s="1">
        <f t="shared" si="96"/>
        <v>0</v>
      </c>
      <c r="BG183" s="1">
        <f t="shared" si="97"/>
        <v>0</v>
      </c>
      <c r="BH183">
        <f t="shared" si="98"/>
        <v>177</v>
      </c>
    </row>
    <row r="184" spans="1:60" x14ac:dyDescent="0.35">
      <c r="B184">
        <f t="shared" si="111"/>
        <v>0</v>
      </c>
      <c r="K184" s="3">
        <f t="shared" si="112"/>
        <v>0</v>
      </c>
      <c r="L184" s="3" t="str">
        <f t="shared" si="113"/>
        <v>00</v>
      </c>
      <c r="N184" s="3">
        <f>_xlfn.XLOOKUP(M184,[2]Sheet1!$A:$A,[2]Sheet1!$D:$D)</f>
        <v>0</v>
      </c>
      <c r="Z184" s="1"/>
      <c r="AA184" s="1"/>
      <c r="AB184" s="1">
        <f>SUMIF('Open PR PO'!A:A,Monitoring!A184,'Open PR PO'!K:K)</f>
        <v>0</v>
      </c>
      <c r="AC184" s="1">
        <f t="shared" si="114"/>
        <v>0</v>
      </c>
      <c r="AD184" s="1">
        <f t="shared" si="115"/>
        <v>0</v>
      </c>
      <c r="AE184" s="1">
        <f t="shared" si="116"/>
        <v>0</v>
      </c>
      <c r="AF184" s="1"/>
      <c r="AG184" s="53">
        <f>SUMIFS(Actual!$F:$F,Actual!$N:$N,Monitoring!AG$6,Actual!$A:$A,Monitoring!$A184)</f>
        <v>0</v>
      </c>
      <c r="AH184" s="53">
        <f>SUMIFS(Actual!$F:$F,Actual!$N:$N,Monitoring!AH$6,Actual!$A:$A,Monitoring!$A184)</f>
        <v>0</v>
      </c>
      <c r="AI184" s="53">
        <f>SUMIFS(Actual!$F:$F,Actual!$N:$N,Monitoring!AI$6,Actual!$A:$A,Monitoring!$A184)</f>
        <v>0</v>
      </c>
      <c r="AJ184" s="53">
        <f>SUMIFS(Actual!$F:$F,Actual!$N:$N,Monitoring!AJ$6,Actual!$A:$A,Monitoring!$A184)</f>
        <v>0</v>
      </c>
      <c r="AK184" s="53">
        <f>SUMIFS(Actual!$F:$F,Actual!$N:$N,Monitoring!AK$6,Actual!$A:$A,Monitoring!$A184)</f>
        <v>0</v>
      </c>
      <c r="AL184" s="53">
        <f>SUMIFS(Actual!$F:$F,Actual!$N:$N,Monitoring!AL$6,Actual!$A:$A,Monitoring!$A184)</f>
        <v>0</v>
      </c>
      <c r="AM184" s="53">
        <f>SUMIFS(Actual!$F:$F,Actual!$N:$N,Monitoring!AM$6,Actual!$A:$A,Monitoring!$A184)</f>
        <v>0</v>
      </c>
      <c r="AN184" s="53">
        <f>SUMIFS(Actual!$F:$F,Actual!$N:$N,Monitoring!AN$6,Actual!$A:$A,Monitoring!$A184)</f>
        <v>0</v>
      </c>
      <c r="AO184" s="53">
        <f>SUMIFS(Actual!$F:$F,Actual!$N:$N,Monitoring!AO$6,Actual!$A:$A,Monitoring!$A184)</f>
        <v>0</v>
      </c>
      <c r="AP184" s="53">
        <f t="shared" si="81"/>
        <v>0</v>
      </c>
      <c r="AQ184" s="53">
        <f t="shared" si="82"/>
        <v>0</v>
      </c>
      <c r="AR184" s="53">
        <f t="shared" si="83"/>
        <v>0</v>
      </c>
      <c r="AS184" s="1">
        <f t="shared" si="117"/>
        <v>0</v>
      </c>
      <c r="AT184" s="12">
        <f t="shared" si="118"/>
        <v>0</v>
      </c>
      <c r="AU184" s="1"/>
      <c r="AV184" s="53">
        <f t="shared" si="86"/>
        <v>0</v>
      </c>
      <c r="AW184" s="1">
        <f t="shared" si="87"/>
        <v>0</v>
      </c>
      <c r="AX184" s="1">
        <f t="shared" si="88"/>
        <v>0</v>
      </c>
      <c r="AY184" s="1">
        <f t="shared" si="89"/>
        <v>0</v>
      </c>
      <c r="AZ184" s="1">
        <f t="shared" si="90"/>
        <v>0</v>
      </c>
      <c r="BA184" s="1">
        <f t="shared" si="91"/>
        <v>0</v>
      </c>
      <c r="BB184" s="1">
        <f t="shared" si="92"/>
        <v>0</v>
      </c>
      <c r="BC184" s="1">
        <f t="shared" si="93"/>
        <v>0</v>
      </c>
      <c r="BD184" s="1">
        <f t="shared" si="94"/>
        <v>0</v>
      </c>
      <c r="BE184" s="1">
        <f t="shared" si="95"/>
        <v>0</v>
      </c>
      <c r="BF184" s="1">
        <f t="shared" si="96"/>
        <v>0</v>
      </c>
      <c r="BG184" s="1">
        <f t="shared" si="97"/>
        <v>0</v>
      </c>
      <c r="BH184">
        <f t="shared" si="98"/>
        <v>178</v>
      </c>
    </row>
    <row r="185" spans="1:60" x14ac:dyDescent="0.35">
      <c r="B185">
        <f t="shared" si="111"/>
        <v>0</v>
      </c>
      <c r="F185" s="72"/>
      <c r="K185" s="3">
        <f t="shared" si="112"/>
        <v>0</v>
      </c>
      <c r="L185" s="3" t="str">
        <f t="shared" si="113"/>
        <v>00</v>
      </c>
      <c r="N185" s="3">
        <f>_xlfn.XLOOKUP(M185,[2]Sheet1!$A:$A,[2]Sheet1!$D:$D)</f>
        <v>0</v>
      </c>
      <c r="Q185" s="2"/>
      <c r="R185" s="24"/>
    </row>
  </sheetData>
  <autoFilter ref="A6:BH185" xr:uid="{FBA4E54E-A788-474B-AB56-3237FB2119FD}"/>
  <phoneticPr fontId="15" type="noConversion"/>
  <conditionalFormatting sqref="A1:A57 A59:A146 A148:A1048576">
    <cfRule type="duplicateValues" dxfId="10" priority="10"/>
  </conditionalFormatting>
  <conditionalFormatting sqref="A147">
    <cfRule type="duplicateValues" dxfId="9" priority="9"/>
  </conditionalFormatting>
  <conditionalFormatting sqref="H155">
    <cfRule type="duplicateValues" dxfId="8" priority="8"/>
  </conditionalFormatting>
  <conditionalFormatting sqref="H156">
    <cfRule type="duplicateValues" dxfId="7" priority="7"/>
  </conditionalFormatting>
  <conditionalFormatting sqref="H165">
    <cfRule type="duplicateValues" dxfId="6" priority="6"/>
  </conditionalFormatting>
  <conditionalFormatting sqref="H175">
    <cfRule type="duplicateValues" dxfId="5" priority="4"/>
  </conditionalFormatting>
  <conditionalFormatting sqref="H176">
    <cfRule type="duplicateValues" dxfId="4" priority="3"/>
  </conditionalFormatting>
  <conditionalFormatting sqref="H177">
    <cfRule type="duplicateValues" dxfId="3" priority="2"/>
  </conditionalFormatting>
  <conditionalFormatting sqref="H185">
    <cfRule type="duplicateValues" dxfId="2" priority="1"/>
  </conditionalFormatting>
  <pageMargins left="0.7" right="0.7" top="0.75" bottom="0.75" header="0.3" footer="0.3"/>
  <pageSetup paperSize="9" orientation="portrait" horizontalDpi="0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03D63-05F1-4C85-AA2C-171AC45939D0}">
  <sheetPr>
    <tabColor theme="9" tint="0.79998168889431442"/>
  </sheetPr>
  <dimension ref="A1:Y84"/>
  <sheetViews>
    <sheetView zoomScale="67" zoomScaleNormal="70" workbookViewId="0">
      <pane xSplit="4" ySplit="2" topLeftCell="G3" activePane="bottomRight" state="frozen"/>
      <selection pane="topRight" activeCell="E1" sqref="E1"/>
      <selection pane="bottomLeft" activeCell="A3" sqref="A3"/>
      <selection pane="bottomRight" activeCell="G1" sqref="G1"/>
    </sheetView>
  </sheetViews>
  <sheetFormatPr defaultRowHeight="14.5" x14ac:dyDescent="0.35"/>
  <cols>
    <col min="1" max="1" width="7.54296875" customWidth="1"/>
    <col min="2" max="2" width="16.7265625" bestFit="1" customWidth="1"/>
    <col min="3" max="3" width="10.1796875" hidden="1" customWidth="1"/>
    <col min="4" max="4" width="34.81640625" customWidth="1"/>
    <col min="5" max="5" width="20.54296875" hidden="1" customWidth="1"/>
    <col min="6" max="6" width="16.81640625" hidden="1" customWidth="1"/>
    <col min="7" max="7" width="17.453125" customWidth="1"/>
    <col min="8" max="8" width="18.54296875" hidden="1" customWidth="1"/>
    <col min="9" max="9" width="16.453125" customWidth="1"/>
    <col min="10" max="10" width="11.1796875" hidden="1" customWidth="1"/>
    <col min="11" max="11" width="10.54296875" hidden="1" customWidth="1"/>
    <col min="12" max="12" width="14.453125" hidden="1" customWidth="1"/>
    <col min="13" max="13" width="12.453125" hidden="1" customWidth="1"/>
    <col min="14" max="14" width="27.453125" hidden="1" customWidth="1"/>
    <col min="15" max="15" width="8.7265625" hidden="1" customWidth="1"/>
    <col min="16" max="16" width="29.90625" hidden="1" customWidth="1"/>
    <col min="17" max="17" width="33.453125" hidden="1" customWidth="1"/>
    <col min="18" max="18" width="14.81640625" hidden="1" customWidth="1"/>
    <col min="19" max="19" width="28.1796875" customWidth="1"/>
    <col min="20" max="20" width="20.1796875" customWidth="1"/>
    <col min="21" max="21" width="17.1796875" customWidth="1"/>
    <col min="22" max="22" width="15.453125" customWidth="1"/>
    <col min="23" max="23" width="14.36328125" bestFit="1" customWidth="1"/>
    <col min="24" max="24" width="14.81640625" bestFit="1" customWidth="1"/>
    <col min="25" max="25" width="12.7265625" bestFit="1" customWidth="1"/>
  </cols>
  <sheetData>
    <row r="1" spans="1:25" x14ac:dyDescent="0.35">
      <c r="E1" s="6">
        <f>SUBTOTAL(9,E3:E1048576)</f>
        <v>157256053.05999997</v>
      </c>
      <c r="F1" s="6">
        <f>SUBTOTAL(9,F3:F1048576)</f>
        <v>44050000</v>
      </c>
      <c r="G1" s="6">
        <f>SUBTOTAL(9,G3:G1048576)</f>
        <v>113206053.06000002</v>
      </c>
      <c r="H1" s="6"/>
      <c r="I1" s="90">
        <v>113157618</v>
      </c>
      <c r="R1" s="6">
        <f>SUBTOTAL(9,R3:R1048576)</f>
        <v>19500000</v>
      </c>
      <c r="S1" s="12" t="s">
        <v>3442</v>
      </c>
      <c r="T1" s="6">
        <f>SUBTOTAL(9,T3:T1048576)</f>
        <v>500000</v>
      </c>
      <c r="V1" s="6">
        <f>SUBTOTAL(9,V3:V1048576)</f>
        <v>135456053.07000002</v>
      </c>
      <c r="W1" s="6">
        <f>SUBTOTAL(9,W3:W1048576)</f>
        <v>-21750000.009999998</v>
      </c>
      <c r="X1" s="12">
        <f>V1+W1</f>
        <v>113706053.06000003</v>
      </c>
      <c r="Y1" s="12">
        <f>X1-G1</f>
        <v>500000.0000000149</v>
      </c>
    </row>
    <row r="2" spans="1:25" x14ac:dyDescent="0.35">
      <c r="A2" s="7" t="s">
        <v>97</v>
      </c>
      <c r="B2" s="7" t="s">
        <v>98</v>
      </c>
      <c r="C2" s="7" t="s">
        <v>99</v>
      </c>
      <c r="D2" s="7" t="s">
        <v>100</v>
      </c>
      <c r="E2" s="7" t="s">
        <v>101</v>
      </c>
      <c r="F2" s="7" t="s">
        <v>102</v>
      </c>
      <c r="G2" s="7" t="s">
        <v>103</v>
      </c>
      <c r="H2" s="7"/>
      <c r="I2" s="7" t="s">
        <v>105</v>
      </c>
      <c r="J2" s="7" t="s">
        <v>134</v>
      </c>
      <c r="K2" s="7" t="s">
        <v>457</v>
      </c>
      <c r="L2" s="7" t="s">
        <v>458</v>
      </c>
      <c r="M2" s="7" t="s">
        <v>108</v>
      </c>
      <c r="N2" s="7" t="s">
        <v>109</v>
      </c>
      <c r="O2" s="7" t="s">
        <v>459</v>
      </c>
      <c r="P2" s="26">
        <v>46055</v>
      </c>
      <c r="Q2" s="7" t="s">
        <v>460</v>
      </c>
      <c r="R2" s="7" t="s">
        <v>461</v>
      </c>
      <c r="S2" s="7" t="s">
        <v>394</v>
      </c>
      <c r="T2" s="7" t="s">
        <v>3417</v>
      </c>
      <c r="U2" s="7" t="s">
        <v>3416</v>
      </c>
      <c r="V2" s="7" t="s">
        <v>395</v>
      </c>
      <c r="W2" s="7" t="s">
        <v>462</v>
      </c>
      <c r="X2" s="1"/>
    </row>
    <row r="3" spans="1:25" x14ac:dyDescent="0.35">
      <c r="A3" t="s">
        <v>1</v>
      </c>
      <c r="B3" t="s">
        <v>46</v>
      </c>
      <c r="C3" t="s">
        <v>463</v>
      </c>
      <c r="D3" t="s">
        <v>464</v>
      </c>
      <c r="E3" s="1">
        <v>3000000</v>
      </c>
      <c r="F3" s="1">
        <v>1500000</v>
      </c>
      <c r="G3" s="1">
        <f>E3-F3</f>
        <v>1500000</v>
      </c>
      <c r="H3" s="1"/>
      <c r="I3" t="s">
        <v>111</v>
      </c>
      <c r="J3" s="27">
        <v>46023</v>
      </c>
      <c r="K3" s="27">
        <v>46341</v>
      </c>
      <c r="L3" s="27"/>
      <c r="P3" t="s">
        <v>465</v>
      </c>
      <c r="R3" s="12">
        <f>G3</f>
        <v>1500000</v>
      </c>
      <c r="S3" t="s">
        <v>47</v>
      </c>
      <c r="U3">
        <v>10001393</v>
      </c>
      <c r="V3" s="1">
        <f>_xlfn.XLOOKUP(U3,Monitoring!A:A,Monitoring!Z:Z)</f>
        <v>1500000</v>
      </c>
      <c r="W3" s="12">
        <f>G3+T3-V3</f>
        <v>0</v>
      </c>
      <c r="X3" s="1"/>
      <c r="Y3" s="12"/>
    </row>
    <row r="4" spans="1:25" x14ac:dyDescent="0.35">
      <c r="A4" t="s">
        <v>1</v>
      </c>
      <c r="B4" t="s">
        <v>466</v>
      </c>
      <c r="C4" t="s">
        <v>463</v>
      </c>
      <c r="D4" t="s">
        <v>467</v>
      </c>
      <c r="E4" s="1"/>
      <c r="F4" s="1"/>
      <c r="G4" s="1"/>
      <c r="H4" s="1"/>
      <c r="I4" t="s">
        <v>111</v>
      </c>
      <c r="J4" s="27">
        <v>46023</v>
      </c>
      <c r="K4" s="27">
        <v>46203</v>
      </c>
      <c r="L4" s="27"/>
      <c r="W4" s="12">
        <f t="shared" ref="W4:W67" si="0">G4+T4-V4</f>
        <v>0</v>
      </c>
    </row>
    <row r="5" spans="1:25" x14ac:dyDescent="0.35">
      <c r="A5" t="s">
        <v>1</v>
      </c>
      <c r="B5" t="s">
        <v>468</v>
      </c>
      <c r="C5" t="s">
        <v>463</v>
      </c>
      <c r="D5" t="s">
        <v>469</v>
      </c>
      <c r="E5" s="1"/>
      <c r="F5" s="1"/>
      <c r="G5" s="1"/>
      <c r="H5" s="1"/>
      <c r="I5" t="s">
        <v>111</v>
      </c>
      <c r="J5" s="27">
        <v>46023</v>
      </c>
      <c r="K5" s="27">
        <v>46203</v>
      </c>
      <c r="L5" s="27"/>
      <c r="W5" s="12">
        <f t="shared" si="0"/>
        <v>0</v>
      </c>
    </row>
    <row r="6" spans="1:25" ht="43.5" x14ac:dyDescent="0.35">
      <c r="A6" t="s">
        <v>1</v>
      </c>
      <c r="B6" t="s">
        <v>470</v>
      </c>
      <c r="C6" t="s">
        <v>463</v>
      </c>
      <c r="D6" t="s">
        <v>471</v>
      </c>
      <c r="E6" s="1">
        <v>1000000</v>
      </c>
      <c r="F6" s="1">
        <f>E6</f>
        <v>1000000</v>
      </c>
      <c r="G6" s="1">
        <f t="shared" ref="G6:G78" si="1">E6-F6</f>
        <v>0</v>
      </c>
      <c r="H6" s="1"/>
      <c r="I6" t="s">
        <v>111</v>
      </c>
      <c r="J6" s="27">
        <v>46023</v>
      </c>
      <c r="K6" s="27">
        <v>46203</v>
      </c>
      <c r="L6" s="27"/>
      <c r="P6" s="9" t="s">
        <v>472</v>
      </c>
      <c r="R6" s="12">
        <f>F6</f>
        <v>1000000</v>
      </c>
      <c r="W6" s="12">
        <f t="shared" si="0"/>
        <v>0</v>
      </c>
    </row>
    <row r="7" spans="1:25" x14ac:dyDescent="0.35">
      <c r="A7" t="s">
        <v>1</v>
      </c>
      <c r="B7" t="s">
        <v>473</v>
      </c>
      <c r="C7" t="s">
        <v>463</v>
      </c>
      <c r="D7" t="s">
        <v>474</v>
      </c>
      <c r="E7" s="1">
        <v>3000000</v>
      </c>
      <c r="F7" s="1">
        <f>E7</f>
        <v>3000000</v>
      </c>
      <c r="G7" s="1">
        <f t="shared" si="1"/>
        <v>0</v>
      </c>
      <c r="H7" s="1"/>
      <c r="I7" t="s">
        <v>111</v>
      </c>
      <c r="J7" s="27">
        <v>46023</v>
      </c>
      <c r="K7" s="27">
        <v>46265</v>
      </c>
      <c r="L7" s="27"/>
      <c r="P7" t="s">
        <v>475</v>
      </c>
      <c r="Q7" t="s">
        <v>476</v>
      </c>
      <c r="R7" s="12">
        <f>E7</f>
        <v>3000000</v>
      </c>
      <c r="W7" s="12">
        <f t="shared" si="0"/>
        <v>0</v>
      </c>
    </row>
    <row r="8" spans="1:25" x14ac:dyDescent="0.35">
      <c r="A8" t="s">
        <v>1</v>
      </c>
      <c r="B8" t="s">
        <v>16</v>
      </c>
      <c r="C8" t="s">
        <v>463</v>
      </c>
      <c r="D8" t="s">
        <v>477</v>
      </c>
      <c r="E8" s="28">
        <v>2000000</v>
      </c>
      <c r="F8" s="1"/>
      <c r="G8" s="1">
        <f t="shared" si="1"/>
        <v>2000000</v>
      </c>
      <c r="H8" s="1"/>
      <c r="I8" t="s">
        <v>111</v>
      </c>
      <c r="J8" s="27">
        <v>46023</v>
      </c>
      <c r="K8" s="27">
        <v>46265</v>
      </c>
      <c r="L8" s="27"/>
      <c r="P8" t="s">
        <v>478</v>
      </c>
      <c r="S8" t="s">
        <v>17</v>
      </c>
      <c r="U8">
        <v>10001386</v>
      </c>
      <c r="V8" s="1">
        <f>_xlfn.XLOOKUP(U8,Monitoring!A:A,Monitoring!Z:Z)</f>
        <v>2000000</v>
      </c>
      <c r="W8" s="12">
        <f t="shared" si="0"/>
        <v>0</v>
      </c>
      <c r="X8" s="1"/>
      <c r="Y8" s="12"/>
    </row>
    <row r="9" spans="1:25" x14ac:dyDescent="0.35">
      <c r="A9" t="s">
        <v>1</v>
      </c>
      <c r="B9" t="s">
        <v>479</v>
      </c>
      <c r="C9" t="s">
        <v>463</v>
      </c>
      <c r="D9" t="s">
        <v>480</v>
      </c>
      <c r="E9" s="1"/>
      <c r="F9" s="1"/>
      <c r="G9" s="1"/>
      <c r="H9" s="1"/>
      <c r="I9" t="s">
        <v>111</v>
      </c>
      <c r="J9" s="27">
        <v>46023</v>
      </c>
      <c r="K9" s="27">
        <v>46203</v>
      </c>
      <c r="L9" s="27"/>
      <c r="R9" s="12"/>
      <c r="W9" s="12">
        <f t="shared" si="0"/>
        <v>0</v>
      </c>
    </row>
    <row r="10" spans="1:25" x14ac:dyDescent="0.35">
      <c r="A10" t="s">
        <v>1</v>
      </c>
      <c r="B10" t="s">
        <v>51</v>
      </c>
      <c r="C10" t="s">
        <v>463</v>
      </c>
      <c r="D10" t="s">
        <v>481</v>
      </c>
      <c r="E10" s="1">
        <v>4000000</v>
      </c>
      <c r="F10" s="1">
        <v>1000000</v>
      </c>
      <c r="G10" s="1">
        <f t="shared" si="1"/>
        <v>3000000</v>
      </c>
      <c r="H10" s="1"/>
      <c r="I10" t="s">
        <v>111</v>
      </c>
      <c r="J10" s="27">
        <v>46023</v>
      </c>
      <c r="K10" s="27">
        <v>46341</v>
      </c>
      <c r="L10" s="27"/>
      <c r="P10" t="s">
        <v>465</v>
      </c>
      <c r="R10" s="12">
        <f>G10</f>
        <v>3000000</v>
      </c>
      <c r="S10" t="s">
        <v>3169</v>
      </c>
      <c r="T10" s="1">
        <v>1000000</v>
      </c>
      <c r="U10">
        <v>10001394</v>
      </c>
      <c r="V10" s="1">
        <f>_xlfn.XLOOKUP(U10,Monitoring!A:A,Monitoring!Z:Z)</f>
        <v>4000000</v>
      </c>
      <c r="W10" s="12">
        <f t="shared" si="0"/>
        <v>0</v>
      </c>
      <c r="X10" s="1"/>
      <c r="Y10" s="12"/>
    </row>
    <row r="11" spans="1:25" x14ac:dyDescent="0.35">
      <c r="A11" t="s">
        <v>1</v>
      </c>
      <c r="B11" t="s">
        <v>482</v>
      </c>
      <c r="C11" t="s">
        <v>463</v>
      </c>
      <c r="D11" t="s">
        <v>483</v>
      </c>
      <c r="E11" s="1">
        <v>2500000</v>
      </c>
      <c r="F11" s="1">
        <f>E11</f>
        <v>2500000</v>
      </c>
      <c r="G11" s="1">
        <f t="shared" si="1"/>
        <v>0</v>
      </c>
      <c r="H11" s="1"/>
      <c r="I11" t="s">
        <v>111</v>
      </c>
      <c r="J11" s="27">
        <v>46023</v>
      </c>
      <c r="K11" s="27">
        <v>46265</v>
      </c>
      <c r="L11" s="27"/>
      <c r="P11" t="s">
        <v>475</v>
      </c>
      <c r="Q11" t="s">
        <v>476</v>
      </c>
      <c r="R11" s="12">
        <f>E11</f>
        <v>2500000</v>
      </c>
      <c r="W11" s="12">
        <f t="shared" si="0"/>
        <v>0</v>
      </c>
    </row>
    <row r="12" spans="1:25" x14ac:dyDescent="0.35">
      <c r="A12" t="s">
        <v>1</v>
      </c>
      <c r="B12" t="s">
        <v>484</v>
      </c>
      <c r="C12" t="s">
        <v>463</v>
      </c>
      <c r="D12" t="s">
        <v>485</v>
      </c>
      <c r="E12" s="1"/>
      <c r="F12" s="1"/>
      <c r="G12" s="1"/>
      <c r="H12" s="1"/>
      <c r="I12" t="s">
        <v>111</v>
      </c>
      <c r="J12" s="27">
        <v>46054</v>
      </c>
      <c r="K12" s="27">
        <v>46203</v>
      </c>
      <c r="L12" s="27"/>
      <c r="W12" s="12">
        <f t="shared" si="0"/>
        <v>0</v>
      </c>
    </row>
    <row r="13" spans="1:25" x14ac:dyDescent="0.35">
      <c r="A13" t="s">
        <v>1</v>
      </c>
      <c r="B13" t="s">
        <v>486</v>
      </c>
      <c r="C13" t="s">
        <v>463</v>
      </c>
      <c r="D13" t="s">
        <v>487</v>
      </c>
      <c r="E13" s="1"/>
      <c r="F13" s="1"/>
      <c r="G13" s="1"/>
      <c r="H13" s="1"/>
      <c r="I13" t="s">
        <v>111</v>
      </c>
      <c r="J13" s="27">
        <v>46023</v>
      </c>
      <c r="K13" s="27">
        <v>46203</v>
      </c>
      <c r="L13" s="27"/>
      <c r="R13" s="12"/>
      <c r="W13" s="12">
        <f t="shared" si="0"/>
        <v>0</v>
      </c>
    </row>
    <row r="14" spans="1:25" x14ac:dyDescent="0.35">
      <c r="A14" t="s">
        <v>1</v>
      </c>
      <c r="B14" t="s">
        <v>488</v>
      </c>
      <c r="C14" t="s">
        <v>463</v>
      </c>
      <c r="D14" t="s">
        <v>489</v>
      </c>
      <c r="E14" s="1"/>
      <c r="F14" s="1"/>
      <c r="G14" s="1"/>
      <c r="H14" s="1"/>
      <c r="I14" t="s">
        <v>111</v>
      </c>
      <c r="J14" s="27">
        <v>46023</v>
      </c>
      <c r="K14" s="27">
        <v>46203</v>
      </c>
      <c r="L14" s="27"/>
      <c r="W14" s="12">
        <f t="shared" si="0"/>
        <v>0</v>
      </c>
    </row>
    <row r="15" spans="1:25" x14ac:dyDescent="0.35">
      <c r="A15" t="s">
        <v>1</v>
      </c>
      <c r="B15" t="s">
        <v>490</v>
      </c>
      <c r="C15" t="s">
        <v>491</v>
      </c>
      <c r="D15" t="s">
        <v>492</v>
      </c>
      <c r="E15" s="1"/>
      <c r="F15" s="1"/>
      <c r="G15" s="1"/>
      <c r="H15" s="1"/>
      <c r="I15" t="s">
        <v>111</v>
      </c>
      <c r="J15" s="27">
        <v>46023</v>
      </c>
      <c r="K15" s="27">
        <v>46341</v>
      </c>
      <c r="L15" s="27"/>
      <c r="W15" s="12">
        <f t="shared" si="0"/>
        <v>0</v>
      </c>
    </row>
    <row r="16" spans="1:25" x14ac:dyDescent="0.35">
      <c r="A16" t="s">
        <v>1</v>
      </c>
      <c r="B16" t="s">
        <v>493</v>
      </c>
      <c r="C16" t="s">
        <v>463</v>
      </c>
      <c r="D16" t="s">
        <v>494</v>
      </c>
      <c r="E16" s="1">
        <v>1500000</v>
      </c>
      <c r="F16" s="1"/>
      <c r="G16" s="1">
        <f t="shared" si="1"/>
        <v>1500000</v>
      </c>
      <c r="H16" s="1"/>
      <c r="I16" t="s">
        <v>111</v>
      </c>
      <c r="J16" s="27">
        <v>46023</v>
      </c>
      <c r="K16" s="27">
        <v>46203</v>
      </c>
      <c r="L16" s="27"/>
      <c r="Q16" t="s">
        <v>495</v>
      </c>
      <c r="S16" t="s">
        <v>3188</v>
      </c>
      <c r="T16" s="1">
        <f>-95000-145000</f>
        <v>-240000</v>
      </c>
      <c r="U16">
        <v>40001281</v>
      </c>
      <c r="V16" s="1">
        <f>_xlfn.XLOOKUP(U16,Monitoring!A:A,Monitoring!Z:Z)</f>
        <v>1260000</v>
      </c>
      <c r="W16" s="12">
        <f t="shared" si="0"/>
        <v>0</v>
      </c>
      <c r="X16" s="1"/>
      <c r="Y16" s="12"/>
    </row>
    <row r="17" spans="1:25" x14ac:dyDescent="0.35">
      <c r="B17" t="s">
        <v>493</v>
      </c>
      <c r="E17" s="1"/>
      <c r="F17" s="1"/>
      <c r="G17" s="1"/>
      <c r="H17" s="1"/>
      <c r="J17" s="27"/>
      <c r="K17" s="27"/>
      <c r="L17" s="27"/>
      <c r="S17" t="s">
        <v>3420</v>
      </c>
      <c r="T17" s="1">
        <v>95000</v>
      </c>
      <c r="U17">
        <v>40001302</v>
      </c>
      <c r="V17" s="1">
        <f>_xlfn.XLOOKUP(U17,Monitoring!A:A,Monitoring!Z:Z)</f>
        <v>95000</v>
      </c>
      <c r="W17" s="12">
        <f t="shared" si="0"/>
        <v>0</v>
      </c>
      <c r="X17" s="1"/>
      <c r="Y17" s="12"/>
    </row>
    <row r="18" spans="1:25" x14ac:dyDescent="0.35">
      <c r="B18" t="s">
        <v>493</v>
      </c>
      <c r="E18" s="1"/>
      <c r="F18" s="1"/>
      <c r="G18" s="1"/>
      <c r="H18" s="1"/>
      <c r="J18" s="27"/>
      <c r="K18" s="27"/>
      <c r="L18" s="27"/>
      <c r="S18" t="s">
        <v>3421</v>
      </c>
      <c r="T18" s="1">
        <v>145000</v>
      </c>
      <c r="U18">
        <v>40001306</v>
      </c>
      <c r="V18" s="1">
        <f>_xlfn.XLOOKUP(U18,Monitoring!A:A,Monitoring!Z:Z)</f>
        <v>145000</v>
      </c>
      <c r="W18" s="12">
        <f t="shared" si="0"/>
        <v>0</v>
      </c>
      <c r="X18" s="1"/>
      <c r="Y18" s="12"/>
    </row>
    <row r="19" spans="1:25" ht="43.5" x14ac:dyDescent="0.35">
      <c r="A19" t="s">
        <v>1</v>
      </c>
      <c r="B19" t="s">
        <v>496</v>
      </c>
      <c r="C19" t="s">
        <v>463</v>
      </c>
      <c r="D19" t="s">
        <v>497</v>
      </c>
      <c r="E19" s="1">
        <v>1500000</v>
      </c>
      <c r="F19" s="1">
        <f>E19</f>
        <v>1500000</v>
      </c>
      <c r="G19" s="1">
        <f t="shared" si="1"/>
        <v>0</v>
      </c>
      <c r="H19" s="1"/>
      <c r="I19" t="s">
        <v>111</v>
      </c>
      <c r="J19" s="27">
        <v>46235</v>
      </c>
      <c r="K19" s="27">
        <v>46325</v>
      </c>
      <c r="L19" s="27"/>
      <c r="P19" s="9" t="s">
        <v>498</v>
      </c>
      <c r="Q19" t="s">
        <v>499</v>
      </c>
      <c r="W19" s="12">
        <f t="shared" si="0"/>
        <v>0</v>
      </c>
    </row>
    <row r="20" spans="1:25" x14ac:dyDescent="0.35">
      <c r="A20" t="s">
        <v>1</v>
      </c>
      <c r="B20" t="s">
        <v>500</v>
      </c>
      <c r="C20" t="s">
        <v>353</v>
      </c>
      <c r="D20" t="s">
        <v>501</v>
      </c>
      <c r="E20" s="1">
        <v>6000000</v>
      </c>
      <c r="F20" s="1"/>
      <c r="G20" s="1">
        <f t="shared" si="1"/>
        <v>6000000</v>
      </c>
      <c r="H20" s="1"/>
      <c r="I20" t="s">
        <v>111</v>
      </c>
      <c r="J20" s="27">
        <v>46023</v>
      </c>
      <c r="K20" s="27">
        <v>46203</v>
      </c>
      <c r="L20" s="27"/>
      <c r="P20" t="s">
        <v>502</v>
      </c>
      <c r="S20" t="s">
        <v>751</v>
      </c>
      <c r="U20">
        <v>10001429</v>
      </c>
      <c r="V20" s="1">
        <f>_xlfn.XLOOKUP(U20,Monitoring!A:A,Monitoring!Z:Z)</f>
        <v>6000000</v>
      </c>
      <c r="W20" s="12">
        <f t="shared" si="0"/>
        <v>0</v>
      </c>
      <c r="X20" s="1"/>
      <c r="Y20" s="12"/>
    </row>
    <row r="21" spans="1:25" x14ac:dyDescent="0.35">
      <c r="A21" t="s">
        <v>1</v>
      </c>
      <c r="B21" t="s">
        <v>503</v>
      </c>
      <c r="C21" t="s">
        <v>504</v>
      </c>
      <c r="D21" t="s">
        <v>505</v>
      </c>
      <c r="E21" s="1">
        <v>1500000</v>
      </c>
      <c r="F21" s="1"/>
      <c r="G21" s="1">
        <f t="shared" si="1"/>
        <v>1500000</v>
      </c>
      <c r="H21" s="1"/>
      <c r="I21" t="s">
        <v>111</v>
      </c>
      <c r="J21" s="27">
        <v>46023</v>
      </c>
      <c r="K21" s="27">
        <v>46203</v>
      </c>
      <c r="L21" s="27"/>
      <c r="P21" t="s">
        <v>506</v>
      </c>
      <c r="S21" t="s">
        <v>3182</v>
      </c>
      <c r="T21" s="1">
        <v>-97000</v>
      </c>
      <c r="U21">
        <v>40001280</v>
      </c>
      <c r="V21" s="1">
        <f>_xlfn.XLOOKUP(U21,Monitoring!A:A,Monitoring!Z:Z)</f>
        <v>1403000</v>
      </c>
      <c r="W21" s="12">
        <f t="shared" si="0"/>
        <v>0</v>
      </c>
      <c r="X21" s="1"/>
      <c r="Y21" s="12"/>
    </row>
    <row r="22" spans="1:25" x14ac:dyDescent="0.35">
      <c r="B22" t="s">
        <v>503</v>
      </c>
      <c r="E22" s="1"/>
      <c r="F22" s="1"/>
      <c r="G22" s="1"/>
      <c r="H22" s="1"/>
      <c r="J22" s="27"/>
      <c r="K22" s="27"/>
      <c r="L22" s="27"/>
      <c r="S22" t="s">
        <v>3419</v>
      </c>
      <c r="T22" s="1">
        <v>97000</v>
      </c>
      <c r="U22">
        <v>40001305</v>
      </c>
      <c r="V22" s="1">
        <f>_xlfn.XLOOKUP(U22,Monitoring!A:A,Monitoring!Z:Z)</f>
        <v>97000</v>
      </c>
      <c r="W22" s="12">
        <f t="shared" si="0"/>
        <v>0</v>
      </c>
      <c r="X22" s="1"/>
      <c r="Y22" s="12"/>
    </row>
    <row r="23" spans="1:25" x14ac:dyDescent="0.35">
      <c r="A23" t="s">
        <v>1</v>
      </c>
      <c r="B23" t="s">
        <v>507</v>
      </c>
      <c r="C23" t="s">
        <v>504</v>
      </c>
      <c r="D23" t="s">
        <v>508</v>
      </c>
      <c r="E23" s="28">
        <v>2100000</v>
      </c>
      <c r="F23" s="1"/>
      <c r="G23" s="1">
        <f t="shared" si="1"/>
        <v>2100000</v>
      </c>
      <c r="H23" s="1"/>
      <c r="I23" t="s">
        <v>111</v>
      </c>
      <c r="J23" s="27">
        <v>46235</v>
      </c>
      <c r="K23" s="27">
        <v>46387</v>
      </c>
      <c r="L23" s="27"/>
      <c r="S23" t="s">
        <v>752</v>
      </c>
      <c r="U23">
        <v>10001430</v>
      </c>
      <c r="V23" s="1">
        <f>_xlfn.XLOOKUP(U23,Monitoring!A:A,Monitoring!Z:Z)</f>
        <v>2100000</v>
      </c>
      <c r="W23" s="12">
        <f t="shared" si="0"/>
        <v>0</v>
      </c>
      <c r="X23" s="1"/>
      <c r="Y23" s="12"/>
    </row>
    <row r="24" spans="1:25" x14ac:dyDescent="0.35">
      <c r="A24" t="s">
        <v>1</v>
      </c>
      <c r="B24" t="s">
        <v>509</v>
      </c>
      <c r="C24" t="s">
        <v>504</v>
      </c>
      <c r="D24" t="s">
        <v>510</v>
      </c>
      <c r="E24" s="28"/>
      <c r="F24" s="1"/>
      <c r="G24" s="1"/>
      <c r="H24" s="1"/>
      <c r="I24" t="s">
        <v>111</v>
      </c>
      <c r="J24" s="27">
        <v>46235</v>
      </c>
      <c r="K24" s="27">
        <v>46387</v>
      </c>
      <c r="L24" s="27"/>
      <c r="W24" s="12">
        <f t="shared" si="0"/>
        <v>0</v>
      </c>
    </row>
    <row r="25" spans="1:25" x14ac:dyDescent="0.35">
      <c r="A25" t="s">
        <v>1</v>
      </c>
      <c r="B25" t="s">
        <v>511</v>
      </c>
      <c r="C25" t="s">
        <v>353</v>
      </c>
      <c r="D25" t="s">
        <v>512</v>
      </c>
      <c r="E25" s="28">
        <v>1400000</v>
      </c>
      <c r="F25" s="1">
        <f>E25</f>
        <v>1400000</v>
      </c>
      <c r="G25" s="1">
        <f t="shared" si="1"/>
        <v>0</v>
      </c>
      <c r="H25" s="1"/>
      <c r="I25" t="s">
        <v>111</v>
      </c>
      <c r="J25" s="27">
        <v>46054</v>
      </c>
      <c r="K25" s="27">
        <v>46203</v>
      </c>
      <c r="L25" s="27"/>
      <c r="P25" t="s">
        <v>506</v>
      </c>
      <c r="W25" s="12">
        <f t="shared" si="0"/>
        <v>0</v>
      </c>
    </row>
    <row r="26" spans="1:25" x14ac:dyDescent="0.35">
      <c r="A26" t="s">
        <v>1</v>
      </c>
      <c r="B26" t="s">
        <v>25</v>
      </c>
      <c r="C26" t="s">
        <v>463</v>
      </c>
      <c r="D26" t="s">
        <v>26</v>
      </c>
      <c r="E26" s="1">
        <v>4000000</v>
      </c>
      <c r="G26" s="1">
        <f t="shared" si="1"/>
        <v>4000000</v>
      </c>
      <c r="I26" t="s">
        <v>111</v>
      </c>
      <c r="P26" t="s">
        <v>478</v>
      </c>
      <c r="S26" t="s">
        <v>2527</v>
      </c>
      <c r="T26" s="1">
        <v>-645000</v>
      </c>
      <c r="U26">
        <v>10001387</v>
      </c>
      <c r="V26" s="1">
        <f>_xlfn.XLOOKUP(U26,Monitoring!A:A,Monitoring!Z:Z)</f>
        <v>3355000</v>
      </c>
      <c r="W26" s="12">
        <f t="shared" si="0"/>
        <v>0</v>
      </c>
      <c r="X26" s="1"/>
      <c r="Y26" s="12"/>
    </row>
    <row r="27" spans="1:25" x14ac:dyDescent="0.35">
      <c r="A27" t="s">
        <v>1</v>
      </c>
      <c r="B27" t="s">
        <v>30</v>
      </c>
      <c r="C27" t="s">
        <v>463</v>
      </c>
      <c r="D27" t="s">
        <v>32</v>
      </c>
      <c r="E27" s="1">
        <v>5000000</v>
      </c>
      <c r="G27" s="1">
        <f t="shared" si="1"/>
        <v>5000000</v>
      </c>
      <c r="I27" t="s">
        <v>111</v>
      </c>
      <c r="P27" t="s">
        <v>478</v>
      </c>
      <c r="S27" t="s">
        <v>31</v>
      </c>
      <c r="U27">
        <v>10001388</v>
      </c>
      <c r="V27" s="1">
        <f>_xlfn.XLOOKUP(U27,Monitoring!A:A,Monitoring!Z:Z)</f>
        <v>5000000</v>
      </c>
      <c r="W27" s="12">
        <f t="shared" si="0"/>
        <v>0</v>
      </c>
      <c r="X27" s="1"/>
      <c r="Y27" s="12"/>
    </row>
    <row r="28" spans="1:25" x14ac:dyDescent="0.35">
      <c r="A28" t="s">
        <v>1</v>
      </c>
      <c r="B28" t="s">
        <v>34</v>
      </c>
      <c r="C28" t="s">
        <v>463</v>
      </c>
      <c r="D28" t="s">
        <v>36</v>
      </c>
      <c r="E28" s="1">
        <v>3000000</v>
      </c>
      <c r="G28" s="1">
        <f t="shared" si="1"/>
        <v>3000000</v>
      </c>
      <c r="I28" t="s">
        <v>111</v>
      </c>
      <c r="P28" t="s">
        <v>478</v>
      </c>
      <c r="S28" t="s">
        <v>35</v>
      </c>
      <c r="U28">
        <v>10001389</v>
      </c>
      <c r="V28" s="1">
        <f>_xlfn.XLOOKUP(U28,Monitoring!A:A,Monitoring!Z:Z)</f>
        <v>3000000</v>
      </c>
      <c r="W28" s="12">
        <f t="shared" si="0"/>
        <v>0</v>
      </c>
      <c r="X28" s="1"/>
      <c r="Y28" s="12"/>
    </row>
    <row r="29" spans="1:25" x14ac:dyDescent="0.35">
      <c r="A29" t="s">
        <v>1</v>
      </c>
      <c r="B29" t="s">
        <v>38</v>
      </c>
      <c r="C29" t="s">
        <v>463</v>
      </c>
      <c r="D29" t="s">
        <v>513</v>
      </c>
      <c r="E29" s="1">
        <v>4000000</v>
      </c>
      <c r="G29" s="1">
        <f t="shared" si="1"/>
        <v>4000000</v>
      </c>
      <c r="I29" t="s">
        <v>111</v>
      </c>
      <c r="P29" t="s">
        <v>478</v>
      </c>
      <c r="S29" t="s">
        <v>3168</v>
      </c>
      <c r="T29" s="1">
        <v>-1000000</v>
      </c>
      <c r="U29">
        <v>10001390</v>
      </c>
      <c r="V29" s="1">
        <f>_xlfn.XLOOKUP(U29,Monitoring!A:A,Monitoring!Z:Z)</f>
        <v>3000000</v>
      </c>
      <c r="W29" s="12">
        <f t="shared" si="0"/>
        <v>0</v>
      </c>
      <c r="X29" s="1"/>
      <c r="Y29" s="12"/>
    </row>
    <row r="30" spans="1:25" x14ac:dyDescent="0.35">
      <c r="A30" t="s">
        <v>1</v>
      </c>
      <c r="B30" t="s">
        <v>514</v>
      </c>
      <c r="C30" t="s">
        <v>504</v>
      </c>
      <c r="D30" t="s">
        <v>515</v>
      </c>
      <c r="E30" s="1">
        <v>2500000</v>
      </c>
      <c r="G30" s="1">
        <f t="shared" si="1"/>
        <v>2500000</v>
      </c>
      <c r="I30" t="s">
        <v>111</v>
      </c>
      <c r="P30" t="s">
        <v>478</v>
      </c>
      <c r="S30" t="s">
        <v>753</v>
      </c>
      <c r="U30">
        <v>10001431</v>
      </c>
      <c r="V30" s="1">
        <f>_xlfn.XLOOKUP(U30,Monitoring!A:A,Monitoring!Z:Z)</f>
        <v>1900000</v>
      </c>
      <c r="W30" s="12">
        <f t="shared" si="0"/>
        <v>600000</v>
      </c>
      <c r="X30" s="1"/>
      <c r="Y30" s="12"/>
    </row>
    <row r="31" spans="1:25" x14ac:dyDescent="0.35">
      <c r="A31" t="s">
        <v>1</v>
      </c>
      <c r="B31" t="s">
        <v>40</v>
      </c>
      <c r="C31" t="s">
        <v>463</v>
      </c>
      <c r="D31" t="s">
        <v>42</v>
      </c>
      <c r="E31" s="1">
        <v>1000000</v>
      </c>
      <c r="G31" s="1">
        <f t="shared" si="1"/>
        <v>1000000</v>
      </c>
      <c r="I31" t="s">
        <v>111</v>
      </c>
      <c r="P31" t="s">
        <v>478</v>
      </c>
      <c r="S31" t="s">
        <v>41</v>
      </c>
      <c r="U31">
        <v>10001391</v>
      </c>
      <c r="V31" s="1">
        <f>_xlfn.XLOOKUP(U31,Monitoring!A:A,Monitoring!Z:Z)</f>
        <v>1000000</v>
      </c>
      <c r="W31" s="12">
        <f t="shared" si="0"/>
        <v>0</v>
      </c>
      <c r="X31" s="1"/>
      <c r="Y31" s="12"/>
    </row>
    <row r="32" spans="1:25" x14ac:dyDescent="0.35">
      <c r="A32" t="s">
        <v>1</v>
      </c>
      <c r="B32" t="s">
        <v>44</v>
      </c>
      <c r="C32" t="s">
        <v>463</v>
      </c>
      <c r="D32" t="s">
        <v>516</v>
      </c>
      <c r="E32" s="1">
        <v>1000000</v>
      </c>
      <c r="G32" s="1">
        <f t="shared" si="1"/>
        <v>1000000</v>
      </c>
      <c r="I32" t="s">
        <v>111</v>
      </c>
      <c r="P32" t="s">
        <v>478</v>
      </c>
      <c r="S32" t="s">
        <v>1865</v>
      </c>
      <c r="T32" s="1">
        <v>-1000000</v>
      </c>
      <c r="U32">
        <v>10001392</v>
      </c>
      <c r="V32" s="1">
        <f>_xlfn.XLOOKUP(U32,Monitoring!A:A,Monitoring!Z:Z)</f>
        <v>0</v>
      </c>
      <c r="W32" s="12">
        <f t="shared" si="0"/>
        <v>0</v>
      </c>
      <c r="X32" s="1"/>
      <c r="Y32" s="12"/>
    </row>
    <row r="33" spans="1:25" x14ac:dyDescent="0.35">
      <c r="B33" t="s">
        <v>44</v>
      </c>
      <c r="E33" s="1"/>
      <c r="G33" s="1"/>
      <c r="S33" t="s">
        <v>3418</v>
      </c>
      <c r="T33" s="1">
        <v>1000000</v>
      </c>
      <c r="U33">
        <v>10001456</v>
      </c>
      <c r="V33" s="1">
        <f>_xlfn.XLOOKUP(U33,Monitoring!A:A,Monitoring!Z:Z)</f>
        <v>1000000</v>
      </c>
      <c r="W33" s="12">
        <f t="shared" si="0"/>
        <v>0</v>
      </c>
      <c r="X33" s="1"/>
      <c r="Y33" s="12"/>
    </row>
    <row r="34" spans="1:25" x14ac:dyDescent="0.35">
      <c r="A34" t="s">
        <v>1</v>
      </c>
      <c r="B34" t="s">
        <v>53</v>
      </c>
      <c r="C34" t="s">
        <v>517</v>
      </c>
      <c r="D34" t="s">
        <v>518</v>
      </c>
      <c r="E34" s="1">
        <v>5000000</v>
      </c>
      <c r="F34" s="1"/>
      <c r="G34" s="1">
        <f t="shared" si="1"/>
        <v>5000000</v>
      </c>
      <c r="H34" s="1" t="s">
        <v>519</v>
      </c>
      <c r="I34" t="s">
        <v>520</v>
      </c>
      <c r="J34" t="s">
        <v>521</v>
      </c>
      <c r="N34" t="s">
        <v>522</v>
      </c>
      <c r="P34" t="s">
        <v>506</v>
      </c>
      <c r="R34" s="12">
        <f t="shared" ref="R34:R36" si="2">G34</f>
        <v>5000000</v>
      </c>
      <c r="S34" t="s">
        <v>3208</v>
      </c>
      <c r="T34" s="1">
        <f>500000+712500</f>
        <v>1212500</v>
      </c>
      <c r="U34">
        <v>10001395</v>
      </c>
      <c r="V34" s="1">
        <f>_xlfn.XLOOKUP(U34,Monitoring!A:A,Monitoring!Z:Z)</f>
        <v>6212500</v>
      </c>
      <c r="W34" s="12">
        <f t="shared" si="0"/>
        <v>0</v>
      </c>
      <c r="X34" s="1"/>
      <c r="Y34" s="12"/>
    </row>
    <row r="35" spans="1:25" x14ac:dyDescent="0.35">
      <c r="A35" t="s">
        <v>1</v>
      </c>
      <c r="B35" t="s">
        <v>523</v>
      </c>
      <c r="C35" t="s">
        <v>524</v>
      </c>
      <c r="D35" t="s">
        <v>525</v>
      </c>
      <c r="E35" s="1">
        <v>1500000</v>
      </c>
      <c r="F35" s="1"/>
      <c r="G35" s="1">
        <f t="shared" si="1"/>
        <v>1500000</v>
      </c>
      <c r="H35" s="1" t="s">
        <v>519</v>
      </c>
      <c r="I35" t="s">
        <v>520</v>
      </c>
      <c r="J35" t="s">
        <v>526</v>
      </c>
      <c r="N35" t="s">
        <v>522</v>
      </c>
      <c r="P35" t="s">
        <v>506</v>
      </c>
      <c r="R35" s="12">
        <f t="shared" si="2"/>
        <v>1500000</v>
      </c>
      <c r="W35" s="12">
        <f t="shared" si="0"/>
        <v>1500000</v>
      </c>
    </row>
    <row r="36" spans="1:25" x14ac:dyDescent="0.35">
      <c r="A36" t="s">
        <v>1</v>
      </c>
      <c r="B36" t="s">
        <v>527</v>
      </c>
      <c r="C36" t="s">
        <v>528</v>
      </c>
      <c r="D36" t="s">
        <v>525</v>
      </c>
      <c r="E36" s="1">
        <v>3000000</v>
      </c>
      <c r="F36" s="1">
        <v>1000000</v>
      </c>
      <c r="G36" s="1">
        <f t="shared" si="1"/>
        <v>2000000</v>
      </c>
      <c r="H36" s="1" t="s">
        <v>519</v>
      </c>
      <c r="I36" t="s">
        <v>520</v>
      </c>
      <c r="J36" t="s">
        <v>521</v>
      </c>
      <c r="N36" t="s">
        <v>522</v>
      </c>
      <c r="P36" t="s">
        <v>506</v>
      </c>
      <c r="R36" s="12">
        <f t="shared" si="2"/>
        <v>2000000</v>
      </c>
      <c r="S36" t="s">
        <v>3423</v>
      </c>
      <c r="T36" s="1">
        <v>-458035.71</v>
      </c>
      <c r="U36">
        <v>10001471</v>
      </c>
      <c r="V36" s="1">
        <v>1041964.29</v>
      </c>
      <c r="W36" s="12">
        <f t="shared" si="0"/>
        <v>500000</v>
      </c>
      <c r="X36" s="1"/>
      <c r="Y36" s="12"/>
    </row>
    <row r="37" spans="1:25" x14ac:dyDescent="0.35">
      <c r="A37" t="s">
        <v>1</v>
      </c>
      <c r="B37" t="s">
        <v>529</v>
      </c>
      <c r="C37" t="s">
        <v>517</v>
      </c>
      <c r="D37" t="s">
        <v>530</v>
      </c>
      <c r="E37" s="1">
        <v>2500000</v>
      </c>
      <c r="F37" s="1">
        <v>500000</v>
      </c>
      <c r="G37" s="1">
        <f t="shared" si="1"/>
        <v>2000000</v>
      </c>
      <c r="H37" s="1" t="s">
        <v>519</v>
      </c>
      <c r="I37" t="s">
        <v>520</v>
      </c>
      <c r="J37" t="s">
        <v>531</v>
      </c>
      <c r="N37" t="s">
        <v>532</v>
      </c>
      <c r="P37" t="s">
        <v>533</v>
      </c>
      <c r="Q37" t="s">
        <v>534</v>
      </c>
      <c r="W37" s="12">
        <f t="shared" si="0"/>
        <v>2000000</v>
      </c>
    </row>
    <row r="38" spans="1:25" x14ac:dyDescent="0.35">
      <c r="A38" t="s">
        <v>1</v>
      </c>
      <c r="B38" t="s">
        <v>535</v>
      </c>
      <c r="C38" t="s">
        <v>517</v>
      </c>
      <c r="D38" t="s">
        <v>536</v>
      </c>
      <c r="E38" s="1">
        <v>2000000</v>
      </c>
      <c r="F38" s="1">
        <f>E38</f>
        <v>2000000</v>
      </c>
      <c r="G38" s="1">
        <f t="shared" si="1"/>
        <v>0</v>
      </c>
      <c r="H38" s="1" t="s">
        <v>519</v>
      </c>
      <c r="I38" t="s">
        <v>520</v>
      </c>
      <c r="J38" t="s">
        <v>537</v>
      </c>
      <c r="N38" t="s">
        <v>532</v>
      </c>
      <c r="P38" t="s">
        <v>538</v>
      </c>
      <c r="Q38" t="s">
        <v>534</v>
      </c>
      <c r="W38" s="12">
        <f t="shared" si="0"/>
        <v>0</v>
      </c>
    </row>
    <row r="39" spans="1:25" x14ac:dyDescent="0.35">
      <c r="A39" t="s">
        <v>1</v>
      </c>
      <c r="B39" t="s">
        <v>539</v>
      </c>
      <c r="C39" t="s">
        <v>540</v>
      </c>
      <c r="D39" t="s">
        <v>541</v>
      </c>
      <c r="E39" s="1">
        <v>5000000</v>
      </c>
      <c r="F39" s="1">
        <v>3000000</v>
      </c>
      <c r="G39" s="1">
        <f t="shared" si="1"/>
        <v>2000000</v>
      </c>
      <c r="H39" s="1" t="s">
        <v>519</v>
      </c>
      <c r="I39" t="s">
        <v>520</v>
      </c>
      <c r="J39" t="s">
        <v>521</v>
      </c>
      <c r="N39" t="s">
        <v>532</v>
      </c>
      <c r="P39" t="s">
        <v>506</v>
      </c>
      <c r="S39" t="s">
        <v>3209</v>
      </c>
      <c r="T39" s="1">
        <f>-500000-712500</f>
        <v>-1212500</v>
      </c>
      <c r="U39">
        <v>10001432</v>
      </c>
      <c r="V39" s="1">
        <f>_xlfn.XLOOKUP(U39,Monitoring!A:A,Monitoring!Z:Z)</f>
        <v>787500</v>
      </c>
      <c r="W39" s="12">
        <f t="shared" si="0"/>
        <v>0</v>
      </c>
      <c r="X39" s="1"/>
      <c r="Y39" s="12"/>
    </row>
    <row r="40" spans="1:25" x14ac:dyDescent="0.35">
      <c r="A40" t="s">
        <v>1</v>
      </c>
      <c r="B40" t="s">
        <v>542</v>
      </c>
      <c r="C40" t="s">
        <v>543</v>
      </c>
      <c r="D40" t="s">
        <v>544</v>
      </c>
      <c r="E40" s="1">
        <v>4000000</v>
      </c>
      <c r="F40" s="1">
        <f>E40</f>
        <v>4000000</v>
      </c>
      <c r="G40" s="1">
        <f t="shared" si="1"/>
        <v>0</v>
      </c>
      <c r="H40" s="1" t="s">
        <v>545</v>
      </c>
      <c r="I40" t="s">
        <v>520</v>
      </c>
      <c r="J40" t="s">
        <v>546</v>
      </c>
      <c r="N40" t="s">
        <v>532</v>
      </c>
      <c r="P40" t="s">
        <v>506</v>
      </c>
      <c r="Q40" t="s">
        <v>547</v>
      </c>
      <c r="W40" s="12">
        <f t="shared" si="0"/>
        <v>0</v>
      </c>
    </row>
    <row r="41" spans="1:25" x14ac:dyDescent="0.35">
      <c r="A41" t="s">
        <v>1</v>
      </c>
      <c r="B41" t="s">
        <v>548</v>
      </c>
      <c r="C41" t="s">
        <v>549</v>
      </c>
      <c r="D41" t="s">
        <v>550</v>
      </c>
      <c r="E41" s="1">
        <v>6000000</v>
      </c>
      <c r="F41" s="1"/>
      <c r="G41" s="1">
        <f t="shared" si="1"/>
        <v>6000000</v>
      </c>
      <c r="H41" s="1" t="s">
        <v>545</v>
      </c>
      <c r="I41" t="s">
        <v>520</v>
      </c>
      <c r="J41" t="s">
        <v>546</v>
      </c>
      <c r="N41" t="s">
        <v>532</v>
      </c>
      <c r="P41" t="s">
        <v>551</v>
      </c>
      <c r="S41" t="s">
        <v>1801</v>
      </c>
      <c r="U41">
        <v>10001434</v>
      </c>
      <c r="V41" s="1">
        <f>_xlfn.XLOOKUP(U41,Monitoring!A:A,Monitoring!Z:Z)</f>
        <v>6000000</v>
      </c>
      <c r="W41" s="12">
        <f t="shared" si="0"/>
        <v>0</v>
      </c>
      <c r="X41" s="1"/>
      <c r="Y41" s="12"/>
    </row>
    <row r="42" spans="1:25" x14ac:dyDescent="0.35">
      <c r="A42" t="s">
        <v>1</v>
      </c>
      <c r="B42" t="s">
        <v>552</v>
      </c>
      <c r="C42" t="s">
        <v>553</v>
      </c>
      <c r="D42" t="s">
        <v>554</v>
      </c>
      <c r="E42" s="1">
        <v>5000000</v>
      </c>
      <c r="F42" s="1">
        <v>2000000</v>
      </c>
      <c r="G42" s="1">
        <f t="shared" si="1"/>
        <v>3000000</v>
      </c>
      <c r="H42" s="1" t="s">
        <v>545</v>
      </c>
      <c r="I42" t="s">
        <v>520</v>
      </c>
      <c r="J42" t="s">
        <v>555</v>
      </c>
      <c r="N42" t="s">
        <v>532</v>
      </c>
      <c r="P42" t="s">
        <v>556</v>
      </c>
      <c r="Q42" t="s">
        <v>557</v>
      </c>
      <c r="S42" t="s">
        <v>2556</v>
      </c>
      <c r="T42" s="1">
        <v>2000000</v>
      </c>
      <c r="U42">
        <v>10001453</v>
      </c>
      <c r="V42" s="1">
        <f>_xlfn.XLOOKUP(U42,Monitoring!A:A,Monitoring!Z:Z)</f>
        <v>5000000</v>
      </c>
      <c r="W42" s="12">
        <f t="shared" si="0"/>
        <v>0</v>
      </c>
      <c r="X42" s="1"/>
      <c r="Y42" s="12"/>
    </row>
    <row r="43" spans="1:25" x14ac:dyDescent="0.35">
      <c r="A43" t="s">
        <v>1</v>
      </c>
      <c r="B43" t="s">
        <v>558</v>
      </c>
      <c r="C43" t="s">
        <v>559</v>
      </c>
      <c r="D43" t="s">
        <v>560</v>
      </c>
      <c r="E43" s="1">
        <v>3000000</v>
      </c>
      <c r="F43" s="1">
        <f t="shared" ref="F43" si="3">E43</f>
        <v>3000000</v>
      </c>
      <c r="G43" s="1">
        <f t="shared" si="1"/>
        <v>0</v>
      </c>
      <c r="H43" s="1" t="s">
        <v>545</v>
      </c>
      <c r="I43" t="s">
        <v>520</v>
      </c>
      <c r="J43" t="s">
        <v>561</v>
      </c>
      <c r="N43" t="s">
        <v>532</v>
      </c>
      <c r="P43" t="s">
        <v>562</v>
      </c>
      <c r="Q43" t="s">
        <v>557</v>
      </c>
      <c r="W43" s="12">
        <f t="shared" si="0"/>
        <v>0</v>
      </c>
    </row>
    <row r="44" spans="1:25" x14ac:dyDescent="0.35">
      <c r="A44" t="s">
        <v>1</v>
      </c>
      <c r="B44" t="s">
        <v>563</v>
      </c>
      <c r="C44" t="s">
        <v>559</v>
      </c>
      <c r="D44" t="s">
        <v>564</v>
      </c>
      <c r="E44" s="1">
        <v>5000000</v>
      </c>
      <c r="F44" s="1">
        <f>E44</f>
        <v>5000000</v>
      </c>
      <c r="G44" s="1">
        <f t="shared" si="1"/>
        <v>0</v>
      </c>
      <c r="H44" s="1" t="s">
        <v>545</v>
      </c>
      <c r="I44" t="s">
        <v>520</v>
      </c>
      <c r="J44" t="s">
        <v>555</v>
      </c>
      <c r="N44" t="s">
        <v>532</v>
      </c>
      <c r="P44" t="s">
        <v>562</v>
      </c>
      <c r="Q44" t="s">
        <v>557</v>
      </c>
      <c r="W44" s="12">
        <f t="shared" si="0"/>
        <v>0</v>
      </c>
    </row>
    <row r="45" spans="1:25" x14ac:dyDescent="0.35">
      <c r="A45" t="s">
        <v>1</v>
      </c>
      <c r="B45" t="s">
        <v>565</v>
      </c>
      <c r="C45" t="s">
        <v>566</v>
      </c>
      <c r="D45" t="s">
        <v>567</v>
      </c>
      <c r="E45" s="1">
        <v>3000000</v>
      </c>
      <c r="F45" s="1"/>
      <c r="G45" s="1">
        <f t="shared" si="1"/>
        <v>3000000</v>
      </c>
      <c r="H45" s="1" t="s">
        <v>545</v>
      </c>
      <c r="I45" t="s">
        <v>520</v>
      </c>
      <c r="J45" t="s">
        <v>555</v>
      </c>
      <c r="N45" t="s">
        <v>532</v>
      </c>
      <c r="P45" t="s">
        <v>506</v>
      </c>
      <c r="Q45" t="s">
        <v>547</v>
      </c>
      <c r="S45" s="2" t="s">
        <v>1804</v>
      </c>
      <c r="T45" s="2"/>
      <c r="U45">
        <v>10001435</v>
      </c>
      <c r="V45" s="1">
        <f>_xlfn.XLOOKUP(U45,Monitoring!A:A,Monitoring!Z:Z)</f>
        <v>3000000</v>
      </c>
      <c r="W45" s="12">
        <f t="shared" si="0"/>
        <v>0</v>
      </c>
      <c r="X45" s="1"/>
      <c r="Y45" s="12"/>
    </row>
    <row r="46" spans="1:25" x14ac:dyDescent="0.35">
      <c r="A46" t="s">
        <v>1</v>
      </c>
      <c r="B46" t="s">
        <v>568</v>
      </c>
      <c r="C46" t="s">
        <v>569</v>
      </c>
      <c r="D46" t="s">
        <v>554</v>
      </c>
      <c r="E46" s="1">
        <v>2000000</v>
      </c>
      <c r="F46" s="1"/>
      <c r="G46" s="1">
        <f t="shared" si="1"/>
        <v>2000000</v>
      </c>
      <c r="H46" s="1" t="s">
        <v>545</v>
      </c>
      <c r="I46" t="s">
        <v>520</v>
      </c>
      <c r="J46" t="s">
        <v>555</v>
      </c>
      <c r="N46" t="s">
        <v>532</v>
      </c>
      <c r="P46" t="s">
        <v>506</v>
      </c>
      <c r="S46" t="s">
        <v>3422</v>
      </c>
      <c r="T46" s="1">
        <v>-2000000</v>
      </c>
      <c r="W46" s="12">
        <f t="shared" si="0"/>
        <v>0</v>
      </c>
    </row>
    <row r="47" spans="1:25" x14ac:dyDescent="0.35">
      <c r="A47" t="s">
        <v>1</v>
      </c>
      <c r="B47" t="s">
        <v>570</v>
      </c>
      <c r="C47" t="s">
        <v>571</v>
      </c>
      <c r="D47" t="s">
        <v>572</v>
      </c>
      <c r="E47" s="1">
        <v>4000000</v>
      </c>
      <c r="F47" s="1"/>
      <c r="G47" s="1">
        <f t="shared" si="1"/>
        <v>4000000</v>
      </c>
      <c r="H47" s="1" t="s">
        <v>545</v>
      </c>
      <c r="I47" t="s">
        <v>520</v>
      </c>
      <c r="J47" t="s">
        <v>561</v>
      </c>
      <c r="N47" t="s">
        <v>573</v>
      </c>
      <c r="P47" t="s">
        <v>574</v>
      </c>
      <c r="S47" t="s">
        <v>3437</v>
      </c>
      <c r="T47" s="1">
        <v>-500000</v>
      </c>
      <c r="U47">
        <v>10001433</v>
      </c>
      <c r="V47" s="1">
        <f>_xlfn.XLOOKUP(U47,Monitoring!A:A,Monitoring!Z:Z)</f>
        <v>3500000</v>
      </c>
      <c r="W47" s="12">
        <f t="shared" si="0"/>
        <v>0</v>
      </c>
      <c r="X47" s="1"/>
      <c r="Y47" s="12"/>
    </row>
    <row r="48" spans="1:25" x14ac:dyDescent="0.35">
      <c r="A48" t="s">
        <v>1</v>
      </c>
      <c r="B48" t="s">
        <v>575</v>
      </c>
      <c r="C48" t="s">
        <v>576</v>
      </c>
      <c r="D48" t="s">
        <v>577</v>
      </c>
      <c r="E48" s="1">
        <v>5000000</v>
      </c>
      <c r="F48" s="1"/>
      <c r="G48" s="1">
        <f t="shared" si="1"/>
        <v>5000000</v>
      </c>
      <c r="H48" s="1" t="s">
        <v>519</v>
      </c>
      <c r="I48" t="s">
        <v>520</v>
      </c>
      <c r="J48" t="s">
        <v>526</v>
      </c>
      <c r="N48" t="s">
        <v>532</v>
      </c>
      <c r="P48" t="s">
        <v>506</v>
      </c>
      <c r="Q48" t="s">
        <v>578</v>
      </c>
      <c r="S48" t="s">
        <v>3438</v>
      </c>
      <c r="T48" s="1">
        <v>5000000</v>
      </c>
      <c r="U48">
        <v>10001457</v>
      </c>
      <c r="V48" s="1">
        <f>_xlfn.XLOOKUP(U48,Monitoring!A:A,Monitoring!Z:Z)</f>
        <v>5000000</v>
      </c>
      <c r="W48" s="12">
        <f t="shared" si="0"/>
        <v>5000000</v>
      </c>
      <c r="X48" s="1"/>
      <c r="Y48" s="12"/>
    </row>
    <row r="49" spans="1:25" x14ac:dyDescent="0.35">
      <c r="A49" t="s">
        <v>1</v>
      </c>
      <c r="B49" t="s">
        <v>579</v>
      </c>
      <c r="C49" t="s">
        <v>580</v>
      </c>
      <c r="D49" t="s">
        <v>581</v>
      </c>
      <c r="E49" s="1">
        <v>5000000</v>
      </c>
      <c r="F49" s="1"/>
      <c r="G49" s="1">
        <f t="shared" si="1"/>
        <v>5000000</v>
      </c>
      <c r="H49" s="1" t="s">
        <v>519</v>
      </c>
      <c r="I49" t="s">
        <v>520</v>
      </c>
      <c r="J49" t="s">
        <v>521</v>
      </c>
      <c r="N49" t="s">
        <v>582</v>
      </c>
      <c r="O49" t="s">
        <v>10</v>
      </c>
      <c r="P49" t="s">
        <v>506</v>
      </c>
      <c r="S49" s="2" t="s">
        <v>3192</v>
      </c>
      <c r="T49" s="1">
        <v>500000</v>
      </c>
      <c r="U49">
        <v>10001385</v>
      </c>
      <c r="V49" s="1">
        <f>_xlfn.XLOOKUP(U49,Monitoring!A:A,Monitoring!Z:Z)</f>
        <v>5500000</v>
      </c>
      <c r="W49" s="12">
        <f t="shared" si="0"/>
        <v>0</v>
      </c>
      <c r="X49" s="1"/>
      <c r="Y49" s="12"/>
    </row>
    <row r="50" spans="1:25" x14ac:dyDescent="0.35">
      <c r="A50" t="s">
        <v>1</v>
      </c>
      <c r="B50" t="s">
        <v>583</v>
      </c>
      <c r="C50" t="s">
        <v>584</v>
      </c>
      <c r="D50" t="s">
        <v>585</v>
      </c>
      <c r="E50" s="1">
        <v>4500000</v>
      </c>
      <c r="F50" s="1"/>
      <c r="G50" s="1">
        <f t="shared" si="1"/>
        <v>4500000</v>
      </c>
      <c r="H50" s="1"/>
      <c r="I50" t="s">
        <v>520</v>
      </c>
      <c r="J50" t="s">
        <v>521</v>
      </c>
      <c r="N50" t="s">
        <v>582</v>
      </c>
      <c r="P50" t="s">
        <v>506</v>
      </c>
      <c r="Q50" t="s">
        <v>586</v>
      </c>
      <c r="S50" t="s">
        <v>2141</v>
      </c>
      <c r="U50">
        <v>10001461</v>
      </c>
      <c r="V50" s="1">
        <f>_xlfn.XLOOKUP(U50,Monitoring!A:A,Monitoring!Z:Z)</f>
        <v>2000000</v>
      </c>
      <c r="W50" s="12">
        <f t="shared" si="0"/>
        <v>2500000</v>
      </c>
      <c r="X50" s="1"/>
      <c r="Y50" s="12"/>
    </row>
    <row r="51" spans="1:25" x14ac:dyDescent="0.35">
      <c r="A51" t="s">
        <v>1</v>
      </c>
      <c r="B51" t="s">
        <v>587</v>
      </c>
      <c r="C51" t="s">
        <v>588</v>
      </c>
      <c r="D51" t="s">
        <v>589</v>
      </c>
      <c r="E51" s="1">
        <v>9000000</v>
      </c>
      <c r="F51" s="1">
        <f>E51</f>
        <v>9000000</v>
      </c>
      <c r="G51" s="1">
        <f t="shared" si="1"/>
        <v>0</v>
      </c>
      <c r="H51" s="1" t="s">
        <v>519</v>
      </c>
      <c r="I51" t="s">
        <v>520</v>
      </c>
      <c r="J51" t="s">
        <v>590</v>
      </c>
      <c r="N51" t="s">
        <v>582</v>
      </c>
      <c r="P51" t="s">
        <v>506</v>
      </c>
      <c r="Q51" t="s">
        <v>591</v>
      </c>
      <c r="W51" s="12">
        <f t="shared" si="0"/>
        <v>0</v>
      </c>
    </row>
    <row r="52" spans="1:25" x14ac:dyDescent="0.35">
      <c r="A52" t="s">
        <v>1</v>
      </c>
      <c r="B52" t="s">
        <v>592</v>
      </c>
      <c r="C52" t="s">
        <v>593</v>
      </c>
      <c r="D52" t="s">
        <v>594</v>
      </c>
      <c r="E52" s="1">
        <v>3000000</v>
      </c>
      <c r="F52" s="1"/>
      <c r="G52" s="1">
        <f t="shared" si="1"/>
        <v>3000000</v>
      </c>
      <c r="H52" s="1" t="s">
        <v>519</v>
      </c>
      <c r="I52" t="s">
        <v>520</v>
      </c>
      <c r="J52" t="s">
        <v>521</v>
      </c>
      <c r="N52" t="s">
        <v>582</v>
      </c>
      <c r="P52" t="s">
        <v>595</v>
      </c>
      <c r="Q52" t="s">
        <v>596</v>
      </c>
      <c r="S52" t="s">
        <v>874</v>
      </c>
      <c r="U52">
        <v>10001448</v>
      </c>
      <c r="V52" s="1">
        <f>_xlfn.XLOOKUP(U52,Monitoring!A:A,Monitoring!Z:Z)</f>
        <v>3000000</v>
      </c>
      <c r="W52" s="12">
        <f t="shared" si="0"/>
        <v>0</v>
      </c>
      <c r="X52" s="1"/>
      <c r="Y52" s="12"/>
    </row>
    <row r="53" spans="1:25" x14ac:dyDescent="0.35">
      <c r="A53" t="s">
        <v>1</v>
      </c>
      <c r="B53" t="s">
        <v>597</v>
      </c>
      <c r="C53" t="s">
        <v>524</v>
      </c>
      <c r="D53" t="s">
        <v>598</v>
      </c>
      <c r="E53" s="1">
        <v>3000000</v>
      </c>
      <c r="F53" s="1"/>
      <c r="G53" s="1">
        <f t="shared" si="1"/>
        <v>3000000</v>
      </c>
      <c r="H53" s="1" t="s">
        <v>519</v>
      </c>
      <c r="I53" t="s">
        <v>520</v>
      </c>
      <c r="J53" t="s">
        <v>526</v>
      </c>
      <c r="N53" t="s">
        <v>582</v>
      </c>
      <c r="P53" t="s">
        <v>506</v>
      </c>
      <c r="W53" s="12">
        <f t="shared" si="0"/>
        <v>3000000</v>
      </c>
    </row>
    <row r="54" spans="1:25" x14ac:dyDescent="0.35">
      <c r="A54" t="s">
        <v>1</v>
      </c>
      <c r="B54" t="s">
        <v>599</v>
      </c>
      <c r="C54" t="s">
        <v>528</v>
      </c>
      <c r="D54" t="s">
        <v>600</v>
      </c>
      <c r="E54" s="1">
        <v>3000000</v>
      </c>
      <c r="F54" s="1"/>
      <c r="G54" s="1">
        <f t="shared" si="1"/>
        <v>3000000</v>
      </c>
      <c r="H54" s="1" t="s">
        <v>519</v>
      </c>
      <c r="I54" t="s">
        <v>520</v>
      </c>
      <c r="J54" t="s">
        <v>521</v>
      </c>
      <c r="N54" t="s">
        <v>582</v>
      </c>
      <c r="P54" t="s">
        <v>506</v>
      </c>
      <c r="S54" t="s">
        <v>886</v>
      </c>
      <c r="U54">
        <v>10001449</v>
      </c>
      <c r="V54" s="1">
        <f>_xlfn.XLOOKUP(U54,Monitoring!A:A,Monitoring!Z:Z)</f>
        <v>3000000</v>
      </c>
      <c r="W54" s="12">
        <f t="shared" si="0"/>
        <v>0</v>
      </c>
      <c r="X54" s="1"/>
      <c r="Y54" s="12"/>
    </row>
    <row r="55" spans="1:25" x14ac:dyDescent="0.35">
      <c r="A55" t="s">
        <v>1</v>
      </c>
      <c r="B55" t="s">
        <v>601</v>
      </c>
      <c r="C55" t="s">
        <v>602</v>
      </c>
      <c r="D55" t="s">
        <v>603</v>
      </c>
      <c r="E55" s="1">
        <v>2500000</v>
      </c>
      <c r="F55" s="1"/>
      <c r="G55" s="1">
        <f t="shared" si="1"/>
        <v>2500000</v>
      </c>
      <c r="H55" s="1" t="s">
        <v>519</v>
      </c>
      <c r="I55" t="s">
        <v>520</v>
      </c>
      <c r="J55" t="s">
        <v>604</v>
      </c>
      <c r="N55" t="s">
        <v>582</v>
      </c>
      <c r="P55" t="s">
        <v>605</v>
      </c>
      <c r="S55" t="s">
        <v>796</v>
      </c>
      <c r="U55">
        <v>10001445</v>
      </c>
      <c r="V55" s="1">
        <f>_xlfn.XLOOKUP(U55,Monitoring!A:A,Monitoring!Z:Z)</f>
        <v>2500000</v>
      </c>
      <c r="W55" s="12">
        <f t="shared" si="0"/>
        <v>0</v>
      </c>
      <c r="X55" s="1"/>
      <c r="Y55" s="12"/>
    </row>
    <row r="56" spans="1:25" x14ac:dyDescent="0.35">
      <c r="A56" t="s">
        <v>1</v>
      </c>
      <c r="B56" t="s">
        <v>606</v>
      </c>
      <c r="C56" t="s">
        <v>607</v>
      </c>
      <c r="D56" t="s">
        <v>608</v>
      </c>
      <c r="E56" s="1">
        <v>1500000</v>
      </c>
      <c r="F56" s="1">
        <v>750000</v>
      </c>
      <c r="G56" s="1">
        <f t="shared" si="1"/>
        <v>750000</v>
      </c>
      <c r="H56" s="1" t="s">
        <v>519</v>
      </c>
      <c r="I56" t="s">
        <v>520</v>
      </c>
      <c r="J56" t="s">
        <v>604</v>
      </c>
      <c r="N56" t="s">
        <v>582</v>
      </c>
      <c r="P56" t="s">
        <v>506</v>
      </c>
      <c r="W56" s="12">
        <f t="shared" si="0"/>
        <v>750000</v>
      </c>
    </row>
    <row r="57" spans="1:25" x14ac:dyDescent="0.35">
      <c r="A57" t="s">
        <v>1</v>
      </c>
      <c r="B57" t="s">
        <v>609</v>
      </c>
      <c r="C57" t="s">
        <v>610</v>
      </c>
      <c r="D57" t="s">
        <v>611</v>
      </c>
      <c r="E57" s="1">
        <v>3500000</v>
      </c>
      <c r="F57" s="1"/>
      <c r="G57" s="1">
        <f t="shared" si="1"/>
        <v>3500000</v>
      </c>
      <c r="H57" s="1" t="s">
        <v>519</v>
      </c>
      <c r="I57" t="s">
        <v>520</v>
      </c>
      <c r="J57" t="s">
        <v>612</v>
      </c>
      <c r="N57" t="s">
        <v>582</v>
      </c>
      <c r="P57" t="s">
        <v>506</v>
      </c>
      <c r="S57" t="s">
        <v>3436</v>
      </c>
      <c r="T57" s="1">
        <v>-3500000</v>
      </c>
      <c r="W57" s="12">
        <f t="shared" si="0"/>
        <v>0</v>
      </c>
    </row>
    <row r="58" spans="1:25" x14ac:dyDescent="0.35">
      <c r="A58" t="s">
        <v>1</v>
      </c>
      <c r="B58" t="s">
        <v>613</v>
      </c>
      <c r="C58" t="s">
        <v>610</v>
      </c>
      <c r="D58" t="s">
        <v>614</v>
      </c>
      <c r="E58" s="1">
        <v>3000000</v>
      </c>
      <c r="F58" s="1"/>
      <c r="G58" s="1">
        <f t="shared" si="1"/>
        <v>3000000</v>
      </c>
      <c r="H58" s="1" t="s">
        <v>519</v>
      </c>
      <c r="I58" t="s">
        <v>520</v>
      </c>
      <c r="J58" t="s">
        <v>612</v>
      </c>
      <c r="N58" t="s">
        <v>582</v>
      </c>
      <c r="P58" t="s">
        <v>506</v>
      </c>
      <c r="S58" s="2" t="s">
        <v>820</v>
      </c>
      <c r="T58" s="2"/>
      <c r="U58">
        <v>40001266</v>
      </c>
      <c r="V58" s="1">
        <f>_xlfn.XLOOKUP(U58,Monitoring!A:A,Monitoring!Z:Z)</f>
        <v>3000000</v>
      </c>
      <c r="W58" s="12">
        <f t="shared" si="0"/>
        <v>0</v>
      </c>
      <c r="X58" s="1"/>
      <c r="Y58" s="12"/>
    </row>
    <row r="59" spans="1:25" x14ac:dyDescent="0.35">
      <c r="A59" t="s">
        <v>1</v>
      </c>
      <c r="B59" t="s">
        <v>615</v>
      </c>
      <c r="C59" t="s">
        <v>616</v>
      </c>
      <c r="D59" t="s">
        <v>617</v>
      </c>
      <c r="E59" s="1">
        <v>1500000</v>
      </c>
      <c r="F59" s="1">
        <f>E59</f>
        <v>1500000</v>
      </c>
      <c r="G59" s="1">
        <f>E59-F59</f>
        <v>0</v>
      </c>
      <c r="I59" t="s">
        <v>520</v>
      </c>
      <c r="W59" s="12">
        <f t="shared" si="0"/>
        <v>0</v>
      </c>
    </row>
    <row r="60" spans="1:25" x14ac:dyDescent="0.35">
      <c r="A60" t="s">
        <v>1</v>
      </c>
      <c r="B60" t="s">
        <v>618</v>
      </c>
      <c r="C60" t="s">
        <v>616</v>
      </c>
      <c r="D60" t="s">
        <v>619</v>
      </c>
      <c r="E60" s="1">
        <v>400000</v>
      </c>
      <c r="F60" s="1">
        <f>E60</f>
        <v>400000</v>
      </c>
      <c r="G60" s="1">
        <f>E60-F60</f>
        <v>0</v>
      </c>
      <c r="I60" t="s">
        <v>520</v>
      </c>
      <c r="W60" s="12">
        <f t="shared" si="0"/>
        <v>0</v>
      </c>
    </row>
    <row r="61" spans="1:25" x14ac:dyDescent="0.35">
      <c r="A61" t="s">
        <v>1</v>
      </c>
      <c r="B61" t="s">
        <v>620</v>
      </c>
      <c r="C61" t="s">
        <v>616</v>
      </c>
      <c r="D61" t="s">
        <v>621</v>
      </c>
      <c r="E61" s="1">
        <v>1000000</v>
      </c>
      <c r="F61" s="1"/>
      <c r="G61" s="1">
        <f>E61-F61</f>
        <v>1000000</v>
      </c>
      <c r="I61" t="s">
        <v>520</v>
      </c>
      <c r="P61" t="s">
        <v>622</v>
      </c>
      <c r="S61" t="s">
        <v>3432</v>
      </c>
      <c r="T61" s="1"/>
      <c r="U61">
        <v>40001309</v>
      </c>
      <c r="V61" s="1">
        <f>_xlfn.XLOOKUP(U61,Monitoring!A:A,Monitoring!Z:Z)</f>
        <v>1000000</v>
      </c>
      <c r="W61" s="12">
        <f t="shared" si="0"/>
        <v>0</v>
      </c>
      <c r="X61" s="1"/>
      <c r="Y61" s="12"/>
    </row>
    <row r="62" spans="1:25" x14ac:dyDescent="0.35">
      <c r="A62" t="s">
        <v>1</v>
      </c>
      <c r="B62" t="s">
        <v>623</v>
      </c>
      <c r="C62" t="s">
        <v>616</v>
      </c>
      <c r="D62" t="s">
        <v>624</v>
      </c>
      <c r="E62" s="1">
        <v>2000000</v>
      </c>
      <c r="F62" s="1"/>
      <c r="G62" s="1">
        <f>E62-F62</f>
        <v>2000000</v>
      </c>
      <c r="I62" t="s">
        <v>520</v>
      </c>
      <c r="S62" t="s">
        <v>3154</v>
      </c>
      <c r="U62">
        <v>40001300</v>
      </c>
      <c r="V62" s="1">
        <f>_xlfn.XLOOKUP(U62,Monitoring!A:A,Monitoring!Z:Z)</f>
        <v>2000000</v>
      </c>
      <c r="W62" s="12">
        <f t="shared" si="0"/>
        <v>0</v>
      </c>
      <c r="X62" s="1"/>
      <c r="Y62" s="12"/>
    </row>
    <row r="63" spans="1:25" x14ac:dyDescent="0.35">
      <c r="A63" t="s">
        <v>116</v>
      </c>
      <c r="B63">
        <v>10001072</v>
      </c>
      <c r="D63" t="s">
        <v>625</v>
      </c>
      <c r="E63" s="1">
        <v>142000</v>
      </c>
      <c r="F63" s="1"/>
      <c r="G63" s="1">
        <f t="shared" si="1"/>
        <v>142000</v>
      </c>
      <c r="H63" s="1"/>
      <c r="I63" t="s">
        <v>520</v>
      </c>
      <c r="P63" s="1"/>
      <c r="Q63" s="12"/>
      <c r="U63">
        <v>10001072</v>
      </c>
      <c r="V63" s="1">
        <f>_xlfn.XLOOKUP(U63,Monitoring!A:A,Monitoring!Z:Z)</f>
        <v>142000</v>
      </c>
      <c r="W63" s="12">
        <f t="shared" si="0"/>
        <v>0</v>
      </c>
      <c r="X63" s="1"/>
      <c r="Y63" s="12"/>
    </row>
    <row r="64" spans="1:25" x14ac:dyDescent="0.35">
      <c r="A64" t="s">
        <v>116</v>
      </c>
      <c r="B64">
        <v>10001134</v>
      </c>
      <c r="D64" t="s">
        <v>626</v>
      </c>
      <c r="E64" s="1">
        <v>789517.86</v>
      </c>
      <c r="F64" s="1"/>
      <c r="G64" s="1">
        <f t="shared" si="1"/>
        <v>789517.86</v>
      </c>
      <c r="H64" s="1"/>
      <c r="I64" t="s">
        <v>520</v>
      </c>
      <c r="P64" s="1"/>
      <c r="Q64" s="12"/>
      <c r="U64">
        <v>10001134</v>
      </c>
      <c r="V64" s="1">
        <f>_xlfn.XLOOKUP(U64,Monitoring!A:A,Monitoring!Z:Z)</f>
        <v>789517.86</v>
      </c>
      <c r="W64" s="12">
        <f t="shared" si="0"/>
        <v>0</v>
      </c>
      <c r="X64" s="1"/>
      <c r="Y64" s="12"/>
    </row>
    <row r="65" spans="1:25" x14ac:dyDescent="0.35">
      <c r="A65" t="s">
        <v>116</v>
      </c>
      <c r="B65">
        <v>10001262</v>
      </c>
      <c r="D65" t="s">
        <v>627</v>
      </c>
      <c r="E65" s="1">
        <v>767321.42</v>
      </c>
      <c r="F65" s="1"/>
      <c r="G65" s="1">
        <f t="shared" si="1"/>
        <v>767321.42</v>
      </c>
      <c r="H65" s="1"/>
      <c r="I65" t="s">
        <v>520</v>
      </c>
      <c r="P65" s="1"/>
      <c r="Q65" s="12"/>
      <c r="U65">
        <v>10001262</v>
      </c>
      <c r="V65" s="1">
        <f>_xlfn.XLOOKUP(U65,Monitoring!A:A,Monitoring!Z:Z)</f>
        <v>767321.43</v>
      </c>
      <c r="W65" s="12">
        <f t="shared" si="0"/>
        <v>-1.0000000009313226E-2</v>
      </c>
      <c r="X65" s="1"/>
      <c r="Y65" s="12"/>
    </row>
    <row r="66" spans="1:25" x14ac:dyDescent="0.35">
      <c r="A66" t="s">
        <v>116</v>
      </c>
      <c r="B66">
        <v>10001254</v>
      </c>
      <c r="D66" t="s">
        <v>628</v>
      </c>
      <c r="E66" s="1">
        <v>32193.08</v>
      </c>
      <c r="F66" s="1"/>
      <c r="G66" s="1">
        <f t="shared" si="1"/>
        <v>32193.08</v>
      </c>
      <c r="H66" s="1"/>
      <c r="I66" t="s">
        <v>520</v>
      </c>
      <c r="P66" s="1"/>
      <c r="Q66" s="12"/>
      <c r="U66">
        <v>10001254</v>
      </c>
      <c r="V66" s="1">
        <f>_xlfn.XLOOKUP(U66,Monitoring!A:A,Monitoring!Z:Z)</f>
        <v>32193.08</v>
      </c>
      <c r="W66" s="12">
        <f t="shared" si="0"/>
        <v>0</v>
      </c>
      <c r="X66" s="1"/>
      <c r="Y66" s="12"/>
    </row>
    <row r="67" spans="1:25" x14ac:dyDescent="0.35">
      <c r="A67" t="s">
        <v>116</v>
      </c>
      <c r="B67">
        <v>10001288</v>
      </c>
      <c r="D67" t="s">
        <v>629</v>
      </c>
      <c r="E67" s="1">
        <v>7500</v>
      </c>
      <c r="F67" s="1"/>
      <c r="G67" s="1">
        <f t="shared" si="1"/>
        <v>7500</v>
      </c>
      <c r="H67" s="1"/>
      <c r="I67" t="s">
        <v>520</v>
      </c>
      <c r="P67" s="1"/>
      <c r="Q67" s="12"/>
      <c r="U67">
        <v>10001288</v>
      </c>
      <c r="V67" s="1">
        <f>_xlfn.XLOOKUP(U67,Monitoring!A:A,Monitoring!Z:Z)</f>
        <v>7500</v>
      </c>
      <c r="W67" s="12">
        <f t="shared" si="0"/>
        <v>0</v>
      </c>
      <c r="X67" s="1"/>
      <c r="Y67" s="12"/>
    </row>
    <row r="68" spans="1:25" x14ac:dyDescent="0.35">
      <c r="A68" t="s">
        <v>116</v>
      </c>
      <c r="B68">
        <v>10001289</v>
      </c>
      <c r="D68" t="s">
        <v>630</v>
      </c>
      <c r="E68" s="1">
        <v>42857.14</v>
      </c>
      <c r="F68" s="1"/>
      <c r="G68" s="1">
        <f t="shared" si="1"/>
        <v>42857.14</v>
      </c>
      <c r="H68" s="1"/>
      <c r="I68" t="s">
        <v>520</v>
      </c>
      <c r="P68" s="1"/>
      <c r="Q68" s="12"/>
      <c r="U68">
        <v>10001289</v>
      </c>
      <c r="V68" s="1">
        <f>_xlfn.XLOOKUP(U68,Monitoring!A:A,Monitoring!Z:Z)</f>
        <v>42857.14</v>
      </c>
      <c r="W68" s="12">
        <f t="shared" ref="W68:W84" si="4">G68+T68-V68</f>
        <v>0</v>
      </c>
      <c r="X68" s="1"/>
      <c r="Y68" s="12"/>
    </row>
    <row r="69" spans="1:25" x14ac:dyDescent="0.35">
      <c r="A69" t="s">
        <v>116</v>
      </c>
      <c r="B69">
        <v>40001214</v>
      </c>
      <c r="D69" t="s">
        <v>631</v>
      </c>
      <c r="E69" s="1">
        <v>46785.72</v>
      </c>
      <c r="F69" s="1"/>
      <c r="G69" s="1">
        <f t="shared" si="1"/>
        <v>46785.72</v>
      </c>
      <c r="H69" s="1"/>
      <c r="I69" t="s">
        <v>520</v>
      </c>
      <c r="P69" s="1"/>
      <c r="Q69" s="12"/>
      <c r="U69">
        <v>40001214</v>
      </c>
      <c r="V69" s="1">
        <f>_xlfn.XLOOKUP(U69,Monitoring!A:A,Monitoring!Z:Z)</f>
        <v>46785.72</v>
      </c>
      <c r="W69" s="12">
        <f t="shared" si="4"/>
        <v>0</v>
      </c>
      <c r="X69" s="1"/>
      <c r="Y69" s="12"/>
    </row>
    <row r="70" spans="1:25" x14ac:dyDescent="0.35">
      <c r="A70" t="s">
        <v>116</v>
      </c>
      <c r="B70">
        <v>10001294</v>
      </c>
      <c r="D70" t="s">
        <v>632</v>
      </c>
      <c r="E70" s="1">
        <v>3660714.29</v>
      </c>
      <c r="F70" s="1"/>
      <c r="G70" s="1">
        <f t="shared" si="1"/>
        <v>3660714.29</v>
      </c>
      <c r="H70" s="1"/>
      <c r="I70" t="s">
        <v>520</v>
      </c>
      <c r="P70" s="1"/>
      <c r="Q70" s="12"/>
      <c r="U70">
        <v>10001294</v>
      </c>
      <c r="V70" s="1">
        <f>_xlfn.XLOOKUP(U70,Monitoring!A:A,Monitoring!Z:Z)</f>
        <v>4560714.29</v>
      </c>
      <c r="W70" s="12">
        <f t="shared" si="4"/>
        <v>-900000</v>
      </c>
      <c r="X70" s="1"/>
      <c r="Y70" s="12"/>
    </row>
    <row r="71" spans="1:25" x14ac:dyDescent="0.35">
      <c r="A71" t="s">
        <v>116</v>
      </c>
      <c r="B71">
        <v>10001296</v>
      </c>
      <c r="D71" t="s">
        <v>633</v>
      </c>
      <c r="E71" s="1">
        <v>48435.32</v>
      </c>
      <c r="F71" s="1"/>
      <c r="G71" s="1">
        <f t="shared" si="1"/>
        <v>48435.32</v>
      </c>
      <c r="H71" s="1"/>
      <c r="I71" t="s">
        <v>520</v>
      </c>
      <c r="P71" s="1"/>
      <c r="Q71" s="12"/>
      <c r="S71" t="s">
        <v>739</v>
      </c>
      <c r="T71" s="1">
        <v>458035.71</v>
      </c>
      <c r="U71">
        <v>10001296</v>
      </c>
      <c r="V71" s="1">
        <f>48435.32+458035.71</f>
        <v>506471.03</v>
      </c>
      <c r="W71" s="12">
        <f t="shared" si="4"/>
        <v>0</v>
      </c>
      <c r="X71" s="1"/>
      <c r="Y71" s="12"/>
    </row>
    <row r="72" spans="1:25" x14ac:dyDescent="0.35">
      <c r="A72" t="s">
        <v>116</v>
      </c>
      <c r="B72">
        <v>10001302</v>
      </c>
      <c r="D72" t="s">
        <v>634</v>
      </c>
      <c r="E72" s="1">
        <v>278743.18</v>
      </c>
      <c r="F72" s="1"/>
      <c r="G72" s="1">
        <f t="shared" si="1"/>
        <v>278743.18</v>
      </c>
      <c r="H72" s="1"/>
      <c r="I72" t="s">
        <v>520</v>
      </c>
      <c r="P72" s="1"/>
      <c r="Q72" s="12"/>
      <c r="U72">
        <v>10001302</v>
      </c>
      <c r="V72" s="1">
        <f>_xlfn.XLOOKUP(U72,Monitoring!A:A,Monitoring!Z:Z)</f>
        <v>278743.18</v>
      </c>
      <c r="W72" s="12">
        <f t="shared" si="4"/>
        <v>0</v>
      </c>
      <c r="X72" s="1"/>
      <c r="Y72" s="12"/>
    </row>
    <row r="73" spans="1:25" x14ac:dyDescent="0.35">
      <c r="A73" t="s">
        <v>116</v>
      </c>
      <c r="B73">
        <v>10001305</v>
      </c>
      <c r="D73" t="s">
        <v>635</v>
      </c>
      <c r="E73" s="1">
        <v>356250</v>
      </c>
      <c r="F73" s="1"/>
      <c r="G73" s="1">
        <f t="shared" si="1"/>
        <v>356250</v>
      </c>
      <c r="H73" s="1"/>
      <c r="I73" t="s">
        <v>520</v>
      </c>
      <c r="P73" s="1"/>
      <c r="Q73" s="12"/>
      <c r="U73">
        <v>10001305</v>
      </c>
      <c r="V73" s="1">
        <f>_xlfn.XLOOKUP(U73,Monitoring!A:A,Monitoring!Z:Z)</f>
        <v>356250</v>
      </c>
      <c r="W73" s="12">
        <f t="shared" si="4"/>
        <v>0</v>
      </c>
      <c r="X73" s="1"/>
      <c r="Y73" s="12"/>
    </row>
    <row r="74" spans="1:25" x14ac:dyDescent="0.35">
      <c r="A74" t="s">
        <v>116</v>
      </c>
      <c r="B74">
        <v>10001312</v>
      </c>
      <c r="D74" t="s">
        <v>636</v>
      </c>
      <c r="E74" s="1">
        <v>12232.14</v>
      </c>
      <c r="F74" s="1"/>
      <c r="G74" s="1">
        <f t="shared" si="1"/>
        <v>12232.14</v>
      </c>
      <c r="H74" s="1"/>
      <c r="I74" t="s">
        <v>520</v>
      </c>
      <c r="P74" s="1"/>
      <c r="Q74" s="12"/>
      <c r="U74">
        <v>10001312</v>
      </c>
      <c r="V74" s="1">
        <f>_xlfn.XLOOKUP(U74,Monitoring!A:A,Monitoring!Z:Z)</f>
        <v>12232.14</v>
      </c>
      <c r="W74" s="12">
        <f t="shared" si="4"/>
        <v>0</v>
      </c>
      <c r="X74" s="1"/>
      <c r="Y74" s="12"/>
    </row>
    <row r="75" spans="1:25" x14ac:dyDescent="0.35">
      <c r="A75" t="s">
        <v>116</v>
      </c>
      <c r="B75">
        <v>10001315</v>
      </c>
      <c r="D75" t="s">
        <v>637</v>
      </c>
      <c r="E75" s="1">
        <v>26321.43</v>
      </c>
      <c r="F75" s="1"/>
      <c r="G75" s="1">
        <f t="shared" si="1"/>
        <v>26321.43</v>
      </c>
      <c r="H75" s="1"/>
      <c r="I75" t="s">
        <v>520</v>
      </c>
      <c r="P75" s="1"/>
      <c r="Q75" s="12"/>
      <c r="U75">
        <v>10001315</v>
      </c>
      <c r="V75" s="1">
        <f>_xlfn.XLOOKUP(U75,Monitoring!A:A,Monitoring!Z:Z)</f>
        <v>26321.43</v>
      </c>
      <c r="W75" s="12">
        <f t="shared" si="4"/>
        <v>0</v>
      </c>
      <c r="X75" s="1"/>
      <c r="Y75" s="12"/>
    </row>
    <row r="76" spans="1:25" x14ac:dyDescent="0.35">
      <c r="A76" t="s">
        <v>116</v>
      </c>
      <c r="B76">
        <v>10001342</v>
      </c>
      <c r="D76" t="s">
        <v>638</v>
      </c>
      <c r="E76" s="1">
        <v>341960.05</v>
      </c>
      <c r="F76" s="1"/>
      <c r="G76" s="1">
        <f t="shared" si="1"/>
        <v>341960.05</v>
      </c>
      <c r="I76" t="s">
        <v>520</v>
      </c>
      <c r="P76" s="1"/>
      <c r="Q76" s="12"/>
      <c r="U76">
        <v>10001342</v>
      </c>
      <c r="V76" s="1">
        <f>_xlfn.XLOOKUP(U76,Monitoring!A:A,Monitoring!Z:Z)</f>
        <v>341960.05</v>
      </c>
      <c r="W76" s="12">
        <f t="shared" si="4"/>
        <v>0</v>
      </c>
      <c r="X76" s="1"/>
      <c r="Y76" s="12"/>
    </row>
    <row r="77" spans="1:25" x14ac:dyDescent="0.35">
      <c r="A77" t="s">
        <v>116</v>
      </c>
      <c r="B77">
        <v>10001348</v>
      </c>
      <c r="D77" t="s">
        <v>639</v>
      </c>
      <c r="E77" s="1">
        <v>486257.14</v>
      </c>
      <c r="F77" s="1"/>
      <c r="G77" s="1">
        <f t="shared" si="1"/>
        <v>486257.14</v>
      </c>
      <c r="I77" t="s">
        <v>520</v>
      </c>
      <c r="P77" s="1"/>
      <c r="Q77" s="12"/>
      <c r="U77">
        <v>10001348</v>
      </c>
      <c r="V77" s="1">
        <f>_xlfn.XLOOKUP(U77,Monitoring!A:A,Monitoring!Z:Z)</f>
        <v>486257.14</v>
      </c>
      <c r="W77" s="12">
        <f t="shared" si="4"/>
        <v>0</v>
      </c>
      <c r="X77" s="1"/>
      <c r="Y77" s="12"/>
    </row>
    <row r="78" spans="1:25" x14ac:dyDescent="0.35">
      <c r="A78" t="s">
        <v>116</v>
      </c>
      <c r="B78">
        <v>10001374</v>
      </c>
      <c r="D78" t="s">
        <v>640</v>
      </c>
      <c r="E78" s="1">
        <v>1316964.29</v>
      </c>
      <c r="F78" s="1"/>
      <c r="G78" s="1">
        <f t="shared" si="1"/>
        <v>1316964.29</v>
      </c>
      <c r="I78" t="s">
        <v>520</v>
      </c>
      <c r="P78" s="1"/>
      <c r="Q78" s="12"/>
      <c r="U78">
        <v>10001374</v>
      </c>
      <c r="V78" s="1">
        <f>_xlfn.XLOOKUP(U78,Monitoring!A:A,Monitoring!Z:Z)</f>
        <v>1316964.29</v>
      </c>
      <c r="W78" s="12">
        <f t="shared" si="4"/>
        <v>0</v>
      </c>
      <c r="X78" s="1"/>
      <c r="Y78" s="12"/>
    </row>
    <row r="79" spans="1:25" x14ac:dyDescent="0.35">
      <c r="A79" t="s">
        <v>1</v>
      </c>
      <c r="S79" t="s">
        <v>814</v>
      </c>
      <c r="U79">
        <v>10001446</v>
      </c>
      <c r="V79" s="1">
        <f>_xlfn.XLOOKUP(U79,Monitoring!A:A,Monitoring!Z:Z)</f>
        <v>8000000</v>
      </c>
      <c r="W79" s="12">
        <f t="shared" si="4"/>
        <v>-8000000</v>
      </c>
      <c r="X79" s="1"/>
      <c r="Y79" s="12"/>
    </row>
    <row r="80" spans="1:25" x14ac:dyDescent="0.35">
      <c r="A80" t="s">
        <v>1</v>
      </c>
      <c r="S80" s="62" t="s">
        <v>3440</v>
      </c>
      <c r="T80" s="28">
        <v>-1000000</v>
      </c>
      <c r="U80">
        <v>10001452</v>
      </c>
      <c r="V80" s="1">
        <f>_xlfn.XLOOKUP(U80,Monitoring!A:A,Monitoring!Z:Z)</f>
        <v>8100000</v>
      </c>
      <c r="W80" s="12">
        <f t="shared" si="4"/>
        <v>-9100000</v>
      </c>
      <c r="X80" s="1"/>
      <c r="Y80" s="12"/>
    </row>
    <row r="81" spans="1:25" x14ac:dyDescent="0.35">
      <c r="A81" t="s">
        <v>1</v>
      </c>
      <c r="S81" s="62" t="s">
        <v>1831</v>
      </c>
      <c r="T81" s="62"/>
      <c r="U81">
        <v>10001450</v>
      </c>
      <c r="V81" s="1">
        <f>_xlfn.XLOOKUP(U81,Monitoring!A:A,Monitoring!Z:Z)</f>
        <v>7000000</v>
      </c>
      <c r="W81" s="12">
        <f t="shared" si="4"/>
        <v>-7000000</v>
      </c>
      <c r="X81" s="1"/>
      <c r="Y81" s="12"/>
    </row>
    <row r="82" spans="1:25" x14ac:dyDescent="0.35">
      <c r="A82" t="s">
        <v>1</v>
      </c>
      <c r="S82" t="s">
        <v>1862</v>
      </c>
      <c r="U82">
        <v>10001455</v>
      </c>
      <c r="V82" s="1">
        <f>_xlfn.XLOOKUP(U82,Monitoring!A:A,Monitoring!Z:Z)</f>
        <v>7100000</v>
      </c>
      <c r="W82" s="12">
        <f t="shared" si="4"/>
        <v>-7100000</v>
      </c>
      <c r="X82" s="1"/>
      <c r="Y82" s="12"/>
    </row>
    <row r="83" spans="1:25" x14ac:dyDescent="0.35">
      <c r="A83" t="s">
        <v>1</v>
      </c>
      <c r="S83" t="s">
        <v>2116</v>
      </c>
      <c r="U83">
        <v>10001459</v>
      </c>
      <c r="V83" s="1">
        <f>_xlfn.XLOOKUP(U83,Monitoring!A:A,Monitoring!Z:Z)</f>
        <v>5500000</v>
      </c>
      <c r="W83" s="12">
        <f t="shared" si="4"/>
        <v>-5500000</v>
      </c>
      <c r="X83" s="1"/>
      <c r="Y83" s="12"/>
    </row>
    <row r="84" spans="1:25" x14ac:dyDescent="0.35">
      <c r="A84" t="s">
        <v>1</v>
      </c>
      <c r="S84" t="s">
        <v>2528</v>
      </c>
      <c r="T84" s="1">
        <v>645000</v>
      </c>
      <c r="U84">
        <v>10001462</v>
      </c>
      <c r="V84" s="1">
        <f>_xlfn.XLOOKUP(U84,Monitoring!A:A,Monitoring!Z:Z)</f>
        <v>645000</v>
      </c>
      <c r="W84" s="12">
        <f t="shared" si="4"/>
        <v>0</v>
      </c>
      <c r="X84" s="1"/>
      <c r="Y84" s="12"/>
    </row>
  </sheetData>
  <sheetProtection formatColumns="0" formatRows="0" autoFilter="0" pivotTables="0"/>
  <autoFilter ref="A2:W84" xr:uid="{1E803D63-05F1-4C85-AA2C-171AC45939D0}"/>
  <conditionalFormatting sqref="U1:U1048576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D9C44-71B3-4698-AAD1-099FD9297D95}">
  <sheetPr>
    <tabColor theme="9" tint="0.79998168889431442"/>
  </sheetPr>
  <dimension ref="A1:L29"/>
  <sheetViews>
    <sheetView zoomScale="70" zoomScaleNormal="70" workbookViewId="0">
      <selection activeCell="M4" sqref="M4"/>
    </sheetView>
  </sheetViews>
  <sheetFormatPr defaultRowHeight="14.5" x14ac:dyDescent="0.35"/>
  <cols>
    <col min="1" max="1" width="10.1796875" bestFit="1" customWidth="1"/>
    <col min="2" max="2" width="19" bestFit="1" customWidth="1"/>
    <col min="3" max="3" width="9.54296875" bestFit="1" customWidth="1"/>
    <col min="4" max="4" width="71.08984375" bestFit="1" customWidth="1"/>
    <col min="5" max="5" width="16.54296875" bestFit="1" customWidth="1"/>
    <col min="6" max="6" width="9" bestFit="1" customWidth="1"/>
    <col min="7" max="7" width="13" bestFit="1" customWidth="1"/>
    <col min="8" max="8" width="14.1796875" bestFit="1" customWidth="1"/>
    <col min="9" max="10" width="14.1796875" customWidth="1"/>
    <col min="11" max="11" width="13.7265625" bestFit="1" customWidth="1"/>
    <col min="12" max="12" width="15.90625" bestFit="1" customWidth="1"/>
  </cols>
  <sheetData>
    <row r="1" spans="1:12" x14ac:dyDescent="0.35">
      <c r="E1" s="14">
        <f>E3-E2</f>
        <v>60000000</v>
      </c>
      <c r="F1" s="10" t="s">
        <v>125</v>
      </c>
    </row>
    <row r="2" spans="1:12" x14ac:dyDescent="0.35">
      <c r="E2" s="6">
        <f>SUMIF(G:G,"Special Project",E:E)</f>
        <v>101835038.58000001</v>
      </c>
      <c r="F2" s="11" t="s">
        <v>126</v>
      </c>
    </row>
    <row r="3" spans="1:12" x14ac:dyDescent="0.35">
      <c r="E3" s="6">
        <f>SUBTOTAL(9,E5:E1048576)</f>
        <v>161835038.58000001</v>
      </c>
      <c r="F3" s="11" t="s">
        <v>127</v>
      </c>
      <c r="K3" s="6">
        <f t="shared" ref="K3:L3" si="0">SUBTOTAL(9,K5:K1048576)</f>
        <v>6237811.2599999998</v>
      </c>
      <c r="L3" s="6">
        <f t="shared" si="0"/>
        <v>132743744.15000001</v>
      </c>
    </row>
    <row r="4" spans="1:12" x14ac:dyDescent="0.35">
      <c r="A4" s="4" t="s">
        <v>321</v>
      </c>
      <c r="B4" s="4" t="s">
        <v>129</v>
      </c>
      <c r="C4" s="4" t="s">
        <v>360</v>
      </c>
      <c r="D4" s="4" t="s">
        <v>64</v>
      </c>
      <c r="E4" s="4" t="s">
        <v>83</v>
      </c>
      <c r="F4" s="4" t="s">
        <v>130</v>
      </c>
      <c r="G4" s="4" t="s">
        <v>67</v>
      </c>
      <c r="I4" s="4" t="s">
        <v>3417</v>
      </c>
      <c r="J4" s="4" t="s">
        <v>3416</v>
      </c>
      <c r="K4" s="4" t="s">
        <v>395</v>
      </c>
      <c r="L4" s="4" t="s">
        <v>462</v>
      </c>
    </row>
    <row r="5" spans="1:12" x14ac:dyDescent="0.35">
      <c r="A5" t="s">
        <v>110</v>
      </c>
      <c r="B5" t="s">
        <v>361</v>
      </c>
      <c r="D5" t="s">
        <v>362</v>
      </c>
      <c r="E5" s="12">
        <v>22853483.170000002</v>
      </c>
      <c r="F5" t="s">
        <v>1</v>
      </c>
      <c r="G5" t="s">
        <v>363</v>
      </c>
    </row>
    <row r="6" spans="1:12" x14ac:dyDescent="0.35">
      <c r="A6" t="s">
        <v>110</v>
      </c>
      <c r="B6" t="s">
        <v>364</v>
      </c>
      <c r="D6" s="23" t="s">
        <v>365</v>
      </c>
      <c r="E6" s="24">
        <v>1800000</v>
      </c>
      <c r="F6" t="s">
        <v>1</v>
      </c>
      <c r="G6" t="s">
        <v>363</v>
      </c>
      <c r="H6" s="2" t="s">
        <v>765</v>
      </c>
      <c r="I6" s="2"/>
      <c r="J6" s="2"/>
      <c r="K6" s="1">
        <v>1800000</v>
      </c>
      <c r="L6" s="12">
        <f>E6-K6</f>
        <v>0</v>
      </c>
    </row>
    <row r="7" spans="1:12" x14ac:dyDescent="0.35">
      <c r="A7" t="s">
        <v>110</v>
      </c>
      <c r="B7" t="s">
        <v>366</v>
      </c>
      <c r="D7" s="23" t="s">
        <v>367</v>
      </c>
      <c r="E7" s="24">
        <v>1500000</v>
      </c>
      <c r="F7" t="s">
        <v>1</v>
      </c>
      <c r="G7" t="s">
        <v>363</v>
      </c>
      <c r="H7" s="2" t="s">
        <v>776</v>
      </c>
      <c r="I7" s="2"/>
      <c r="J7" s="2"/>
      <c r="K7" s="1">
        <v>1500000</v>
      </c>
      <c r="L7" s="12">
        <f t="shared" ref="L7:L29" si="1">E7-K7</f>
        <v>0</v>
      </c>
    </row>
    <row r="8" spans="1:12" x14ac:dyDescent="0.35">
      <c r="A8" t="s">
        <v>110</v>
      </c>
      <c r="B8" t="s">
        <v>368</v>
      </c>
      <c r="D8" s="23" t="s">
        <v>369</v>
      </c>
      <c r="E8" s="24">
        <v>500000</v>
      </c>
      <c r="F8" t="s">
        <v>1</v>
      </c>
      <c r="G8" t="s">
        <v>363</v>
      </c>
      <c r="L8" s="12">
        <f t="shared" si="1"/>
        <v>500000</v>
      </c>
    </row>
    <row r="9" spans="1:12" x14ac:dyDescent="0.35">
      <c r="A9" t="s">
        <v>110</v>
      </c>
      <c r="B9" t="s">
        <v>370</v>
      </c>
      <c r="D9" s="23" t="s">
        <v>780</v>
      </c>
      <c r="E9" s="24">
        <v>1300000</v>
      </c>
      <c r="F9" t="s">
        <v>1</v>
      </c>
      <c r="G9" t="s">
        <v>363</v>
      </c>
      <c r="H9" s="2" t="s">
        <v>781</v>
      </c>
      <c r="I9" s="2"/>
      <c r="J9" s="2"/>
      <c r="K9" s="1">
        <v>1209811.26</v>
      </c>
      <c r="L9" s="12">
        <f t="shared" si="1"/>
        <v>90188.739999999991</v>
      </c>
    </row>
    <row r="10" spans="1:12" x14ac:dyDescent="0.35">
      <c r="A10" t="s">
        <v>110</v>
      </c>
      <c r="B10" t="s">
        <v>371</v>
      </c>
      <c r="D10" s="23" t="s">
        <v>372</v>
      </c>
      <c r="E10" s="24">
        <v>428000</v>
      </c>
      <c r="F10" t="s">
        <v>1</v>
      </c>
      <c r="G10" t="s">
        <v>363</v>
      </c>
      <c r="H10" s="2" t="s">
        <v>779</v>
      </c>
      <c r="I10" s="2"/>
      <c r="J10" s="2"/>
      <c r="K10" s="1">
        <v>428000</v>
      </c>
      <c r="L10" s="12">
        <f t="shared" si="1"/>
        <v>0</v>
      </c>
    </row>
    <row r="11" spans="1:12" x14ac:dyDescent="0.35">
      <c r="A11" t="s">
        <v>110</v>
      </c>
      <c r="B11" t="s">
        <v>373</v>
      </c>
      <c r="D11" s="23" t="s">
        <v>374</v>
      </c>
      <c r="E11" s="24">
        <v>1200000</v>
      </c>
      <c r="F11" t="s">
        <v>1</v>
      </c>
      <c r="G11" t="s">
        <v>363</v>
      </c>
      <c r="L11" s="12">
        <f t="shared" si="1"/>
        <v>1200000</v>
      </c>
    </row>
    <row r="12" spans="1:12" x14ac:dyDescent="0.35">
      <c r="A12" t="s">
        <v>110</v>
      </c>
      <c r="B12" t="s">
        <v>375</v>
      </c>
      <c r="D12" t="s">
        <v>376</v>
      </c>
      <c r="E12" s="24">
        <v>1500000</v>
      </c>
      <c r="F12" t="s">
        <v>1</v>
      </c>
      <c r="G12" t="s">
        <v>363</v>
      </c>
      <c r="H12" s="2" t="s">
        <v>2567</v>
      </c>
      <c r="I12" s="2"/>
      <c r="J12" s="2"/>
      <c r="K12">
        <v>1300000</v>
      </c>
      <c r="L12" s="12">
        <f t="shared" si="1"/>
        <v>200000</v>
      </c>
    </row>
    <row r="13" spans="1:12" x14ac:dyDescent="0.35">
      <c r="A13" t="s">
        <v>110</v>
      </c>
      <c r="B13" t="s">
        <v>377</v>
      </c>
      <c r="D13" t="s">
        <v>378</v>
      </c>
      <c r="E13" s="24">
        <v>1000000</v>
      </c>
      <c r="F13" t="s">
        <v>1</v>
      </c>
      <c r="G13" t="s">
        <v>363</v>
      </c>
      <c r="L13" s="12">
        <f t="shared" si="1"/>
        <v>1000000</v>
      </c>
    </row>
    <row r="14" spans="1:12" x14ac:dyDescent="0.35">
      <c r="A14" t="s">
        <v>110</v>
      </c>
      <c r="B14" t="s">
        <v>379</v>
      </c>
      <c r="D14" t="s">
        <v>380</v>
      </c>
      <c r="E14" s="24">
        <v>4600255</v>
      </c>
      <c r="F14" t="s">
        <v>1</v>
      </c>
      <c r="G14" t="s">
        <v>363</v>
      </c>
      <c r="L14" s="12">
        <f t="shared" si="1"/>
        <v>4600255</v>
      </c>
    </row>
    <row r="15" spans="1:12" x14ac:dyDescent="0.35">
      <c r="A15" t="s">
        <v>381</v>
      </c>
      <c r="B15" t="s">
        <v>382</v>
      </c>
      <c r="D15" s="23" t="s">
        <v>383</v>
      </c>
      <c r="E15" s="24">
        <v>3500000</v>
      </c>
      <c r="F15" t="s">
        <v>1</v>
      </c>
      <c r="G15" t="s">
        <v>363</v>
      </c>
      <c r="L15" s="12">
        <f t="shared" si="1"/>
        <v>3500000</v>
      </c>
    </row>
    <row r="16" spans="1:12" x14ac:dyDescent="0.35">
      <c r="A16" t="s">
        <v>381</v>
      </c>
      <c r="B16" t="s">
        <v>384</v>
      </c>
      <c r="D16" s="23" t="s">
        <v>385</v>
      </c>
      <c r="E16" s="24">
        <v>70000</v>
      </c>
      <c r="F16" t="s">
        <v>1</v>
      </c>
      <c r="G16" t="s">
        <v>363</v>
      </c>
      <c r="L16" s="12">
        <f t="shared" si="1"/>
        <v>70000</v>
      </c>
    </row>
    <row r="17" spans="1:12" x14ac:dyDescent="0.35">
      <c r="A17" t="s">
        <v>381</v>
      </c>
      <c r="B17" t="s">
        <v>386</v>
      </c>
      <c r="D17" s="23" t="s">
        <v>387</v>
      </c>
      <c r="E17" s="24">
        <v>2000000</v>
      </c>
      <c r="F17" t="s">
        <v>1</v>
      </c>
      <c r="G17" t="s">
        <v>363</v>
      </c>
      <c r="L17" s="12">
        <f t="shared" si="1"/>
        <v>2000000</v>
      </c>
    </row>
    <row r="18" spans="1:12" x14ac:dyDescent="0.35">
      <c r="A18" t="s">
        <v>110</v>
      </c>
      <c r="C18">
        <v>10001298</v>
      </c>
      <c r="D18" t="s">
        <v>120</v>
      </c>
      <c r="E18" s="12">
        <v>7190.4</v>
      </c>
      <c r="F18" t="s">
        <v>388</v>
      </c>
      <c r="G18" t="s">
        <v>363</v>
      </c>
      <c r="L18" s="12">
        <f t="shared" si="1"/>
        <v>7190.4</v>
      </c>
    </row>
    <row r="19" spans="1:12" x14ac:dyDescent="0.35">
      <c r="A19" t="s">
        <v>110</v>
      </c>
      <c r="C19">
        <v>10001322</v>
      </c>
      <c r="D19" t="s">
        <v>389</v>
      </c>
      <c r="E19" s="12">
        <v>15000000</v>
      </c>
      <c r="F19" t="s">
        <v>388</v>
      </c>
      <c r="G19" t="s">
        <v>363</v>
      </c>
      <c r="L19" s="12">
        <f t="shared" si="1"/>
        <v>15000000</v>
      </c>
    </row>
    <row r="20" spans="1:12" x14ac:dyDescent="0.35">
      <c r="A20" t="s">
        <v>110</v>
      </c>
      <c r="C20">
        <v>10001362</v>
      </c>
      <c r="D20" t="s">
        <v>122</v>
      </c>
      <c r="E20" s="12">
        <v>366071.43</v>
      </c>
      <c r="F20" t="s">
        <v>388</v>
      </c>
      <c r="G20" t="s">
        <v>363</v>
      </c>
      <c r="L20" s="12">
        <f t="shared" si="1"/>
        <v>366071.43</v>
      </c>
    </row>
    <row r="21" spans="1:12" x14ac:dyDescent="0.35">
      <c r="A21" t="s">
        <v>110</v>
      </c>
      <c r="C21">
        <v>10001372</v>
      </c>
      <c r="D21" t="s">
        <v>123</v>
      </c>
      <c r="E21" s="12">
        <v>321428.57</v>
      </c>
      <c r="F21" t="s">
        <v>388</v>
      </c>
      <c r="G21" t="s">
        <v>363</v>
      </c>
      <c r="L21" s="12">
        <f t="shared" si="1"/>
        <v>321428.57</v>
      </c>
    </row>
    <row r="22" spans="1:12" x14ac:dyDescent="0.35">
      <c r="A22" t="s">
        <v>110</v>
      </c>
      <c r="C22">
        <v>10001320</v>
      </c>
      <c r="D22" t="s">
        <v>121</v>
      </c>
      <c r="E22" s="12">
        <v>875000</v>
      </c>
      <c r="F22" t="s">
        <v>388</v>
      </c>
      <c r="G22" t="s">
        <v>363</v>
      </c>
      <c r="L22" s="12">
        <f t="shared" si="1"/>
        <v>875000</v>
      </c>
    </row>
    <row r="23" spans="1:12" x14ac:dyDescent="0.35">
      <c r="A23" t="s">
        <v>110</v>
      </c>
      <c r="C23">
        <v>10001378</v>
      </c>
      <c r="D23" t="s">
        <v>124</v>
      </c>
      <c r="E23" s="12">
        <v>1178571.4300000002</v>
      </c>
      <c r="F23" t="s">
        <v>388</v>
      </c>
      <c r="G23" t="s">
        <v>363</v>
      </c>
      <c r="L23" s="12">
        <f t="shared" si="1"/>
        <v>1178571.4300000002</v>
      </c>
    </row>
    <row r="24" spans="1:12" x14ac:dyDescent="0.35">
      <c r="A24" t="s">
        <v>110</v>
      </c>
      <c r="C24">
        <v>10001308</v>
      </c>
      <c r="D24" t="s">
        <v>113</v>
      </c>
      <c r="E24" s="12">
        <v>25714285.710000001</v>
      </c>
      <c r="F24" t="s">
        <v>388</v>
      </c>
      <c r="G24" t="s">
        <v>112</v>
      </c>
      <c r="L24" s="12">
        <f t="shared" si="1"/>
        <v>25714285.710000001</v>
      </c>
    </row>
    <row r="25" spans="1:12" x14ac:dyDescent="0.35">
      <c r="A25" t="s">
        <v>110</v>
      </c>
      <c r="C25">
        <v>10001341</v>
      </c>
      <c r="D25" t="s">
        <v>114</v>
      </c>
      <c r="E25" s="12">
        <v>50718877.850000001</v>
      </c>
      <c r="F25" t="s">
        <v>388</v>
      </c>
      <c r="G25" t="s">
        <v>112</v>
      </c>
      <c r="L25" s="12">
        <f t="shared" si="1"/>
        <v>50718877.850000001</v>
      </c>
    </row>
    <row r="26" spans="1:12" x14ac:dyDescent="0.35">
      <c r="A26" t="s">
        <v>110</v>
      </c>
      <c r="C26">
        <v>10001350</v>
      </c>
      <c r="D26" t="s">
        <v>115</v>
      </c>
      <c r="E26" s="12">
        <v>20168928.580000002</v>
      </c>
      <c r="F26" t="s">
        <v>388</v>
      </c>
      <c r="G26" t="s">
        <v>112</v>
      </c>
      <c r="L26" s="12">
        <f t="shared" si="1"/>
        <v>20168928.580000002</v>
      </c>
    </row>
    <row r="27" spans="1:12" x14ac:dyDescent="0.35">
      <c r="A27" t="s">
        <v>110</v>
      </c>
      <c r="C27">
        <v>10001220</v>
      </c>
      <c r="D27" t="s">
        <v>119</v>
      </c>
      <c r="E27" s="12">
        <v>99196.43</v>
      </c>
      <c r="F27" t="s">
        <v>388</v>
      </c>
      <c r="G27" t="s">
        <v>112</v>
      </c>
      <c r="L27" s="12">
        <f t="shared" si="1"/>
        <v>99196.43</v>
      </c>
    </row>
    <row r="28" spans="1:12" x14ac:dyDescent="0.35">
      <c r="A28" t="s">
        <v>381</v>
      </c>
      <c r="C28">
        <v>10000820</v>
      </c>
      <c r="D28" t="s">
        <v>117</v>
      </c>
      <c r="E28" s="12">
        <v>278125</v>
      </c>
      <c r="F28" t="s">
        <v>388</v>
      </c>
      <c r="G28" t="s">
        <v>112</v>
      </c>
      <c r="L28" s="12">
        <f t="shared" si="1"/>
        <v>278125</v>
      </c>
    </row>
    <row r="29" spans="1:12" x14ac:dyDescent="0.35">
      <c r="A29" t="s">
        <v>381</v>
      </c>
      <c r="C29">
        <v>10001021</v>
      </c>
      <c r="D29" t="s">
        <v>118</v>
      </c>
      <c r="E29" s="12">
        <v>4855625.01</v>
      </c>
      <c r="F29" t="s">
        <v>388</v>
      </c>
      <c r="G29" t="s">
        <v>112</v>
      </c>
      <c r="L29" s="12">
        <f t="shared" si="1"/>
        <v>4855625.01</v>
      </c>
    </row>
  </sheetData>
  <autoFilter ref="A4:L29" xr:uid="{5F7D9C44-71B3-4698-AAD1-099FD9297D95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D1577-0A7F-46FE-B33E-0EB98AF36096}">
  <sheetPr>
    <tabColor theme="9" tint="0.79998168889431442"/>
  </sheetPr>
  <dimension ref="A1:R47"/>
  <sheetViews>
    <sheetView zoomScale="70" zoomScaleNormal="70" workbookViewId="0">
      <pane xSplit="4" ySplit="4" topLeftCell="O15" activePane="bottomRight" state="frozen"/>
      <selection pane="topRight" activeCell="E1" sqref="E1"/>
      <selection pane="bottomLeft" activeCell="A3" sqref="A3"/>
      <selection pane="bottomRight" activeCell="Q4" sqref="Q4"/>
    </sheetView>
  </sheetViews>
  <sheetFormatPr defaultRowHeight="14.5" x14ac:dyDescent="0.35"/>
  <cols>
    <col min="1" max="1" width="17.54296875" customWidth="1"/>
    <col min="2" max="2" width="18.7265625" bestFit="1" customWidth="1"/>
    <col min="3" max="3" width="39.453125" customWidth="1"/>
    <col min="4" max="4" width="17.54296875" customWidth="1"/>
    <col min="5" max="5" width="24.1796875" bestFit="1" customWidth="1"/>
    <col min="6" max="9" width="17.54296875" customWidth="1"/>
    <col min="10" max="10" width="42.26953125" customWidth="1"/>
    <col min="11" max="16" width="17.54296875" customWidth="1"/>
    <col min="17" max="18" width="12.7265625" bestFit="1" customWidth="1"/>
  </cols>
  <sheetData>
    <row r="1" spans="1:16" x14ac:dyDescent="0.35">
      <c r="D1" s="14">
        <f>D3-D2</f>
        <v>67300000.004285723</v>
      </c>
      <c r="E1" s="10" t="s">
        <v>125</v>
      </c>
    </row>
    <row r="2" spans="1:16" x14ac:dyDescent="0.35">
      <c r="D2" s="13">
        <f>D10</f>
        <v>11614800.25</v>
      </c>
      <c r="E2" s="11" t="s">
        <v>126</v>
      </c>
    </row>
    <row r="3" spans="1:16" x14ac:dyDescent="0.35">
      <c r="D3" s="6">
        <f>SUBTOTAL(9,D5:D47)</f>
        <v>78914800.254285723</v>
      </c>
      <c r="E3" s="11" t="s">
        <v>127</v>
      </c>
    </row>
    <row r="4" spans="1:16" x14ac:dyDescent="0.35">
      <c r="A4" s="4" t="s">
        <v>128</v>
      </c>
      <c r="B4" s="4" t="s">
        <v>129</v>
      </c>
      <c r="C4" s="4" t="s">
        <v>64</v>
      </c>
      <c r="D4" s="4" t="s">
        <v>83</v>
      </c>
      <c r="E4" s="4" t="s">
        <v>130</v>
      </c>
      <c r="F4" s="4" t="s">
        <v>67</v>
      </c>
      <c r="G4" s="4" t="s">
        <v>131</v>
      </c>
      <c r="H4" s="4" t="s">
        <v>132</v>
      </c>
      <c r="I4" s="4" t="s">
        <v>133</v>
      </c>
      <c r="J4" s="4" t="s">
        <v>109</v>
      </c>
      <c r="K4" s="4" t="s">
        <v>134</v>
      </c>
      <c r="L4" s="4" t="s">
        <v>135</v>
      </c>
      <c r="M4" s="4" t="s">
        <v>105</v>
      </c>
      <c r="N4" s="4" t="s">
        <v>136</v>
      </c>
      <c r="O4" s="4" t="s">
        <v>137</v>
      </c>
      <c r="P4" s="4" t="s">
        <v>138</v>
      </c>
    </row>
    <row r="5" spans="1:16" x14ac:dyDescent="0.35">
      <c r="A5" t="s">
        <v>139</v>
      </c>
      <c r="B5">
        <v>10001190</v>
      </c>
      <c r="C5" t="s">
        <v>140</v>
      </c>
      <c r="D5" s="1">
        <v>2400000</v>
      </c>
      <c r="E5" t="s">
        <v>141</v>
      </c>
      <c r="F5" t="s">
        <v>142</v>
      </c>
      <c r="G5" t="s">
        <v>143</v>
      </c>
      <c r="H5" t="s">
        <v>144</v>
      </c>
      <c r="I5" t="s">
        <v>145</v>
      </c>
      <c r="J5" t="s">
        <v>146</v>
      </c>
      <c r="M5" t="s">
        <v>147</v>
      </c>
      <c r="N5" t="s">
        <v>148</v>
      </c>
      <c r="O5" t="s">
        <v>149</v>
      </c>
      <c r="P5" t="s">
        <v>150</v>
      </c>
    </row>
    <row r="6" spans="1:16" x14ac:dyDescent="0.35">
      <c r="A6" t="s">
        <v>151</v>
      </c>
      <c r="B6">
        <v>10001269</v>
      </c>
      <c r="C6" t="s">
        <v>152</v>
      </c>
      <c r="D6" s="1">
        <v>560714.29</v>
      </c>
      <c r="E6" t="s">
        <v>141</v>
      </c>
      <c r="F6" t="s">
        <v>142</v>
      </c>
      <c r="G6" t="s">
        <v>143</v>
      </c>
      <c r="H6" t="s">
        <v>153</v>
      </c>
      <c r="I6" t="s">
        <v>154</v>
      </c>
      <c r="J6" t="s">
        <v>146</v>
      </c>
      <c r="M6" t="s">
        <v>155</v>
      </c>
      <c r="N6" t="s">
        <v>148</v>
      </c>
      <c r="O6" t="s">
        <v>149</v>
      </c>
      <c r="P6" t="s">
        <v>150</v>
      </c>
    </row>
    <row r="7" spans="1:16" x14ac:dyDescent="0.35">
      <c r="A7" t="s">
        <v>151</v>
      </c>
      <c r="B7">
        <v>10001270</v>
      </c>
      <c r="C7" t="s">
        <v>156</v>
      </c>
      <c r="D7" s="1">
        <v>437500</v>
      </c>
      <c r="E7" t="s">
        <v>141</v>
      </c>
      <c r="F7" t="s">
        <v>142</v>
      </c>
      <c r="G7" t="s">
        <v>143</v>
      </c>
      <c r="H7" t="s">
        <v>157</v>
      </c>
      <c r="I7" t="s">
        <v>158</v>
      </c>
      <c r="J7" t="s">
        <v>146</v>
      </c>
      <c r="M7" t="s">
        <v>155</v>
      </c>
      <c r="N7" t="s">
        <v>148</v>
      </c>
      <c r="O7" t="s">
        <v>149</v>
      </c>
      <c r="P7" t="s">
        <v>150</v>
      </c>
    </row>
    <row r="8" spans="1:16" x14ac:dyDescent="0.35">
      <c r="A8" t="s">
        <v>139</v>
      </c>
      <c r="B8">
        <v>10001281</v>
      </c>
      <c r="C8" t="s">
        <v>159</v>
      </c>
      <c r="D8" s="1">
        <v>3004771.45</v>
      </c>
      <c r="E8" t="s">
        <v>141</v>
      </c>
      <c r="F8" t="s">
        <v>142</v>
      </c>
      <c r="G8" t="s">
        <v>160</v>
      </c>
      <c r="H8" t="s">
        <v>161</v>
      </c>
      <c r="I8" t="s">
        <v>162</v>
      </c>
      <c r="J8" t="s">
        <v>146</v>
      </c>
      <c r="M8" t="s">
        <v>147</v>
      </c>
      <c r="N8" t="s">
        <v>148</v>
      </c>
      <c r="O8" t="s">
        <v>149</v>
      </c>
      <c r="P8" t="s">
        <v>150</v>
      </c>
    </row>
    <row r="9" spans="1:16" x14ac:dyDescent="0.35">
      <c r="A9" t="s">
        <v>139</v>
      </c>
      <c r="B9">
        <v>10001311</v>
      </c>
      <c r="C9" t="s">
        <v>163</v>
      </c>
      <c r="D9" s="1">
        <v>3660714.29</v>
      </c>
      <c r="E9" t="s">
        <v>141</v>
      </c>
      <c r="F9" t="s">
        <v>142</v>
      </c>
      <c r="G9" t="s">
        <v>160</v>
      </c>
      <c r="H9" t="s">
        <v>164</v>
      </c>
      <c r="I9" t="s">
        <v>165</v>
      </c>
      <c r="J9" t="s">
        <v>146</v>
      </c>
      <c r="M9" t="s">
        <v>147</v>
      </c>
      <c r="N9" t="s">
        <v>148</v>
      </c>
      <c r="O9" t="s">
        <v>149</v>
      </c>
      <c r="P9" t="s">
        <v>150</v>
      </c>
    </row>
    <row r="10" spans="1:16" x14ac:dyDescent="0.35">
      <c r="A10" t="s">
        <v>166</v>
      </c>
      <c r="B10">
        <v>10001314</v>
      </c>
      <c r="C10" t="s">
        <v>167</v>
      </c>
      <c r="D10" s="1">
        <v>11614800.25</v>
      </c>
      <c r="E10" t="s">
        <v>141</v>
      </c>
      <c r="F10" t="s">
        <v>168</v>
      </c>
      <c r="G10" t="s">
        <v>169</v>
      </c>
      <c r="H10" t="s">
        <v>170</v>
      </c>
      <c r="I10" t="s">
        <v>171</v>
      </c>
      <c r="J10" t="s">
        <v>146</v>
      </c>
      <c r="M10" t="s">
        <v>172</v>
      </c>
      <c r="N10" t="s">
        <v>148</v>
      </c>
      <c r="O10" t="s">
        <v>149</v>
      </c>
      <c r="P10" t="s">
        <v>150</v>
      </c>
    </row>
    <row r="11" spans="1:16" x14ac:dyDescent="0.35">
      <c r="A11" t="s">
        <v>173</v>
      </c>
      <c r="B11">
        <v>10001340</v>
      </c>
      <c r="C11" t="s">
        <v>174</v>
      </c>
      <c r="D11" s="1">
        <v>285714.28999999998</v>
      </c>
      <c r="E11" t="s">
        <v>141</v>
      </c>
      <c r="F11" t="s">
        <v>142</v>
      </c>
      <c r="G11" t="s">
        <v>160</v>
      </c>
      <c r="H11" t="s">
        <v>175</v>
      </c>
      <c r="I11" t="s">
        <v>176</v>
      </c>
      <c r="J11" t="s">
        <v>146</v>
      </c>
      <c r="M11" t="s">
        <v>90</v>
      </c>
      <c r="N11" t="s">
        <v>148</v>
      </c>
      <c r="O11" t="s">
        <v>149</v>
      </c>
      <c r="P11" t="s">
        <v>150</v>
      </c>
    </row>
    <row r="12" spans="1:16" x14ac:dyDescent="0.35">
      <c r="A12" t="s">
        <v>151</v>
      </c>
      <c r="B12">
        <v>10001360</v>
      </c>
      <c r="C12" t="s">
        <v>177</v>
      </c>
      <c r="D12" s="1">
        <v>2437500</v>
      </c>
      <c r="E12" t="s">
        <v>141</v>
      </c>
      <c r="F12" t="s">
        <v>142</v>
      </c>
      <c r="G12" t="s">
        <v>160</v>
      </c>
      <c r="H12" t="s">
        <v>178</v>
      </c>
      <c r="I12" t="s">
        <v>179</v>
      </c>
      <c r="J12" t="s">
        <v>146</v>
      </c>
      <c r="M12" t="s">
        <v>155</v>
      </c>
      <c r="N12" t="s">
        <v>148</v>
      </c>
      <c r="O12" t="s">
        <v>149</v>
      </c>
      <c r="P12" t="s">
        <v>150</v>
      </c>
    </row>
    <row r="13" spans="1:16" x14ac:dyDescent="0.35">
      <c r="A13" t="s">
        <v>139</v>
      </c>
      <c r="B13">
        <v>10001361</v>
      </c>
      <c r="C13" t="s">
        <v>180</v>
      </c>
      <c r="D13" s="1">
        <v>2901785.71</v>
      </c>
      <c r="E13" t="s">
        <v>141</v>
      </c>
      <c r="F13" t="s">
        <v>142</v>
      </c>
      <c r="G13" t="s">
        <v>143</v>
      </c>
      <c r="H13" t="s">
        <v>181</v>
      </c>
      <c r="I13" t="s">
        <v>182</v>
      </c>
      <c r="J13" t="s">
        <v>146</v>
      </c>
      <c r="M13" t="s">
        <v>147</v>
      </c>
      <c r="N13" t="s">
        <v>148</v>
      </c>
      <c r="O13" t="s">
        <v>149</v>
      </c>
      <c r="P13" t="s">
        <v>150</v>
      </c>
    </row>
    <row r="14" spans="1:16" x14ac:dyDescent="0.35">
      <c r="A14" t="s">
        <v>139</v>
      </c>
      <c r="B14">
        <v>10001363</v>
      </c>
      <c r="C14" t="s">
        <v>183</v>
      </c>
      <c r="D14" s="1">
        <v>714285.7100000002</v>
      </c>
      <c r="E14" t="s">
        <v>141</v>
      </c>
      <c r="F14" t="s">
        <v>142</v>
      </c>
      <c r="G14" t="s">
        <v>143</v>
      </c>
      <c r="H14" t="s">
        <v>184</v>
      </c>
      <c r="I14" t="s">
        <v>185</v>
      </c>
      <c r="J14" t="s">
        <v>146</v>
      </c>
      <c r="M14" t="s">
        <v>147</v>
      </c>
      <c r="N14" t="s">
        <v>148</v>
      </c>
      <c r="O14" t="s">
        <v>149</v>
      </c>
      <c r="P14" t="s">
        <v>150</v>
      </c>
    </row>
    <row r="15" spans="1:16" x14ac:dyDescent="0.35">
      <c r="A15" t="s">
        <v>139</v>
      </c>
      <c r="B15">
        <v>10001364</v>
      </c>
      <c r="C15" t="s">
        <v>186</v>
      </c>
      <c r="D15" s="1">
        <v>301785.71000000002</v>
      </c>
      <c r="E15" t="s">
        <v>141</v>
      </c>
      <c r="F15" t="s">
        <v>142</v>
      </c>
      <c r="G15" t="s">
        <v>187</v>
      </c>
      <c r="H15" t="s">
        <v>188</v>
      </c>
      <c r="I15" t="s">
        <v>189</v>
      </c>
      <c r="J15" t="s">
        <v>190</v>
      </c>
      <c r="M15" t="s">
        <v>147</v>
      </c>
      <c r="N15" t="s">
        <v>148</v>
      </c>
      <c r="O15" t="s">
        <v>149</v>
      </c>
      <c r="P15" t="s">
        <v>150</v>
      </c>
    </row>
    <row r="16" spans="1:16" x14ac:dyDescent="0.35">
      <c r="A16" t="s">
        <v>139</v>
      </c>
      <c r="B16">
        <v>10001365</v>
      </c>
      <c r="C16" t="s">
        <v>191</v>
      </c>
      <c r="D16" s="1">
        <v>387946.43</v>
      </c>
      <c r="E16" t="s">
        <v>141</v>
      </c>
      <c r="F16" t="s">
        <v>142</v>
      </c>
      <c r="G16" t="s">
        <v>187</v>
      </c>
      <c r="H16" t="s">
        <v>192</v>
      </c>
      <c r="I16" t="s">
        <v>189</v>
      </c>
      <c r="J16" t="s">
        <v>190</v>
      </c>
      <c r="M16" t="s">
        <v>147</v>
      </c>
      <c r="N16" t="s">
        <v>148</v>
      </c>
      <c r="O16" t="s">
        <v>149</v>
      </c>
      <c r="P16" t="s">
        <v>150</v>
      </c>
    </row>
    <row r="17" spans="1:18" x14ac:dyDescent="0.35">
      <c r="A17" t="s">
        <v>139</v>
      </c>
      <c r="B17">
        <v>10001366</v>
      </c>
      <c r="C17" t="s">
        <v>193</v>
      </c>
      <c r="D17" s="1">
        <v>312053.57</v>
      </c>
      <c r="E17" t="s">
        <v>141</v>
      </c>
      <c r="F17" t="s">
        <v>142</v>
      </c>
      <c r="G17" t="s">
        <v>187</v>
      </c>
      <c r="H17" t="s">
        <v>194</v>
      </c>
      <c r="I17" t="s">
        <v>189</v>
      </c>
      <c r="J17" t="s">
        <v>190</v>
      </c>
      <c r="M17" t="s">
        <v>147</v>
      </c>
      <c r="N17" t="s">
        <v>148</v>
      </c>
      <c r="O17" t="s">
        <v>149</v>
      </c>
      <c r="P17" t="s">
        <v>150</v>
      </c>
    </row>
    <row r="18" spans="1:18" x14ac:dyDescent="0.35">
      <c r="A18" t="s">
        <v>139</v>
      </c>
      <c r="B18">
        <v>10001381</v>
      </c>
      <c r="C18" t="s">
        <v>195</v>
      </c>
      <c r="D18" s="1">
        <v>968800</v>
      </c>
      <c r="E18" t="s">
        <v>141</v>
      </c>
      <c r="F18" t="s">
        <v>142</v>
      </c>
      <c r="G18" t="s">
        <v>187</v>
      </c>
      <c r="H18" t="s">
        <v>196</v>
      </c>
      <c r="I18" t="s">
        <v>189</v>
      </c>
      <c r="J18" t="s">
        <v>190</v>
      </c>
      <c r="M18" t="s">
        <v>147</v>
      </c>
      <c r="N18" t="s">
        <v>148</v>
      </c>
      <c r="O18" t="s">
        <v>149</v>
      </c>
      <c r="P18" t="s">
        <v>150</v>
      </c>
    </row>
    <row r="19" spans="1:18" x14ac:dyDescent="0.35">
      <c r="A19" t="s">
        <v>151</v>
      </c>
      <c r="B19" t="s">
        <v>197</v>
      </c>
      <c r="C19" t="s">
        <v>198</v>
      </c>
      <c r="D19" s="1">
        <v>2000000</v>
      </c>
      <c r="E19" t="s">
        <v>1</v>
      </c>
      <c r="F19" t="s">
        <v>142</v>
      </c>
      <c r="G19" t="s">
        <v>160</v>
      </c>
      <c r="J19" t="s">
        <v>199</v>
      </c>
      <c r="M19" t="s">
        <v>155</v>
      </c>
      <c r="N19" t="s">
        <v>148</v>
      </c>
      <c r="O19" t="s">
        <v>149</v>
      </c>
      <c r="P19" t="s">
        <v>150</v>
      </c>
      <c r="Q19" s="1">
        <f>SUMIF(Monitoring!H:H,Offices!B19,Monitoring!R:R)</f>
        <v>3179000</v>
      </c>
      <c r="R19" s="12">
        <f>D19-Q19</f>
        <v>-1179000</v>
      </c>
    </row>
    <row r="20" spans="1:18" x14ac:dyDescent="0.35">
      <c r="A20" t="s">
        <v>151</v>
      </c>
      <c r="B20" t="s">
        <v>200</v>
      </c>
      <c r="C20" t="s">
        <v>201</v>
      </c>
      <c r="D20" s="1">
        <v>3000000</v>
      </c>
      <c r="E20" t="s">
        <v>1</v>
      </c>
      <c r="F20" t="s">
        <v>142</v>
      </c>
      <c r="G20" t="s">
        <v>143</v>
      </c>
      <c r="J20" t="s">
        <v>202</v>
      </c>
      <c r="M20" t="s">
        <v>155</v>
      </c>
      <c r="N20" t="s">
        <v>148</v>
      </c>
      <c r="O20" t="s">
        <v>149</v>
      </c>
      <c r="P20" t="s">
        <v>150</v>
      </c>
      <c r="Q20" s="1">
        <f>SUMIF(Monitoring!H:H,Offices!B20,Monitoring!R:R)</f>
        <v>3000000</v>
      </c>
      <c r="R20" s="12">
        <f t="shared" ref="R20:R47" si="0">D20-Q20</f>
        <v>0</v>
      </c>
    </row>
    <row r="21" spans="1:18" x14ac:dyDescent="0.35">
      <c r="A21" t="s">
        <v>151</v>
      </c>
      <c r="B21" t="s">
        <v>203</v>
      </c>
      <c r="C21" t="s">
        <v>204</v>
      </c>
      <c r="D21" s="1">
        <v>8000000</v>
      </c>
      <c r="E21" t="s">
        <v>1</v>
      </c>
      <c r="F21" t="s">
        <v>142</v>
      </c>
      <c r="G21" t="s">
        <v>160</v>
      </c>
      <c r="J21" t="s">
        <v>199</v>
      </c>
      <c r="M21" t="s">
        <v>155</v>
      </c>
      <c r="N21" t="s">
        <v>148</v>
      </c>
      <c r="O21" t="s">
        <v>149</v>
      </c>
      <c r="P21" t="s">
        <v>150</v>
      </c>
      <c r="Q21" s="1">
        <f>SUMIF(Monitoring!H:H,Offices!B21,Monitoring!R:R)</f>
        <v>6821000</v>
      </c>
      <c r="R21" s="12">
        <f t="shared" si="0"/>
        <v>1179000</v>
      </c>
    </row>
    <row r="22" spans="1:18" x14ac:dyDescent="0.35">
      <c r="A22" t="s">
        <v>151</v>
      </c>
      <c r="B22" t="s">
        <v>205</v>
      </c>
      <c r="C22" t="s">
        <v>206</v>
      </c>
      <c r="D22" s="1">
        <v>3000000</v>
      </c>
      <c r="E22" t="s">
        <v>1</v>
      </c>
      <c r="F22" t="s">
        <v>142</v>
      </c>
      <c r="G22" t="s">
        <v>143</v>
      </c>
      <c r="J22" t="s">
        <v>202</v>
      </c>
      <c r="M22" t="s">
        <v>155</v>
      </c>
      <c r="N22" t="s">
        <v>148</v>
      </c>
      <c r="O22" t="s">
        <v>149</v>
      </c>
      <c r="P22" t="s">
        <v>150</v>
      </c>
      <c r="Q22" s="1">
        <f>SUMIF(Monitoring!H:H,Offices!B22,Monitoring!R:R)</f>
        <v>3000000</v>
      </c>
      <c r="R22" s="12">
        <f t="shared" si="0"/>
        <v>0</v>
      </c>
    </row>
    <row r="23" spans="1:18" x14ac:dyDescent="0.35">
      <c r="A23" t="s">
        <v>151</v>
      </c>
      <c r="B23" t="s">
        <v>207</v>
      </c>
      <c r="C23" t="s">
        <v>208</v>
      </c>
      <c r="D23" s="1">
        <v>600000</v>
      </c>
      <c r="E23" t="s">
        <v>1</v>
      </c>
      <c r="F23" t="s">
        <v>142</v>
      </c>
      <c r="G23" t="s">
        <v>160</v>
      </c>
      <c r="J23" t="s">
        <v>209</v>
      </c>
      <c r="M23" t="s">
        <v>155</v>
      </c>
      <c r="N23" t="s">
        <v>148</v>
      </c>
      <c r="O23" t="s">
        <v>149</v>
      </c>
      <c r="P23" t="s">
        <v>150</v>
      </c>
      <c r="Q23" s="1">
        <f>SUMIF(Monitoring!H:H,Offices!B23,Monitoring!R:R)</f>
        <v>600000</v>
      </c>
      <c r="R23" s="12">
        <f t="shared" si="0"/>
        <v>0</v>
      </c>
    </row>
    <row r="24" spans="1:18" x14ac:dyDescent="0.35">
      <c r="A24" t="s">
        <v>173</v>
      </c>
      <c r="B24" t="s">
        <v>210</v>
      </c>
      <c r="C24" t="s">
        <v>211</v>
      </c>
      <c r="D24" s="1">
        <v>1500000</v>
      </c>
      <c r="E24" t="s">
        <v>1</v>
      </c>
      <c r="F24" t="s">
        <v>142</v>
      </c>
      <c r="G24" t="s">
        <v>187</v>
      </c>
      <c r="J24" t="s">
        <v>212</v>
      </c>
      <c r="M24" t="s">
        <v>90</v>
      </c>
      <c r="N24" t="s">
        <v>148</v>
      </c>
      <c r="O24" t="s">
        <v>149</v>
      </c>
      <c r="P24" t="s">
        <v>150</v>
      </c>
      <c r="Q24" s="1">
        <f>SUMIF(Monitoring!H:H,Offices!B24,Monitoring!R:R)</f>
        <v>1500000</v>
      </c>
      <c r="R24" s="12">
        <f t="shared" si="0"/>
        <v>0</v>
      </c>
    </row>
    <row r="25" spans="1:18" x14ac:dyDescent="0.35">
      <c r="A25" t="s">
        <v>173</v>
      </c>
      <c r="B25" t="s">
        <v>213</v>
      </c>
      <c r="C25" t="s">
        <v>214</v>
      </c>
      <c r="D25" s="1">
        <v>350000</v>
      </c>
      <c r="E25" t="s">
        <v>1</v>
      </c>
      <c r="F25" t="s">
        <v>142</v>
      </c>
      <c r="G25" t="s">
        <v>215</v>
      </c>
      <c r="J25" t="s">
        <v>216</v>
      </c>
      <c r="M25" t="s">
        <v>90</v>
      </c>
      <c r="N25" t="s">
        <v>148</v>
      </c>
      <c r="O25" t="s">
        <v>149</v>
      </c>
      <c r="P25" t="s">
        <v>150</v>
      </c>
      <c r="Q25" s="1">
        <f>SUMIF(Monitoring!H:H,Offices!B25,Monitoring!R:R)</f>
        <v>350000</v>
      </c>
      <c r="R25" s="12">
        <f t="shared" si="0"/>
        <v>0</v>
      </c>
    </row>
    <row r="26" spans="1:18" x14ac:dyDescent="0.35">
      <c r="A26" t="s">
        <v>173</v>
      </c>
      <c r="B26" t="s">
        <v>217</v>
      </c>
      <c r="C26" t="s">
        <v>218</v>
      </c>
      <c r="D26" s="1">
        <v>3000000</v>
      </c>
      <c r="E26" t="s">
        <v>1</v>
      </c>
      <c r="F26" t="s">
        <v>142</v>
      </c>
      <c r="G26" t="s">
        <v>160</v>
      </c>
      <c r="J26" t="s">
        <v>199</v>
      </c>
      <c r="M26" t="s">
        <v>90</v>
      </c>
      <c r="N26" t="s">
        <v>148</v>
      </c>
      <c r="O26" t="s">
        <v>149</v>
      </c>
      <c r="P26" t="s">
        <v>150</v>
      </c>
      <c r="Q26" s="1">
        <f>SUMIF(Monitoring!H:H,Offices!B26,Monitoring!R:R)</f>
        <v>3000000</v>
      </c>
      <c r="R26" s="12">
        <f t="shared" si="0"/>
        <v>0</v>
      </c>
    </row>
    <row r="27" spans="1:18" x14ac:dyDescent="0.35">
      <c r="A27" t="s">
        <v>173</v>
      </c>
      <c r="B27" t="s">
        <v>219</v>
      </c>
      <c r="C27" t="s">
        <v>220</v>
      </c>
      <c r="D27" s="1">
        <v>211000</v>
      </c>
      <c r="E27" t="s">
        <v>1</v>
      </c>
      <c r="F27" t="s">
        <v>142</v>
      </c>
      <c r="G27" t="s">
        <v>221</v>
      </c>
      <c r="J27" t="s">
        <v>222</v>
      </c>
      <c r="M27" t="s">
        <v>90</v>
      </c>
      <c r="N27" t="s">
        <v>148</v>
      </c>
      <c r="O27" t="s">
        <v>149</v>
      </c>
      <c r="P27" t="s">
        <v>150</v>
      </c>
      <c r="Q27" s="1">
        <f>SUMIF(Monitoring!H:H,Offices!B27,Monitoring!R:R)</f>
        <v>211000</v>
      </c>
      <c r="R27" s="12">
        <f t="shared" si="0"/>
        <v>0</v>
      </c>
    </row>
    <row r="28" spans="1:18" x14ac:dyDescent="0.35">
      <c r="A28" t="s">
        <v>173</v>
      </c>
      <c r="B28" t="s">
        <v>96</v>
      </c>
      <c r="C28" t="s">
        <v>223</v>
      </c>
      <c r="D28" s="1">
        <v>350000</v>
      </c>
      <c r="E28" t="s">
        <v>1</v>
      </c>
      <c r="F28" t="s">
        <v>142</v>
      </c>
      <c r="G28" t="s">
        <v>215</v>
      </c>
      <c r="J28" t="s">
        <v>224</v>
      </c>
      <c r="M28" t="s">
        <v>90</v>
      </c>
      <c r="N28" t="s">
        <v>148</v>
      </c>
      <c r="O28" t="s">
        <v>149</v>
      </c>
      <c r="P28" t="s">
        <v>150</v>
      </c>
      <c r="Q28" s="1">
        <f>SUMIF(Monitoring!H:H,Offices!B28,Monitoring!R:R)</f>
        <v>350000</v>
      </c>
      <c r="R28" s="12">
        <f t="shared" si="0"/>
        <v>0</v>
      </c>
    </row>
    <row r="29" spans="1:18" x14ac:dyDescent="0.35">
      <c r="A29" t="s">
        <v>139</v>
      </c>
      <c r="B29" t="s">
        <v>225</v>
      </c>
      <c r="C29" t="s">
        <v>226</v>
      </c>
      <c r="D29" s="1">
        <v>3191964.2899999996</v>
      </c>
      <c r="E29" t="s">
        <v>1</v>
      </c>
      <c r="F29" t="s">
        <v>142</v>
      </c>
      <c r="G29" t="s">
        <v>187</v>
      </c>
      <c r="J29" t="s">
        <v>227</v>
      </c>
      <c r="M29" t="s">
        <v>147</v>
      </c>
      <c r="N29" t="s">
        <v>148</v>
      </c>
      <c r="O29" t="s">
        <v>149</v>
      </c>
      <c r="P29" t="s">
        <v>150</v>
      </c>
      <c r="Q29" s="1">
        <f>SUMIF(Monitoring!H:H,Offices!B29,Monitoring!R:R)</f>
        <v>3191964.29</v>
      </c>
      <c r="R29" s="12">
        <f t="shared" si="0"/>
        <v>0</v>
      </c>
    </row>
    <row r="30" spans="1:18" x14ac:dyDescent="0.35">
      <c r="A30" t="s">
        <v>139</v>
      </c>
      <c r="B30" t="s">
        <v>228</v>
      </c>
      <c r="C30" t="s">
        <v>229</v>
      </c>
      <c r="D30" s="1">
        <v>1000000</v>
      </c>
      <c r="E30" t="s">
        <v>1</v>
      </c>
      <c r="F30" t="s">
        <v>142</v>
      </c>
      <c r="G30" t="s">
        <v>160</v>
      </c>
      <c r="J30" t="s">
        <v>199</v>
      </c>
      <c r="M30" t="s">
        <v>147</v>
      </c>
      <c r="N30" t="s">
        <v>148</v>
      </c>
      <c r="O30" t="s">
        <v>149</v>
      </c>
      <c r="P30" t="s">
        <v>150</v>
      </c>
      <c r="Q30" s="1">
        <f>SUMIF(Monitoring!H:H,Offices!B30,Monitoring!R:R)</f>
        <v>1000000</v>
      </c>
      <c r="R30" s="12">
        <f t="shared" si="0"/>
        <v>0</v>
      </c>
    </row>
    <row r="31" spans="1:18" x14ac:dyDescent="0.35">
      <c r="A31" t="s">
        <v>139</v>
      </c>
      <c r="B31" t="s">
        <v>230</v>
      </c>
      <c r="C31" t="s">
        <v>231</v>
      </c>
      <c r="D31" s="1">
        <v>1000000</v>
      </c>
      <c r="E31" t="s">
        <v>1</v>
      </c>
      <c r="F31" t="s">
        <v>142</v>
      </c>
      <c r="G31" t="s">
        <v>160</v>
      </c>
      <c r="J31" t="s">
        <v>232</v>
      </c>
      <c r="M31" t="s">
        <v>147</v>
      </c>
      <c r="N31" t="s">
        <v>148</v>
      </c>
      <c r="O31" t="s">
        <v>149</v>
      </c>
      <c r="P31" t="s">
        <v>150</v>
      </c>
      <c r="Q31" s="1">
        <f>SUMIF(Monitoring!H:H,Offices!B31,Monitoring!R:R)</f>
        <v>1000000</v>
      </c>
      <c r="R31" s="12">
        <f t="shared" si="0"/>
        <v>0</v>
      </c>
    </row>
    <row r="32" spans="1:18" x14ac:dyDescent="0.35">
      <c r="A32" t="s">
        <v>139</v>
      </c>
      <c r="B32" t="s">
        <v>233</v>
      </c>
      <c r="C32" t="s">
        <v>234</v>
      </c>
      <c r="D32" s="1">
        <v>2000000</v>
      </c>
      <c r="E32" t="s">
        <v>1</v>
      </c>
      <c r="F32" t="s">
        <v>142</v>
      </c>
      <c r="G32" t="s">
        <v>160</v>
      </c>
      <c r="J32" t="s">
        <v>199</v>
      </c>
      <c r="M32" t="s">
        <v>147</v>
      </c>
      <c r="N32" t="s">
        <v>148</v>
      </c>
      <c r="O32" t="s">
        <v>149</v>
      </c>
      <c r="P32" t="s">
        <v>150</v>
      </c>
      <c r="Q32" s="1">
        <f>SUMIF(Monitoring!H:H,Offices!B32,Monitoring!R:R)</f>
        <v>2000000</v>
      </c>
      <c r="R32" s="12">
        <f t="shared" si="0"/>
        <v>0</v>
      </c>
    </row>
    <row r="33" spans="1:18" x14ac:dyDescent="0.35">
      <c r="A33" t="s">
        <v>139</v>
      </c>
      <c r="B33" t="s">
        <v>235</v>
      </c>
      <c r="C33" t="s">
        <v>236</v>
      </c>
      <c r="D33" s="1">
        <v>2285714.2842857139</v>
      </c>
      <c r="E33" t="s">
        <v>1</v>
      </c>
      <c r="F33" t="s">
        <v>142</v>
      </c>
      <c r="G33" t="s">
        <v>187</v>
      </c>
      <c r="J33" t="s">
        <v>227</v>
      </c>
      <c r="M33" t="s">
        <v>147</v>
      </c>
      <c r="N33" t="s">
        <v>148</v>
      </c>
      <c r="O33" t="s">
        <v>149</v>
      </c>
      <c r="P33" t="s">
        <v>150</v>
      </c>
      <c r="Q33" s="1">
        <f>SUMIF(Monitoring!H:H,Offices!B33,Monitoring!R:R)</f>
        <v>2285714.2799999998</v>
      </c>
      <c r="R33" s="12">
        <f t="shared" si="0"/>
        <v>4.2857141233980656E-3</v>
      </c>
    </row>
    <row r="34" spans="1:18" x14ac:dyDescent="0.35">
      <c r="A34" t="s">
        <v>139</v>
      </c>
      <c r="B34" t="s">
        <v>237</v>
      </c>
      <c r="C34" t="s">
        <v>238</v>
      </c>
      <c r="D34" s="1">
        <v>1736607.144285714</v>
      </c>
      <c r="E34" t="s">
        <v>1</v>
      </c>
      <c r="F34" t="s">
        <v>142</v>
      </c>
      <c r="G34" t="s">
        <v>187</v>
      </c>
      <c r="J34" t="s">
        <v>227</v>
      </c>
      <c r="M34" t="s">
        <v>147</v>
      </c>
      <c r="N34" t="s">
        <v>148</v>
      </c>
      <c r="O34" t="s">
        <v>149</v>
      </c>
      <c r="P34" t="s">
        <v>150</v>
      </c>
      <c r="Q34" s="1">
        <f>SUMIF(Monitoring!H:H,Offices!B34,Monitoring!R:R)</f>
        <v>1736607.14</v>
      </c>
      <c r="R34" s="12">
        <f t="shared" si="0"/>
        <v>4.2857141233980656E-3</v>
      </c>
    </row>
    <row r="35" spans="1:18" x14ac:dyDescent="0.35">
      <c r="A35" t="s">
        <v>139</v>
      </c>
      <c r="B35" t="s">
        <v>239</v>
      </c>
      <c r="C35" t="s">
        <v>240</v>
      </c>
      <c r="D35" s="1">
        <v>249999.99999999997</v>
      </c>
      <c r="E35" t="s">
        <v>1</v>
      </c>
      <c r="F35" t="s">
        <v>142</v>
      </c>
      <c r="G35" t="s">
        <v>221</v>
      </c>
      <c r="J35" t="s">
        <v>241</v>
      </c>
      <c r="M35" t="s">
        <v>147</v>
      </c>
      <c r="N35" t="s">
        <v>148</v>
      </c>
      <c r="O35" t="s">
        <v>149</v>
      </c>
      <c r="P35" t="s">
        <v>150</v>
      </c>
      <c r="Q35" s="1">
        <f>SUMIF(Monitoring!H:H,Offices!B35,Monitoring!R:R)</f>
        <v>250000</v>
      </c>
      <c r="R35" s="12">
        <f t="shared" si="0"/>
        <v>0</v>
      </c>
    </row>
    <row r="36" spans="1:18" x14ac:dyDescent="0.35">
      <c r="A36" t="s">
        <v>139</v>
      </c>
      <c r="B36" t="s">
        <v>242</v>
      </c>
      <c r="C36" t="s">
        <v>243</v>
      </c>
      <c r="D36" s="1">
        <v>4191964.2857142854</v>
      </c>
      <c r="E36" t="s">
        <v>1</v>
      </c>
      <c r="F36" t="s">
        <v>142</v>
      </c>
      <c r="G36" t="s">
        <v>187</v>
      </c>
      <c r="J36" t="s">
        <v>227</v>
      </c>
      <c r="M36" t="s">
        <v>147</v>
      </c>
      <c r="N36" t="s">
        <v>148</v>
      </c>
      <c r="O36" t="s">
        <v>149</v>
      </c>
      <c r="P36" t="s">
        <v>150</v>
      </c>
      <c r="Q36" s="1">
        <f>SUMIF(Monitoring!H:H,Offices!B36,Monitoring!R:R)</f>
        <v>4191964.29</v>
      </c>
      <c r="R36" s="12">
        <f t="shared" si="0"/>
        <v>-4.2857145890593529E-3</v>
      </c>
    </row>
    <row r="37" spans="1:18" x14ac:dyDescent="0.35">
      <c r="A37" t="s">
        <v>139</v>
      </c>
      <c r="B37" t="s">
        <v>244</v>
      </c>
      <c r="C37" t="s">
        <v>245</v>
      </c>
      <c r="D37" s="1">
        <v>750000</v>
      </c>
      <c r="E37" t="s">
        <v>1</v>
      </c>
      <c r="F37" t="s">
        <v>142</v>
      </c>
      <c r="G37" t="s">
        <v>143</v>
      </c>
      <c r="J37" t="s">
        <v>246</v>
      </c>
      <c r="M37" t="s">
        <v>147</v>
      </c>
      <c r="N37" t="s">
        <v>148</v>
      </c>
      <c r="O37" t="s">
        <v>149</v>
      </c>
      <c r="P37" t="s">
        <v>150</v>
      </c>
      <c r="Q37" s="1">
        <f>SUMIF(Monitoring!H:H,Offices!B37,Monitoring!R:R)</f>
        <v>750000</v>
      </c>
      <c r="R37" s="12">
        <f t="shared" si="0"/>
        <v>0</v>
      </c>
    </row>
    <row r="38" spans="1:18" x14ac:dyDescent="0.35">
      <c r="A38" t="s">
        <v>139</v>
      </c>
      <c r="B38" t="s">
        <v>247</v>
      </c>
      <c r="C38" t="s">
        <v>248</v>
      </c>
      <c r="D38" s="1">
        <v>2000000</v>
      </c>
      <c r="E38" t="s">
        <v>1</v>
      </c>
      <c r="F38" t="s">
        <v>142</v>
      </c>
      <c r="G38" t="s">
        <v>249</v>
      </c>
      <c r="J38" t="s">
        <v>250</v>
      </c>
      <c r="M38" t="s">
        <v>147</v>
      </c>
      <c r="N38" t="s">
        <v>148</v>
      </c>
      <c r="O38" t="s">
        <v>149</v>
      </c>
      <c r="P38" t="s">
        <v>150</v>
      </c>
      <c r="Q38" s="1">
        <f>SUMIF(Monitoring!H:H,Offices!B38,Monitoring!R:R)</f>
        <v>1556600</v>
      </c>
      <c r="R38" s="12">
        <f t="shared" si="0"/>
        <v>443400</v>
      </c>
    </row>
    <row r="39" spans="1:18" x14ac:dyDescent="0.35">
      <c r="A39" t="s">
        <v>151</v>
      </c>
      <c r="B39" t="s">
        <v>251</v>
      </c>
      <c r="C39" t="s">
        <v>252</v>
      </c>
      <c r="D39" s="1">
        <v>2000000</v>
      </c>
      <c r="E39" t="s">
        <v>1</v>
      </c>
      <c r="F39" t="s">
        <v>142</v>
      </c>
      <c r="G39" t="s">
        <v>143</v>
      </c>
      <c r="J39" t="s">
        <v>246</v>
      </c>
      <c r="M39" t="s">
        <v>155</v>
      </c>
      <c r="N39" t="s">
        <v>148</v>
      </c>
      <c r="O39" t="s">
        <v>149</v>
      </c>
      <c r="P39" t="s">
        <v>150</v>
      </c>
      <c r="Q39" s="1">
        <f>SUMIF(Monitoring!H:H,Offices!B39,Monitoring!R:R)</f>
        <v>2000000</v>
      </c>
      <c r="R39" s="12">
        <f t="shared" si="0"/>
        <v>0</v>
      </c>
    </row>
    <row r="40" spans="1:18" x14ac:dyDescent="0.35">
      <c r="A40" t="s">
        <v>139</v>
      </c>
      <c r="B40" t="s">
        <v>253</v>
      </c>
      <c r="C40" t="s">
        <v>254</v>
      </c>
      <c r="D40" s="1">
        <v>700000</v>
      </c>
      <c r="E40" t="s">
        <v>1</v>
      </c>
      <c r="F40" t="s">
        <v>142</v>
      </c>
      <c r="G40" t="s">
        <v>143</v>
      </c>
      <c r="J40" t="s">
        <v>246</v>
      </c>
      <c r="M40" t="s">
        <v>147</v>
      </c>
      <c r="N40" t="s">
        <v>148</v>
      </c>
      <c r="O40" t="s">
        <v>149</v>
      </c>
      <c r="P40" t="s">
        <v>150</v>
      </c>
      <c r="Q40" s="1">
        <f>SUMIF(Monitoring!H:H,Offices!B40,Monitoring!R:R)</f>
        <v>0</v>
      </c>
      <c r="R40" s="12">
        <f t="shared" si="0"/>
        <v>700000</v>
      </c>
    </row>
    <row r="41" spans="1:18" x14ac:dyDescent="0.35">
      <c r="A41" t="s">
        <v>139</v>
      </c>
      <c r="B41" t="s">
        <v>255</v>
      </c>
      <c r="C41" t="s">
        <v>256</v>
      </c>
      <c r="D41" s="1">
        <v>1000000</v>
      </c>
      <c r="E41" t="s">
        <v>1</v>
      </c>
      <c r="F41" t="s">
        <v>142</v>
      </c>
      <c r="G41" t="s">
        <v>143</v>
      </c>
      <c r="J41" t="s">
        <v>246</v>
      </c>
      <c r="M41" t="s">
        <v>147</v>
      </c>
      <c r="N41" t="s">
        <v>148</v>
      </c>
      <c r="O41" t="s">
        <v>149</v>
      </c>
      <c r="P41" t="s">
        <v>150</v>
      </c>
      <c r="Q41" s="1">
        <f>SUMIF(Monitoring!H:H,Offices!B41,Monitoring!R:R)</f>
        <v>0</v>
      </c>
      <c r="R41" s="12">
        <f t="shared" si="0"/>
        <v>1000000</v>
      </c>
    </row>
    <row r="42" spans="1:18" x14ac:dyDescent="0.35">
      <c r="A42" s="15" t="s">
        <v>151</v>
      </c>
      <c r="B42" t="s">
        <v>257</v>
      </c>
      <c r="C42" t="s">
        <v>258</v>
      </c>
      <c r="D42" s="1">
        <v>800000</v>
      </c>
      <c r="E42" t="s">
        <v>1</v>
      </c>
      <c r="F42" t="s">
        <v>142</v>
      </c>
      <c r="G42" t="s">
        <v>143</v>
      </c>
      <c r="J42" t="s">
        <v>246</v>
      </c>
      <c r="M42" t="s">
        <v>147</v>
      </c>
      <c r="N42" t="s">
        <v>148</v>
      </c>
      <c r="O42" t="s">
        <v>149</v>
      </c>
      <c r="P42" t="s">
        <v>150</v>
      </c>
      <c r="Q42" s="1">
        <f>SUMIF(Monitoring!H:H,Offices!B42,Monitoring!R:R)</f>
        <v>800000</v>
      </c>
      <c r="R42" s="12">
        <f t="shared" si="0"/>
        <v>0</v>
      </c>
    </row>
    <row r="43" spans="1:18" x14ac:dyDescent="0.35">
      <c r="A43" t="s">
        <v>139</v>
      </c>
      <c r="B43" t="s">
        <v>259</v>
      </c>
      <c r="C43" t="s">
        <v>260</v>
      </c>
      <c r="D43" s="1">
        <v>1500000</v>
      </c>
      <c r="E43" t="s">
        <v>1</v>
      </c>
      <c r="F43" t="s">
        <v>142</v>
      </c>
      <c r="G43" t="s">
        <v>143</v>
      </c>
      <c r="J43" t="s">
        <v>246</v>
      </c>
      <c r="M43" t="s">
        <v>147</v>
      </c>
      <c r="N43" t="s">
        <v>148</v>
      </c>
      <c r="O43" t="s">
        <v>149</v>
      </c>
      <c r="P43" t="s">
        <v>150</v>
      </c>
      <c r="Q43" s="1">
        <f>SUMIF(Monitoring!H:H,Offices!B43,Monitoring!R:R)</f>
        <v>1210650</v>
      </c>
      <c r="R43" s="12">
        <f t="shared" si="0"/>
        <v>289350</v>
      </c>
    </row>
    <row r="44" spans="1:18" x14ac:dyDescent="0.35">
      <c r="A44" t="s">
        <v>151</v>
      </c>
      <c r="B44" t="s">
        <v>261</v>
      </c>
      <c r="C44" t="s">
        <v>262</v>
      </c>
      <c r="D44" s="1">
        <v>700000</v>
      </c>
      <c r="E44" t="s">
        <v>1</v>
      </c>
      <c r="F44" t="s">
        <v>142</v>
      </c>
      <c r="G44" t="s">
        <v>263</v>
      </c>
      <c r="J44" t="s">
        <v>264</v>
      </c>
      <c r="M44" t="s">
        <v>155</v>
      </c>
      <c r="N44" t="s">
        <v>148</v>
      </c>
      <c r="O44" t="s">
        <v>149</v>
      </c>
      <c r="P44" t="s">
        <v>150</v>
      </c>
      <c r="Q44" s="1">
        <f>SUMIF(Monitoring!H:H,Offices!B44,Monitoring!R:R)</f>
        <v>700000</v>
      </c>
      <c r="R44" s="12">
        <f t="shared" si="0"/>
        <v>0</v>
      </c>
    </row>
    <row r="45" spans="1:18" x14ac:dyDescent="0.35">
      <c r="A45" t="s">
        <v>151</v>
      </c>
      <c r="B45" t="s">
        <v>265</v>
      </c>
      <c r="C45" t="s">
        <v>266</v>
      </c>
      <c r="D45" s="1">
        <v>800000</v>
      </c>
      <c r="E45" t="s">
        <v>1</v>
      </c>
      <c r="F45" t="s">
        <v>142</v>
      </c>
      <c r="G45" t="s">
        <v>187</v>
      </c>
      <c r="J45" t="s">
        <v>267</v>
      </c>
      <c r="M45" t="s">
        <v>155</v>
      </c>
      <c r="N45" t="s">
        <v>148</v>
      </c>
      <c r="O45" t="s">
        <v>149</v>
      </c>
      <c r="P45" t="s">
        <v>150</v>
      </c>
      <c r="Q45" s="1">
        <f>SUMIF(Monitoring!H:H,Offices!B45,Monitoring!R:R)</f>
        <v>800000</v>
      </c>
      <c r="R45" s="12">
        <f t="shared" si="0"/>
        <v>0</v>
      </c>
    </row>
    <row r="46" spans="1:18" x14ac:dyDescent="0.35">
      <c r="A46" t="s">
        <v>151</v>
      </c>
      <c r="B46" t="s">
        <v>268</v>
      </c>
      <c r="C46" t="s">
        <v>269</v>
      </c>
      <c r="D46" s="1">
        <v>600000</v>
      </c>
      <c r="E46" t="s">
        <v>1</v>
      </c>
      <c r="F46" t="s">
        <v>142</v>
      </c>
      <c r="G46" t="s">
        <v>187</v>
      </c>
      <c r="J46" t="s">
        <v>270</v>
      </c>
      <c r="M46" t="s">
        <v>155</v>
      </c>
      <c r="N46" t="s">
        <v>148</v>
      </c>
      <c r="O46" t="s">
        <v>149</v>
      </c>
      <c r="P46" t="s">
        <v>150</v>
      </c>
      <c r="Q46" s="1">
        <f>SUMIF(Monitoring!H:H,Offices!B46,Monitoring!R:R)</f>
        <v>600000</v>
      </c>
      <c r="R46" s="12">
        <f t="shared" si="0"/>
        <v>0</v>
      </c>
    </row>
    <row r="47" spans="1:18" x14ac:dyDescent="0.35">
      <c r="A47" t="s">
        <v>173</v>
      </c>
      <c r="B47" t="s">
        <v>88</v>
      </c>
      <c r="C47" t="s">
        <v>271</v>
      </c>
      <c r="D47" s="1">
        <v>409178.55</v>
      </c>
      <c r="E47" t="s">
        <v>1</v>
      </c>
      <c r="F47" t="s">
        <v>142</v>
      </c>
      <c r="G47" t="s">
        <v>160</v>
      </c>
      <c r="J47" t="s">
        <v>272</v>
      </c>
      <c r="M47" t="s">
        <v>90</v>
      </c>
      <c r="N47" t="s">
        <v>148</v>
      </c>
      <c r="O47" t="s">
        <v>149</v>
      </c>
      <c r="P47" t="s">
        <v>150</v>
      </c>
      <c r="Q47" s="1">
        <f>SUMIF(Monitoring!H:H,Offices!B47,Monitoring!R:R)</f>
        <v>409178.55</v>
      </c>
      <c r="R47" s="12">
        <f t="shared" si="0"/>
        <v>0</v>
      </c>
    </row>
  </sheetData>
  <autoFilter ref="A4:Q47" xr:uid="{051D1577-0A7F-46FE-B33E-0EB98AF36096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A2108-C5D9-4A70-BD53-0D045C6CD19B}">
  <sheetPr>
    <tabColor theme="9" tint="0.79998168889431442"/>
  </sheetPr>
  <dimension ref="A1:T35"/>
  <sheetViews>
    <sheetView zoomScale="70" zoomScaleNormal="7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15" sqref="B15"/>
    </sheetView>
  </sheetViews>
  <sheetFormatPr defaultRowHeight="14.5" x14ac:dyDescent="0.35"/>
  <cols>
    <col min="1" max="1" width="18.54296875" bestFit="1" customWidth="1"/>
    <col min="2" max="2" width="37.08984375" customWidth="1"/>
    <col min="3" max="3" width="21" bestFit="1" customWidth="1"/>
    <col min="4" max="4" width="17.26953125" bestFit="1" customWidth="1"/>
    <col min="5" max="5" width="11.453125" bestFit="1" customWidth="1"/>
    <col min="6" max="6" width="13.7265625" style="16" bestFit="1" customWidth="1"/>
    <col min="7" max="7" width="12.54296875" style="16" bestFit="1" customWidth="1"/>
    <col min="8" max="8" width="12.81640625" bestFit="1" customWidth="1"/>
    <col min="9" max="9" width="15.81640625" bestFit="1" customWidth="1"/>
    <col min="10" max="10" width="14.453125" bestFit="1" customWidth="1"/>
    <col min="11" max="11" width="2.1796875" customWidth="1"/>
    <col min="12" max="12" width="14.81640625" bestFit="1" customWidth="1"/>
    <col min="13" max="13" width="13.81640625" customWidth="1"/>
    <col min="14" max="14" width="14.81640625" customWidth="1"/>
    <col min="15" max="15" width="13.81640625" customWidth="1"/>
    <col min="16" max="16" width="15.453125" customWidth="1"/>
    <col min="17" max="17" width="2.453125" customWidth="1"/>
    <col min="18" max="18" width="28.7265625" hidden="1" customWidth="1"/>
    <col min="19" max="20" width="14.36328125" bestFit="1" customWidth="1"/>
  </cols>
  <sheetData>
    <row r="1" spans="1:20" x14ac:dyDescent="0.35">
      <c r="C1" s="6">
        <f>SUBTOTAL(9,C3:C1048576)</f>
        <v>154000000</v>
      </c>
      <c r="F1"/>
      <c r="G1"/>
      <c r="I1" s="6">
        <f>SUBTOTAL(9,I3:I1048576)</f>
        <v>100150000</v>
      </c>
      <c r="J1" s="6">
        <f>SUBTOTAL(9,J3:J1048576)</f>
        <v>53850000</v>
      </c>
      <c r="L1" s="6">
        <f>SUBTOTAL(9,L3:L1048576)</f>
        <v>31000000</v>
      </c>
      <c r="M1" s="6">
        <f t="shared" ref="M1:O1" si="0">SUBTOTAL(9,M3:M1048576)</f>
        <v>4900000</v>
      </c>
      <c r="N1" s="6">
        <f t="shared" si="0"/>
        <v>11900000</v>
      </c>
      <c r="O1" s="6">
        <f t="shared" si="0"/>
        <v>6050000</v>
      </c>
      <c r="S1" s="6">
        <f>SUBTOTAL(9,S3:S1048576)</f>
        <v>17021703.672857143</v>
      </c>
      <c r="T1" s="6">
        <f>SUBTOTAL(9,T3:T1048576)</f>
        <v>13978296.327142857</v>
      </c>
    </row>
    <row r="2" spans="1:20" x14ac:dyDescent="0.35">
      <c r="A2" s="18" t="s">
        <v>129</v>
      </c>
      <c r="B2" s="18" t="s">
        <v>100</v>
      </c>
      <c r="C2" s="18" t="s">
        <v>101</v>
      </c>
      <c r="D2" s="18" t="s">
        <v>104</v>
      </c>
      <c r="E2" s="18" t="s">
        <v>105</v>
      </c>
      <c r="F2" s="19" t="s">
        <v>106</v>
      </c>
      <c r="G2" s="19" t="s">
        <v>107</v>
      </c>
      <c r="H2" s="19" t="s">
        <v>65</v>
      </c>
      <c r="I2" s="19" t="s">
        <v>102</v>
      </c>
      <c r="J2" s="19" t="s">
        <v>103</v>
      </c>
      <c r="L2" s="25" t="s">
        <v>390</v>
      </c>
      <c r="M2" s="25" t="s">
        <v>391</v>
      </c>
      <c r="N2" s="25" t="s">
        <v>392</v>
      </c>
      <c r="O2" s="25" t="s">
        <v>393</v>
      </c>
      <c r="P2" s="25" t="s">
        <v>109</v>
      </c>
      <c r="R2" s="19" t="s">
        <v>394</v>
      </c>
      <c r="S2" s="19" t="s">
        <v>395</v>
      </c>
      <c r="T2" s="19" t="s">
        <v>462</v>
      </c>
    </row>
    <row r="3" spans="1:20" x14ac:dyDescent="0.35">
      <c r="B3" t="s">
        <v>396</v>
      </c>
      <c r="C3" s="1">
        <v>900000</v>
      </c>
      <c r="D3" t="s">
        <v>397</v>
      </c>
      <c r="E3" t="s">
        <v>6</v>
      </c>
      <c r="F3" s="16">
        <v>44999</v>
      </c>
      <c r="G3" s="16">
        <v>45016</v>
      </c>
      <c r="H3" t="s">
        <v>390</v>
      </c>
      <c r="I3" s="12">
        <f>C3</f>
        <v>900000</v>
      </c>
      <c r="J3" s="12">
        <f t="shared" ref="J3:J35" si="1">C3-I3</f>
        <v>0</v>
      </c>
      <c r="L3" s="12">
        <f>J3</f>
        <v>0</v>
      </c>
    </row>
    <row r="4" spans="1:20" x14ac:dyDescent="0.35">
      <c r="B4" t="s">
        <v>398</v>
      </c>
      <c r="C4" s="1">
        <v>50000000</v>
      </c>
      <c r="D4" t="s">
        <v>399</v>
      </c>
      <c r="E4" t="s">
        <v>400</v>
      </c>
      <c r="F4" s="16">
        <v>45306</v>
      </c>
      <c r="G4" s="16">
        <v>45657</v>
      </c>
      <c r="H4" t="s">
        <v>390</v>
      </c>
      <c r="I4" s="12">
        <f>C4</f>
        <v>50000000</v>
      </c>
      <c r="J4" s="12">
        <f t="shared" si="1"/>
        <v>0</v>
      </c>
      <c r="L4" s="12">
        <f>J4</f>
        <v>0</v>
      </c>
    </row>
    <row r="5" spans="1:20" x14ac:dyDescent="0.35">
      <c r="B5" t="s">
        <v>401</v>
      </c>
      <c r="C5" s="1">
        <v>4000000</v>
      </c>
      <c r="D5" t="s">
        <v>399</v>
      </c>
      <c r="E5" t="s">
        <v>402</v>
      </c>
      <c r="F5" s="16">
        <v>45292</v>
      </c>
      <c r="G5" s="16">
        <v>45443</v>
      </c>
      <c r="H5" t="s">
        <v>392</v>
      </c>
      <c r="I5" s="12"/>
      <c r="J5" s="12">
        <f t="shared" si="1"/>
        <v>4000000</v>
      </c>
      <c r="N5" s="12">
        <f>J5</f>
        <v>4000000</v>
      </c>
    </row>
    <row r="6" spans="1:20" x14ac:dyDescent="0.35">
      <c r="B6" t="s">
        <v>403</v>
      </c>
      <c r="C6" s="1">
        <v>400000</v>
      </c>
      <c r="D6" t="s">
        <v>399</v>
      </c>
      <c r="E6" t="s">
        <v>402</v>
      </c>
      <c r="F6" s="16">
        <v>45170</v>
      </c>
      <c r="G6" s="16">
        <v>45382</v>
      </c>
      <c r="H6" t="s">
        <v>392</v>
      </c>
      <c r="I6" s="12"/>
      <c r="J6" s="12">
        <f t="shared" si="1"/>
        <v>400000</v>
      </c>
      <c r="N6" s="12">
        <f>J6</f>
        <v>400000</v>
      </c>
    </row>
    <row r="7" spans="1:20" x14ac:dyDescent="0.35">
      <c r="B7" t="s">
        <v>404</v>
      </c>
      <c r="C7" s="1">
        <v>8000000</v>
      </c>
      <c r="D7" t="s">
        <v>399</v>
      </c>
      <c r="E7" t="s">
        <v>6</v>
      </c>
      <c r="F7" s="16">
        <v>45323</v>
      </c>
      <c r="G7" s="16">
        <v>45473</v>
      </c>
      <c r="H7" t="s">
        <v>390</v>
      </c>
      <c r="I7" s="12">
        <f>C7</f>
        <v>8000000</v>
      </c>
      <c r="J7" s="12">
        <f t="shared" si="1"/>
        <v>0</v>
      </c>
      <c r="L7" s="12">
        <f t="shared" ref="L7:L9" si="2">J7</f>
        <v>0</v>
      </c>
    </row>
    <row r="8" spans="1:20" x14ac:dyDescent="0.35">
      <c r="A8" t="s">
        <v>405</v>
      </c>
      <c r="B8" t="s">
        <v>406</v>
      </c>
      <c r="C8" s="1">
        <v>1000000</v>
      </c>
      <c r="D8" t="s">
        <v>399</v>
      </c>
      <c r="E8" t="s">
        <v>6</v>
      </c>
      <c r="F8" s="16">
        <v>45292</v>
      </c>
      <c r="G8" s="16">
        <v>45657</v>
      </c>
      <c r="H8" t="s">
        <v>390</v>
      </c>
      <c r="I8" s="12">
        <v>500000</v>
      </c>
      <c r="J8" s="12">
        <f t="shared" si="1"/>
        <v>500000</v>
      </c>
      <c r="L8" s="12">
        <f t="shared" si="2"/>
        <v>500000</v>
      </c>
      <c r="S8" s="24">
        <f>SUMIF(Monitoring!H:H,IT!A8,Monitoring!R:R)</f>
        <v>0</v>
      </c>
      <c r="T8" s="12">
        <f>J8-S8</f>
        <v>500000</v>
      </c>
    </row>
    <row r="9" spans="1:20" x14ac:dyDescent="0.35">
      <c r="A9" t="s">
        <v>407</v>
      </c>
      <c r="B9" t="s">
        <v>408</v>
      </c>
      <c r="C9" s="1">
        <v>1500000</v>
      </c>
      <c r="D9" t="s">
        <v>399</v>
      </c>
      <c r="E9" t="s">
        <v>6</v>
      </c>
      <c r="F9" s="16">
        <v>45292</v>
      </c>
      <c r="G9" s="16">
        <v>45657</v>
      </c>
      <c r="H9" t="s">
        <v>390</v>
      </c>
      <c r="I9" s="1">
        <v>800000</v>
      </c>
      <c r="J9" s="12">
        <f t="shared" si="1"/>
        <v>700000</v>
      </c>
      <c r="L9" s="12">
        <f t="shared" si="2"/>
        <v>700000</v>
      </c>
      <c r="S9" s="24">
        <f>SUMIF(Monitoring!H:H,IT!A9,Monitoring!R:R)</f>
        <v>0</v>
      </c>
      <c r="T9" s="12">
        <f>J9-S9</f>
        <v>700000</v>
      </c>
    </row>
    <row r="10" spans="1:20" x14ac:dyDescent="0.35">
      <c r="B10" t="s">
        <v>409</v>
      </c>
      <c r="C10" s="1">
        <v>1500000</v>
      </c>
      <c r="D10" t="s">
        <v>399</v>
      </c>
      <c r="E10" t="s">
        <v>410</v>
      </c>
      <c r="F10" s="16">
        <v>45292</v>
      </c>
      <c r="G10" s="16">
        <v>45657</v>
      </c>
      <c r="H10" t="s">
        <v>9</v>
      </c>
      <c r="I10" s="12"/>
      <c r="J10" s="12">
        <f t="shared" si="1"/>
        <v>1500000</v>
      </c>
      <c r="M10" s="12">
        <f>J10</f>
        <v>1500000</v>
      </c>
    </row>
    <row r="11" spans="1:20" x14ac:dyDescent="0.35">
      <c r="A11" t="s">
        <v>411</v>
      </c>
      <c r="B11" t="s">
        <v>412</v>
      </c>
      <c r="C11" s="1">
        <v>600000</v>
      </c>
      <c r="D11" t="s">
        <v>399</v>
      </c>
      <c r="E11" t="s">
        <v>6</v>
      </c>
      <c r="F11" s="16">
        <v>45383</v>
      </c>
      <c r="G11" s="16">
        <v>45535</v>
      </c>
      <c r="H11" t="s">
        <v>390</v>
      </c>
      <c r="I11" s="12">
        <v>300000</v>
      </c>
      <c r="J11" s="12">
        <f t="shared" si="1"/>
        <v>300000</v>
      </c>
      <c r="L11" s="12">
        <f>J11</f>
        <v>300000</v>
      </c>
      <c r="S11" s="24">
        <f>SUMIF(Monitoring!H:H,IT!A11,Monitoring!R:R)</f>
        <v>0</v>
      </c>
      <c r="T11" s="12">
        <f>J11-S11</f>
        <v>300000</v>
      </c>
    </row>
    <row r="12" spans="1:20" x14ac:dyDescent="0.35">
      <c r="B12" t="s">
        <v>413</v>
      </c>
      <c r="C12" s="1">
        <v>400000</v>
      </c>
      <c r="D12" t="s">
        <v>399</v>
      </c>
      <c r="E12" t="s">
        <v>410</v>
      </c>
      <c r="F12" s="16">
        <v>45323</v>
      </c>
      <c r="G12" s="16">
        <v>45443</v>
      </c>
      <c r="H12" t="s">
        <v>9</v>
      </c>
      <c r="I12" s="12"/>
      <c r="J12" s="12">
        <f t="shared" si="1"/>
        <v>400000</v>
      </c>
      <c r="M12" s="12">
        <f>J12</f>
        <v>400000</v>
      </c>
    </row>
    <row r="13" spans="1:20" x14ac:dyDescent="0.35">
      <c r="B13" t="s">
        <v>414</v>
      </c>
      <c r="C13" s="1">
        <v>1500000</v>
      </c>
      <c r="D13" t="s">
        <v>399</v>
      </c>
      <c r="E13" t="s">
        <v>402</v>
      </c>
      <c r="F13" s="16">
        <v>45323</v>
      </c>
      <c r="G13" s="16">
        <v>45473</v>
      </c>
      <c r="H13" t="s">
        <v>392</v>
      </c>
      <c r="I13" s="12"/>
      <c r="J13" s="12">
        <f t="shared" si="1"/>
        <v>1500000</v>
      </c>
      <c r="N13" s="12">
        <f>J13</f>
        <v>1500000</v>
      </c>
    </row>
    <row r="14" spans="1:20" x14ac:dyDescent="0.35">
      <c r="B14" t="s">
        <v>415</v>
      </c>
      <c r="C14" s="1">
        <v>300000</v>
      </c>
      <c r="D14" t="s">
        <v>399</v>
      </c>
      <c r="E14" t="s">
        <v>410</v>
      </c>
      <c r="F14" s="16">
        <v>45444</v>
      </c>
      <c r="G14" s="16">
        <v>45473</v>
      </c>
      <c r="H14" t="s">
        <v>9</v>
      </c>
      <c r="I14" s="12">
        <f>C14</f>
        <v>300000</v>
      </c>
      <c r="J14" s="12">
        <f t="shared" si="1"/>
        <v>0</v>
      </c>
    </row>
    <row r="15" spans="1:20" x14ac:dyDescent="0.35">
      <c r="B15" t="s">
        <v>416</v>
      </c>
      <c r="C15" s="1">
        <v>900000</v>
      </c>
      <c r="D15" t="s">
        <v>399</v>
      </c>
      <c r="E15" t="s">
        <v>6</v>
      </c>
      <c r="F15" s="16">
        <v>45292</v>
      </c>
      <c r="G15" s="16">
        <v>45657</v>
      </c>
      <c r="H15" t="s">
        <v>390</v>
      </c>
      <c r="I15" s="12">
        <f>C15</f>
        <v>900000</v>
      </c>
      <c r="J15" s="12">
        <f t="shared" si="1"/>
        <v>0</v>
      </c>
      <c r="L15" s="12">
        <f t="shared" ref="L15:L17" si="3">J15</f>
        <v>0</v>
      </c>
    </row>
    <row r="16" spans="1:20" x14ac:dyDescent="0.35">
      <c r="A16" t="s">
        <v>417</v>
      </c>
      <c r="B16" t="s">
        <v>418</v>
      </c>
      <c r="C16" s="1">
        <v>100000</v>
      </c>
      <c r="D16" t="s">
        <v>399</v>
      </c>
      <c r="E16" t="s">
        <v>6</v>
      </c>
      <c r="F16" s="16">
        <v>45292</v>
      </c>
      <c r="G16" s="16">
        <v>45596</v>
      </c>
      <c r="H16" t="s">
        <v>390</v>
      </c>
      <c r="J16" s="12">
        <f t="shared" si="1"/>
        <v>100000</v>
      </c>
      <c r="L16" s="12">
        <f t="shared" si="3"/>
        <v>100000</v>
      </c>
      <c r="S16" s="24">
        <f>SUMIF(Monitoring!H:H,IT!A16,Monitoring!R:R)</f>
        <v>0</v>
      </c>
      <c r="T16" s="12">
        <f t="shared" ref="T16:T17" si="4">J16-S16</f>
        <v>100000</v>
      </c>
    </row>
    <row r="17" spans="1:20" x14ac:dyDescent="0.35">
      <c r="A17" t="s">
        <v>419</v>
      </c>
      <c r="B17" t="s">
        <v>420</v>
      </c>
      <c r="C17" s="1">
        <v>15000000</v>
      </c>
      <c r="D17" t="s">
        <v>421</v>
      </c>
      <c r="E17" t="s">
        <v>400</v>
      </c>
      <c r="F17" s="16">
        <v>45292</v>
      </c>
      <c r="G17" s="16">
        <v>45657</v>
      </c>
      <c r="H17" t="s">
        <v>390</v>
      </c>
      <c r="I17" s="1">
        <v>11600000</v>
      </c>
      <c r="J17" s="12">
        <f t="shared" si="1"/>
        <v>3400000</v>
      </c>
      <c r="L17" s="12">
        <f t="shared" si="3"/>
        <v>3400000</v>
      </c>
      <c r="S17" s="24">
        <f>SUMIF(Monitoring!H:H,IT!A17,Monitoring!R:R)</f>
        <v>0</v>
      </c>
      <c r="T17" s="12">
        <f t="shared" si="4"/>
        <v>3400000</v>
      </c>
    </row>
    <row r="18" spans="1:20" x14ac:dyDescent="0.35">
      <c r="B18" t="s">
        <v>422</v>
      </c>
      <c r="C18" s="1">
        <v>2500000</v>
      </c>
      <c r="H18" t="s">
        <v>9</v>
      </c>
      <c r="I18" s="12">
        <v>1500000</v>
      </c>
      <c r="J18" s="12">
        <f t="shared" si="1"/>
        <v>1000000</v>
      </c>
      <c r="M18" s="12">
        <f>J18</f>
        <v>1000000</v>
      </c>
    </row>
    <row r="19" spans="1:20" x14ac:dyDescent="0.35">
      <c r="A19" t="s">
        <v>423</v>
      </c>
      <c r="B19" t="s">
        <v>424</v>
      </c>
      <c r="C19" s="1">
        <v>21000000</v>
      </c>
      <c r="H19" t="s">
        <v>390</v>
      </c>
      <c r="I19" s="1">
        <v>19000000</v>
      </c>
      <c r="J19" s="12">
        <f t="shared" si="1"/>
        <v>2000000</v>
      </c>
      <c r="L19" s="12">
        <f>J19</f>
        <v>2000000</v>
      </c>
      <c r="P19" t="s">
        <v>425</v>
      </c>
      <c r="S19" s="24">
        <f>SUMIF(Monitoring!H:H,IT!A19,Monitoring!R:R)</f>
        <v>0</v>
      </c>
      <c r="T19" s="12">
        <f>J19-S19</f>
        <v>2000000</v>
      </c>
    </row>
    <row r="20" spans="1:20" x14ac:dyDescent="0.35">
      <c r="B20" t="s">
        <v>426</v>
      </c>
      <c r="C20" s="1">
        <v>6000000</v>
      </c>
      <c r="H20" t="s">
        <v>392</v>
      </c>
      <c r="I20" s="12"/>
      <c r="J20" s="12">
        <f t="shared" si="1"/>
        <v>6000000</v>
      </c>
      <c r="N20" s="12">
        <f>J20</f>
        <v>6000000</v>
      </c>
    </row>
    <row r="21" spans="1:20" x14ac:dyDescent="0.35">
      <c r="A21" t="s">
        <v>427</v>
      </c>
      <c r="B21" t="s">
        <v>428</v>
      </c>
      <c r="C21" s="1">
        <v>18000000</v>
      </c>
      <c r="D21" t="s">
        <v>429</v>
      </c>
      <c r="F21" s="16">
        <v>45658</v>
      </c>
      <c r="G21" s="16">
        <v>46022</v>
      </c>
      <c r="H21" t="s">
        <v>390</v>
      </c>
      <c r="I21" s="12">
        <v>3000000</v>
      </c>
      <c r="J21" s="12">
        <f t="shared" si="1"/>
        <v>15000000</v>
      </c>
      <c r="L21" s="12">
        <f t="shared" ref="L21:L22" si="5">J21</f>
        <v>15000000</v>
      </c>
      <c r="R21" t="s">
        <v>744</v>
      </c>
      <c r="S21" s="24">
        <f>SUMIF(Monitoring!H:H,IT!A21,Monitoring!R:R)</f>
        <v>13746742.140000001</v>
      </c>
      <c r="T21" s="12">
        <f>J21-S21</f>
        <v>1253257.8599999994</v>
      </c>
    </row>
    <row r="22" spans="1:20" x14ac:dyDescent="0.35">
      <c r="B22" t="s">
        <v>430</v>
      </c>
      <c r="C22" s="1">
        <v>350000</v>
      </c>
      <c r="D22" t="s">
        <v>431</v>
      </c>
      <c r="E22" t="s">
        <v>432</v>
      </c>
      <c r="H22" t="s">
        <v>390</v>
      </c>
      <c r="I22" s="12">
        <f>C22</f>
        <v>350000</v>
      </c>
      <c r="J22" s="12">
        <f t="shared" si="1"/>
        <v>0</v>
      </c>
      <c r="L22" s="12">
        <f t="shared" si="5"/>
        <v>0</v>
      </c>
    </row>
    <row r="23" spans="1:20" x14ac:dyDescent="0.35">
      <c r="B23" t="s">
        <v>433</v>
      </c>
      <c r="C23" s="1">
        <v>2000000</v>
      </c>
      <c r="D23" t="s">
        <v>399</v>
      </c>
      <c r="E23" t="s">
        <v>410</v>
      </c>
      <c r="F23" s="16">
        <v>45666</v>
      </c>
      <c r="G23" s="16">
        <v>46029</v>
      </c>
      <c r="H23" t="s">
        <v>9</v>
      </c>
      <c r="I23" s="12"/>
      <c r="J23" s="12">
        <f t="shared" si="1"/>
        <v>2000000</v>
      </c>
      <c r="M23" s="12">
        <f>J23</f>
        <v>2000000</v>
      </c>
    </row>
    <row r="24" spans="1:20" x14ac:dyDescent="0.35">
      <c r="B24" t="s">
        <v>434</v>
      </c>
      <c r="C24" s="1">
        <v>3000000</v>
      </c>
      <c r="F24" s="16">
        <v>46025</v>
      </c>
      <c r="G24" s="16" t="s">
        <v>92</v>
      </c>
      <c r="H24" t="s">
        <v>435</v>
      </c>
      <c r="I24" s="12"/>
      <c r="J24" s="12">
        <f t="shared" si="1"/>
        <v>3000000</v>
      </c>
      <c r="O24" s="12">
        <f>J24</f>
        <v>3000000</v>
      </c>
    </row>
    <row r="25" spans="1:20" x14ac:dyDescent="0.35">
      <c r="B25" t="s">
        <v>436</v>
      </c>
      <c r="C25" s="1">
        <v>250000</v>
      </c>
      <c r="H25" t="s">
        <v>435</v>
      </c>
      <c r="I25" s="12"/>
      <c r="J25" s="12">
        <f t="shared" si="1"/>
        <v>250000</v>
      </c>
      <c r="O25" s="12">
        <f t="shared" ref="O25:O28" si="6">J25</f>
        <v>250000</v>
      </c>
    </row>
    <row r="26" spans="1:20" x14ac:dyDescent="0.35">
      <c r="B26" t="s">
        <v>437</v>
      </c>
      <c r="C26" s="1">
        <v>2000000</v>
      </c>
      <c r="H26" t="s">
        <v>435</v>
      </c>
      <c r="I26" s="12"/>
      <c r="J26" s="12">
        <f t="shared" si="1"/>
        <v>2000000</v>
      </c>
      <c r="O26" s="12">
        <f t="shared" si="6"/>
        <v>2000000</v>
      </c>
    </row>
    <row r="27" spans="1:20" x14ac:dyDescent="0.35">
      <c r="B27" t="s">
        <v>438</v>
      </c>
      <c r="C27" s="1">
        <v>500000</v>
      </c>
      <c r="H27" t="s">
        <v>435</v>
      </c>
      <c r="I27" s="12"/>
      <c r="J27" s="12">
        <f t="shared" si="1"/>
        <v>500000</v>
      </c>
      <c r="O27" s="12">
        <f t="shared" si="6"/>
        <v>500000</v>
      </c>
    </row>
    <row r="28" spans="1:20" x14ac:dyDescent="0.35">
      <c r="B28" t="s">
        <v>439</v>
      </c>
      <c r="C28" s="1">
        <v>300000</v>
      </c>
      <c r="H28" t="s">
        <v>435</v>
      </c>
      <c r="I28" s="12"/>
      <c r="J28" s="12">
        <f t="shared" si="1"/>
        <v>300000</v>
      </c>
      <c r="O28" s="12">
        <f t="shared" si="6"/>
        <v>300000</v>
      </c>
    </row>
    <row r="29" spans="1:20" x14ac:dyDescent="0.35">
      <c r="A29" t="s">
        <v>440</v>
      </c>
      <c r="B29" t="s">
        <v>441</v>
      </c>
      <c r="C29" s="1">
        <v>1000000</v>
      </c>
      <c r="D29" t="s">
        <v>442</v>
      </c>
      <c r="E29" t="s">
        <v>443</v>
      </c>
      <c r="H29" t="s">
        <v>390</v>
      </c>
      <c r="J29" s="12">
        <f t="shared" si="1"/>
        <v>1000000</v>
      </c>
      <c r="L29" s="12">
        <f t="shared" ref="L29:L34" si="7">J29</f>
        <v>1000000</v>
      </c>
      <c r="S29" s="24">
        <f>SUMIF(Monitoring!H:H,IT!A29,Monitoring!R:R)</f>
        <v>0</v>
      </c>
      <c r="T29" s="12">
        <f t="shared" ref="T29:T31" si="8">J29-S29</f>
        <v>1000000</v>
      </c>
    </row>
    <row r="30" spans="1:20" x14ac:dyDescent="0.35">
      <c r="A30" t="s">
        <v>444</v>
      </c>
      <c r="B30" t="s">
        <v>445</v>
      </c>
      <c r="C30" s="1">
        <v>2000000</v>
      </c>
      <c r="D30" t="s">
        <v>442</v>
      </c>
      <c r="E30" t="s">
        <v>443</v>
      </c>
      <c r="H30" t="s">
        <v>390</v>
      </c>
      <c r="I30" s="1">
        <v>500000</v>
      </c>
      <c r="J30" s="12">
        <f t="shared" si="1"/>
        <v>1500000</v>
      </c>
      <c r="L30" s="12">
        <f t="shared" si="7"/>
        <v>1500000</v>
      </c>
      <c r="S30" s="24">
        <f>SUMIF(Monitoring!H:H,IT!A30,Monitoring!R:R)</f>
        <v>0</v>
      </c>
      <c r="T30" s="12">
        <f t="shared" si="8"/>
        <v>1500000</v>
      </c>
    </row>
    <row r="31" spans="1:20" x14ac:dyDescent="0.35">
      <c r="A31" t="s">
        <v>446</v>
      </c>
      <c r="B31" t="s">
        <v>447</v>
      </c>
      <c r="C31" s="1">
        <v>2000000</v>
      </c>
      <c r="D31" t="s">
        <v>442</v>
      </c>
      <c r="E31" t="s">
        <v>443</v>
      </c>
      <c r="H31" t="s">
        <v>390</v>
      </c>
      <c r="I31" s="1">
        <v>500000</v>
      </c>
      <c r="J31" s="12">
        <f t="shared" si="1"/>
        <v>1500000</v>
      </c>
      <c r="L31" s="12">
        <f t="shared" si="7"/>
        <v>1500000</v>
      </c>
      <c r="S31" s="24">
        <f>SUMIF(Monitoring!H:H,IT!A31,Monitoring!R:R)</f>
        <v>0</v>
      </c>
      <c r="T31" s="12">
        <f t="shared" si="8"/>
        <v>1500000</v>
      </c>
    </row>
    <row r="32" spans="1:20" x14ac:dyDescent="0.35">
      <c r="B32" t="s">
        <v>448</v>
      </c>
      <c r="C32" s="1">
        <v>500000</v>
      </c>
      <c r="D32" t="s">
        <v>442</v>
      </c>
      <c r="E32" t="s">
        <v>443</v>
      </c>
      <c r="H32" t="s">
        <v>390</v>
      </c>
      <c r="I32" s="1">
        <f>C32</f>
        <v>500000</v>
      </c>
      <c r="J32" s="12">
        <f t="shared" si="1"/>
        <v>0</v>
      </c>
      <c r="L32" s="12">
        <f t="shared" si="7"/>
        <v>0</v>
      </c>
      <c r="P32" t="s">
        <v>449</v>
      </c>
    </row>
    <row r="33" spans="1:20" x14ac:dyDescent="0.35">
      <c r="A33" t="s">
        <v>450</v>
      </c>
      <c r="B33" t="s">
        <v>451</v>
      </c>
      <c r="C33" s="1">
        <v>1500000</v>
      </c>
      <c r="D33" t="s">
        <v>442</v>
      </c>
      <c r="E33" t="s">
        <v>443</v>
      </c>
      <c r="H33" t="s">
        <v>390</v>
      </c>
      <c r="I33" s="1">
        <v>1000000</v>
      </c>
      <c r="J33" s="12">
        <f t="shared" si="1"/>
        <v>500000</v>
      </c>
      <c r="L33" s="12">
        <f t="shared" si="7"/>
        <v>500000</v>
      </c>
      <c r="S33" s="24">
        <f>SUMIF(Monitoring!H:H,IT!A33,Monitoring!R:R)</f>
        <v>0</v>
      </c>
      <c r="T33" s="12">
        <f t="shared" ref="T33:T35" si="9">J33-S33</f>
        <v>500000</v>
      </c>
    </row>
    <row r="34" spans="1:20" x14ac:dyDescent="0.35">
      <c r="A34" t="s">
        <v>452</v>
      </c>
      <c r="B34" t="s">
        <v>453</v>
      </c>
      <c r="C34" s="1">
        <v>4000000</v>
      </c>
      <c r="D34" t="s">
        <v>442</v>
      </c>
      <c r="E34" t="s">
        <v>443</v>
      </c>
      <c r="H34" t="s">
        <v>390</v>
      </c>
      <c r="I34" s="1">
        <v>500000</v>
      </c>
      <c r="J34" s="12">
        <f t="shared" si="1"/>
        <v>3500000</v>
      </c>
      <c r="L34" s="12">
        <f t="shared" si="7"/>
        <v>3500000</v>
      </c>
      <c r="S34" s="24">
        <f>SUMIF(Monitoring!H:H,IT!A34,Monitoring!R:R)</f>
        <v>0</v>
      </c>
      <c r="T34" s="12">
        <f t="shared" si="9"/>
        <v>3500000</v>
      </c>
    </row>
    <row r="35" spans="1:20" x14ac:dyDescent="0.35">
      <c r="A35" t="s">
        <v>454</v>
      </c>
      <c r="B35" t="s">
        <v>455</v>
      </c>
      <c r="C35" s="1">
        <v>1000000</v>
      </c>
      <c r="H35" t="s">
        <v>390</v>
      </c>
      <c r="J35" s="12">
        <f t="shared" si="1"/>
        <v>1000000</v>
      </c>
      <c r="L35" s="12">
        <f>J35</f>
        <v>1000000</v>
      </c>
      <c r="R35" t="s">
        <v>802</v>
      </c>
      <c r="S35" s="24">
        <f>SUMIF(Monitoring!H:H,IT!A35,Monitoring!R:R)</f>
        <v>3274961.5328571429</v>
      </c>
      <c r="T35" s="12">
        <f t="shared" si="9"/>
        <v>-2274961.5328571429</v>
      </c>
    </row>
  </sheetData>
  <autoFilter ref="A2:S35" xr:uid="{E2E4050A-97ED-45D2-A884-7EB4F2F012AA}"/>
  <pageMargins left="0.7" right="0.7" top="0.75" bottom="0.75" header="0.3" footer="0.3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8E18B-53AD-4F8F-96B1-B050AF27933F}">
  <sheetPr>
    <tabColor theme="9" tint="0.79998168889431442"/>
  </sheetPr>
  <dimension ref="A1:X20"/>
  <sheetViews>
    <sheetView zoomScale="70" zoomScaleNormal="70" workbookViewId="0">
      <pane xSplit="2" ySplit="2" topLeftCell="M3" activePane="bottomRight" state="frozen"/>
      <selection pane="topRight" activeCell="C1" sqref="C1"/>
      <selection pane="bottomLeft" activeCell="A3" sqref="A3"/>
      <selection pane="bottomRight" activeCell="B8" sqref="A8:XFD8"/>
    </sheetView>
  </sheetViews>
  <sheetFormatPr defaultRowHeight="14.5" x14ac:dyDescent="0.35"/>
  <cols>
    <col min="1" max="1" width="11.6328125" customWidth="1"/>
    <col min="2" max="2" width="26.36328125" customWidth="1"/>
    <col min="3" max="3" width="5.08984375" bestFit="1" customWidth="1"/>
    <col min="4" max="4" width="8.08984375" bestFit="1" customWidth="1"/>
    <col min="5" max="5" width="11.90625" bestFit="1" customWidth="1"/>
    <col min="6" max="6" width="9.36328125" bestFit="1" customWidth="1"/>
    <col min="7" max="7" width="13.1796875" bestFit="1" customWidth="1"/>
    <col min="8" max="8" width="23" customWidth="1"/>
    <col min="9" max="9" width="23.453125" customWidth="1"/>
    <col min="10" max="10" width="10.08984375" bestFit="1" customWidth="1"/>
    <col min="11" max="11" width="15.7265625" customWidth="1"/>
    <col min="12" max="12" width="10.90625" bestFit="1" customWidth="1"/>
    <col min="13" max="13" width="22.08984375" bestFit="1" customWidth="1"/>
    <col min="14" max="14" width="14.90625" bestFit="1" customWidth="1"/>
    <col min="15" max="15" width="13.36328125" bestFit="1" customWidth="1"/>
    <col min="16" max="16" width="17.6328125" bestFit="1" customWidth="1"/>
    <col min="17" max="17" width="27.81640625" bestFit="1" customWidth="1"/>
    <col min="18" max="18" width="15.1796875" style="1" bestFit="1" customWidth="1"/>
    <col min="19" max="19" width="15.36328125" style="1" bestFit="1" customWidth="1"/>
    <col min="20" max="20" width="2.36328125" style="1" customWidth="1"/>
    <col min="21" max="21" width="20" bestFit="1" customWidth="1"/>
    <col min="22" max="22" width="20.453125" bestFit="1" customWidth="1"/>
    <col min="23" max="24" width="14.6328125" customWidth="1"/>
  </cols>
  <sheetData>
    <row r="1" spans="1:24" x14ac:dyDescent="0.35">
      <c r="N1" s="20">
        <f>SUBTOTAL(9,N3:N1048576)</f>
        <v>19700000</v>
      </c>
      <c r="R1"/>
      <c r="S1"/>
      <c r="T1"/>
      <c r="W1" s="20">
        <f t="shared" ref="W1" si="0">SUBTOTAL(9,W3:W1048576)</f>
        <v>6040414.4299999997</v>
      </c>
      <c r="X1" s="20">
        <f>SUBTOTAL(9,X3:X1048576)</f>
        <v>13659585.57</v>
      </c>
    </row>
    <row r="2" spans="1:24" s="4" customFormat="1" x14ac:dyDescent="0.35">
      <c r="A2" s="7" t="s">
        <v>273</v>
      </c>
      <c r="B2" s="7" t="s">
        <v>274</v>
      </c>
      <c r="C2" s="7" t="s">
        <v>275</v>
      </c>
      <c r="D2" s="7" t="s">
        <v>276</v>
      </c>
      <c r="E2" s="7" t="s">
        <v>277</v>
      </c>
      <c r="F2" s="7" t="s">
        <v>278</v>
      </c>
      <c r="G2" s="7" t="s">
        <v>279</v>
      </c>
      <c r="H2" s="7" t="s">
        <v>280</v>
      </c>
      <c r="I2" s="7" t="s">
        <v>281</v>
      </c>
      <c r="J2" s="7" t="s">
        <v>282</v>
      </c>
      <c r="K2" s="7" t="s">
        <v>283</v>
      </c>
      <c r="L2" s="7" t="s">
        <v>284</v>
      </c>
      <c r="M2" s="7" t="s">
        <v>285</v>
      </c>
      <c r="N2" s="21" t="s">
        <v>286</v>
      </c>
      <c r="O2" s="7" t="s">
        <v>287</v>
      </c>
      <c r="P2" s="7" t="s">
        <v>288</v>
      </c>
      <c r="Q2" s="7" t="s">
        <v>289</v>
      </c>
      <c r="R2" s="7" t="s">
        <v>290</v>
      </c>
      <c r="S2" s="7" t="s">
        <v>291</v>
      </c>
      <c r="T2"/>
      <c r="U2" s="7" t="s">
        <v>902</v>
      </c>
      <c r="V2" s="7" t="s">
        <v>903</v>
      </c>
      <c r="W2" s="21" t="s">
        <v>395</v>
      </c>
      <c r="X2" s="21" t="s">
        <v>462</v>
      </c>
    </row>
    <row r="3" spans="1:24" x14ac:dyDescent="0.35">
      <c r="A3">
        <v>1101056</v>
      </c>
      <c r="B3" t="s">
        <v>292</v>
      </c>
      <c r="C3">
        <v>11</v>
      </c>
      <c r="D3" s="1" t="s">
        <v>293</v>
      </c>
      <c r="E3" t="s">
        <v>294</v>
      </c>
      <c r="F3" t="s">
        <v>295</v>
      </c>
      <c r="G3" t="s">
        <v>296</v>
      </c>
      <c r="H3" t="s">
        <v>296</v>
      </c>
      <c r="I3" t="s">
        <v>297</v>
      </c>
      <c r="J3" s="16" t="s">
        <v>298</v>
      </c>
      <c r="K3" s="16" t="s">
        <v>299</v>
      </c>
      <c r="L3">
        <v>3</v>
      </c>
      <c r="M3" t="s">
        <v>300</v>
      </c>
      <c r="N3" s="22">
        <v>2700000</v>
      </c>
      <c r="O3" s="1">
        <v>2700000</v>
      </c>
      <c r="P3" s="17">
        <v>0.2</v>
      </c>
      <c r="Q3" s="1">
        <v>540000</v>
      </c>
      <c r="S3" s="1">
        <f>N3-R3</f>
        <v>2700000</v>
      </c>
      <c r="T3"/>
      <c r="W3" s="54"/>
      <c r="X3" s="55">
        <f>N3-W3</f>
        <v>2700000</v>
      </c>
    </row>
    <row r="4" spans="1:24" x14ac:dyDescent="0.35">
      <c r="A4">
        <v>1904442</v>
      </c>
      <c r="B4" t="s">
        <v>301</v>
      </c>
      <c r="C4">
        <v>8</v>
      </c>
      <c r="D4" s="1" t="s">
        <v>1</v>
      </c>
      <c r="E4" t="s">
        <v>302</v>
      </c>
      <c r="F4" t="s">
        <v>303</v>
      </c>
      <c r="G4" t="s">
        <v>304</v>
      </c>
      <c r="H4" t="s">
        <v>305</v>
      </c>
      <c r="I4" t="s">
        <v>306</v>
      </c>
      <c r="J4" s="16" t="s">
        <v>307</v>
      </c>
      <c r="K4" s="16">
        <v>46023</v>
      </c>
      <c r="L4">
        <v>5</v>
      </c>
      <c r="M4" t="s">
        <v>308</v>
      </c>
      <c r="N4" s="22">
        <v>800000</v>
      </c>
      <c r="O4" s="1">
        <v>800000</v>
      </c>
      <c r="P4" s="17">
        <v>0.5</v>
      </c>
      <c r="Q4" s="1">
        <v>400000</v>
      </c>
      <c r="S4" s="1">
        <f t="shared" ref="S4:S20" si="1">N4-R4</f>
        <v>800000</v>
      </c>
      <c r="T4"/>
      <c r="W4" s="54"/>
      <c r="X4" s="55">
        <f t="shared" ref="X4:X20" si="2">N4-W4</f>
        <v>800000</v>
      </c>
    </row>
    <row r="5" spans="1:24" x14ac:dyDescent="0.35">
      <c r="A5">
        <v>2510033</v>
      </c>
      <c r="B5" t="s">
        <v>309</v>
      </c>
      <c r="C5">
        <v>8</v>
      </c>
      <c r="D5" s="1" t="s">
        <v>1</v>
      </c>
      <c r="E5" t="s">
        <v>302</v>
      </c>
      <c r="F5" t="s">
        <v>303</v>
      </c>
      <c r="G5" t="s">
        <v>310</v>
      </c>
      <c r="H5" t="s">
        <v>311</v>
      </c>
      <c r="I5" t="s">
        <v>312</v>
      </c>
      <c r="J5" s="16" t="s">
        <v>313</v>
      </c>
      <c r="K5" s="16">
        <v>46023</v>
      </c>
      <c r="L5">
        <v>5</v>
      </c>
      <c r="M5" t="s">
        <v>308</v>
      </c>
      <c r="N5" s="22">
        <v>800000</v>
      </c>
      <c r="O5" s="1">
        <v>800000</v>
      </c>
      <c r="P5" s="17">
        <v>0.5</v>
      </c>
      <c r="Q5" s="1">
        <v>400000</v>
      </c>
      <c r="S5" s="1">
        <f t="shared" si="1"/>
        <v>800000</v>
      </c>
      <c r="T5"/>
      <c r="U5" t="s">
        <v>2121</v>
      </c>
      <c r="W5" s="86">
        <v>1598000</v>
      </c>
      <c r="X5" s="55">
        <f t="shared" si="2"/>
        <v>-798000</v>
      </c>
    </row>
    <row r="6" spans="1:24" x14ac:dyDescent="0.35">
      <c r="A6">
        <v>2406934</v>
      </c>
      <c r="B6" t="s">
        <v>314</v>
      </c>
      <c r="C6">
        <v>11</v>
      </c>
      <c r="D6" s="1" t="s">
        <v>1</v>
      </c>
      <c r="E6" t="s">
        <v>315</v>
      </c>
      <c r="F6" t="s">
        <v>295</v>
      </c>
      <c r="G6" t="s">
        <v>304</v>
      </c>
      <c r="H6" t="s">
        <v>305</v>
      </c>
      <c r="I6" t="s">
        <v>316</v>
      </c>
      <c r="J6" s="16" t="s">
        <v>317</v>
      </c>
      <c r="K6" s="16">
        <v>46023</v>
      </c>
      <c r="L6">
        <v>3</v>
      </c>
      <c r="M6" t="s">
        <v>318</v>
      </c>
      <c r="N6" s="22">
        <v>1800000</v>
      </c>
      <c r="O6" s="1">
        <v>1800000</v>
      </c>
      <c r="P6" s="17">
        <v>0.5</v>
      </c>
      <c r="Q6" s="1">
        <v>900000</v>
      </c>
      <c r="S6" s="1">
        <f t="shared" si="1"/>
        <v>1800000</v>
      </c>
      <c r="T6"/>
      <c r="W6" s="54"/>
      <c r="X6" s="55">
        <f t="shared" si="2"/>
        <v>1800000</v>
      </c>
    </row>
    <row r="7" spans="1:24" x14ac:dyDescent="0.35">
      <c r="A7">
        <v>2507026</v>
      </c>
      <c r="B7" t="s">
        <v>319</v>
      </c>
      <c r="C7">
        <v>8</v>
      </c>
      <c r="D7" s="1" t="s">
        <v>1</v>
      </c>
      <c r="E7" t="s">
        <v>302</v>
      </c>
      <c r="F7" t="s">
        <v>320</v>
      </c>
      <c r="G7" t="s">
        <v>321</v>
      </c>
      <c r="H7" t="s">
        <v>322</v>
      </c>
      <c r="I7" t="s">
        <v>323</v>
      </c>
      <c r="J7" s="16" t="s">
        <v>324</v>
      </c>
      <c r="K7" s="16">
        <v>46023</v>
      </c>
      <c r="L7">
        <v>5</v>
      </c>
      <c r="M7" t="s">
        <v>308</v>
      </c>
      <c r="N7" s="22">
        <v>800000</v>
      </c>
      <c r="O7" s="1">
        <v>800000</v>
      </c>
      <c r="P7" s="17">
        <v>0.5</v>
      </c>
      <c r="Q7" s="1">
        <v>400000</v>
      </c>
      <c r="S7" s="1">
        <f t="shared" si="1"/>
        <v>800000</v>
      </c>
      <c r="W7" s="54"/>
      <c r="X7" s="55">
        <f t="shared" si="2"/>
        <v>800000</v>
      </c>
    </row>
    <row r="8" spans="1:24" x14ac:dyDescent="0.35">
      <c r="A8">
        <v>1911542</v>
      </c>
      <c r="B8" t="s">
        <v>325</v>
      </c>
      <c r="C8">
        <v>8</v>
      </c>
      <c r="D8" s="1" t="s">
        <v>1</v>
      </c>
      <c r="E8" t="s">
        <v>302</v>
      </c>
      <c r="F8" t="s">
        <v>295</v>
      </c>
      <c r="G8" t="s">
        <v>326</v>
      </c>
      <c r="H8" t="s">
        <v>327</v>
      </c>
      <c r="I8" t="s">
        <v>328</v>
      </c>
      <c r="J8" s="16" t="s">
        <v>329</v>
      </c>
      <c r="K8" s="16">
        <v>46023</v>
      </c>
      <c r="L8">
        <v>5</v>
      </c>
      <c r="M8" t="s">
        <v>308</v>
      </c>
      <c r="N8" s="22">
        <v>800000</v>
      </c>
      <c r="O8" s="1">
        <v>800000</v>
      </c>
      <c r="P8" s="17">
        <v>0.5</v>
      </c>
      <c r="Q8" s="1">
        <v>400000</v>
      </c>
      <c r="S8" s="1">
        <f t="shared" si="1"/>
        <v>800000</v>
      </c>
      <c r="U8" t="s">
        <v>899</v>
      </c>
      <c r="V8">
        <f>_xlfn.XLOOKUP(U8,Monitoring!Q:Q,Monitoring!A:A)</f>
        <v>40001285</v>
      </c>
      <c r="W8" s="22">
        <f>_xlfn.XLOOKUP(U8,Monitoring!Q:Q,Monitoring!R:R)</f>
        <v>775000</v>
      </c>
      <c r="X8" s="55">
        <f t="shared" si="2"/>
        <v>25000</v>
      </c>
    </row>
    <row r="9" spans="1:24" x14ac:dyDescent="0.35">
      <c r="A9">
        <v>1905450</v>
      </c>
      <c r="B9" t="s">
        <v>330</v>
      </c>
      <c r="C9">
        <v>8</v>
      </c>
      <c r="D9" s="1" t="s">
        <v>1</v>
      </c>
      <c r="E9" t="s">
        <v>302</v>
      </c>
      <c r="F9" t="s">
        <v>295</v>
      </c>
      <c r="G9" t="s">
        <v>326</v>
      </c>
      <c r="H9" t="s">
        <v>331</v>
      </c>
      <c r="I9" t="s">
        <v>332</v>
      </c>
      <c r="J9" s="16" t="s">
        <v>333</v>
      </c>
      <c r="K9" s="16">
        <v>46023</v>
      </c>
      <c r="L9">
        <v>5</v>
      </c>
      <c r="M9" t="s">
        <v>308</v>
      </c>
      <c r="N9" s="22">
        <v>800000</v>
      </c>
      <c r="O9" s="1">
        <v>800000</v>
      </c>
      <c r="P9" s="17">
        <v>0.5</v>
      </c>
      <c r="Q9" s="1">
        <v>400000</v>
      </c>
      <c r="S9" s="1">
        <f t="shared" si="1"/>
        <v>800000</v>
      </c>
      <c r="W9" s="54"/>
      <c r="X9" s="55">
        <f t="shared" si="2"/>
        <v>800000</v>
      </c>
    </row>
    <row r="10" spans="1:24" x14ac:dyDescent="0.35">
      <c r="A10">
        <v>1901417</v>
      </c>
      <c r="B10" t="s">
        <v>334</v>
      </c>
      <c r="C10">
        <v>8</v>
      </c>
      <c r="D10" s="1" t="s">
        <v>1</v>
      </c>
      <c r="E10" t="s">
        <v>302</v>
      </c>
      <c r="F10" t="s">
        <v>303</v>
      </c>
      <c r="G10" t="s">
        <v>335</v>
      </c>
      <c r="H10" t="s">
        <v>336</v>
      </c>
      <c r="I10" t="s">
        <v>337</v>
      </c>
      <c r="J10" s="16" t="s">
        <v>338</v>
      </c>
      <c r="K10" s="16">
        <v>46023</v>
      </c>
      <c r="L10">
        <v>5</v>
      </c>
      <c r="M10" t="s">
        <v>308</v>
      </c>
      <c r="N10" s="22">
        <v>800000</v>
      </c>
      <c r="O10" s="1">
        <v>800000</v>
      </c>
      <c r="P10" s="17">
        <v>0.5</v>
      </c>
      <c r="Q10" s="1">
        <v>400000</v>
      </c>
      <c r="S10" s="1">
        <f t="shared" si="1"/>
        <v>800000</v>
      </c>
      <c r="W10" s="54"/>
      <c r="X10" s="55">
        <f t="shared" si="2"/>
        <v>800000</v>
      </c>
    </row>
    <row r="11" spans="1:24" x14ac:dyDescent="0.35">
      <c r="A11">
        <v>2506025</v>
      </c>
      <c r="B11" t="s">
        <v>339</v>
      </c>
      <c r="C11">
        <v>8</v>
      </c>
      <c r="D11" s="1" t="s">
        <v>1</v>
      </c>
      <c r="E11" t="s">
        <v>302</v>
      </c>
      <c r="F11" t="s">
        <v>320</v>
      </c>
      <c r="G11" t="s">
        <v>321</v>
      </c>
      <c r="H11" t="s">
        <v>340</v>
      </c>
      <c r="I11" t="s">
        <v>341</v>
      </c>
      <c r="J11" s="16" t="s">
        <v>342</v>
      </c>
      <c r="K11" s="16">
        <v>46023</v>
      </c>
      <c r="L11">
        <v>5</v>
      </c>
      <c r="M11" t="s">
        <v>308</v>
      </c>
      <c r="N11" s="22">
        <v>800000</v>
      </c>
      <c r="O11" s="1">
        <v>800000</v>
      </c>
      <c r="P11" s="17">
        <v>0.5</v>
      </c>
      <c r="Q11" s="1">
        <v>400000</v>
      </c>
      <c r="S11" s="1">
        <f t="shared" si="1"/>
        <v>800000</v>
      </c>
      <c r="W11" s="54"/>
      <c r="X11" s="55">
        <f t="shared" si="2"/>
        <v>800000</v>
      </c>
    </row>
    <row r="12" spans="1:24" x14ac:dyDescent="0.35">
      <c r="A12">
        <v>1803319</v>
      </c>
      <c r="B12" t="s">
        <v>343</v>
      </c>
      <c r="C12">
        <v>8</v>
      </c>
      <c r="D12" s="1" t="s">
        <v>1</v>
      </c>
      <c r="E12" t="s">
        <v>302</v>
      </c>
      <c r="F12" t="s">
        <v>295</v>
      </c>
      <c r="G12" t="s">
        <v>304</v>
      </c>
      <c r="H12" t="s">
        <v>331</v>
      </c>
      <c r="I12" t="s">
        <v>344</v>
      </c>
      <c r="J12" s="16" t="s">
        <v>345</v>
      </c>
      <c r="K12" s="16">
        <v>46023</v>
      </c>
      <c r="L12">
        <v>5</v>
      </c>
      <c r="M12" t="s">
        <v>308</v>
      </c>
      <c r="N12" s="22">
        <v>800000</v>
      </c>
      <c r="O12" s="1">
        <v>800000</v>
      </c>
      <c r="P12" s="17">
        <v>0.5</v>
      </c>
      <c r="Q12" s="1">
        <v>400000</v>
      </c>
      <c r="S12" s="1">
        <f t="shared" si="1"/>
        <v>800000</v>
      </c>
      <c r="U12" t="s">
        <v>1795</v>
      </c>
      <c r="V12">
        <v>40001265</v>
      </c>
      <c r="W12" s="22">
        <f>_xlfn.XLOOKUP(U12,Monitoring!Q:Q,Monitoring!R:R)</f>
        <v>769200</v>
      </c>
      <c r="X12" s="55">
        <f t="shared" si="2"/>
        <v>30800</v>
      </c>
    </row>
    <row r="13" spans="1:24" x14ac:dyDescent="0.35">
      <c r="B13" t="s">
        <v>346</v>
      </c>
      <c r="C13">
        <v>8</v>
      </c>
      <c r="D13" s="1" t="s">
        <v>1</v>
      </c>
      <c r="E13" t="s">
        <v>302</v>
      </c>
      <c r="J13" s="16"/>
      <c r="K13" s="16" t="s">
        <v>347</v>
      </c>
      <c r="L13">
        <v>5</v>
      </c>
      <c r="M13" t="s">
        <v>308</v>
      </c>
      <c r="N13" s="22">
        <v>800000</v>
      </c>
      <c r="O13" s="1">
        <v>800000</v>
      </c>
      <c r="P13" s="17">
        <v>0.5</v>
      </c>
      <c r="Q13" s="1">
        <v>400000</v>
      </c>
      <c r="S13" s="1">
        <f t="shared" si="1"/>
        <v>800000</v>
      </c>
      <c r="U13" t="s">
        <v>897</v>
      </c>
      <c r="V13">
        <f>_xlfn.XLOOKUP(U13,Monitoring!Q:Q,Monitoring!A:A)</f>
        <v>40001284</v>
      </c>
      <c r="W13" s="22">
        <f>_xlfn.XLOOKUP(U13,Monitoring!Q:Q,Monitoring!R:R)</f>
        <v>1069643</v>
      </c>
      <c r="X13" s="55">
        <f t="shared" si="2"/>
        <v>-269643</v>
      </c>
    </row>
    <row r="14" spans="1:24" x14ac:dyDescent="0.35">
      <c r="B14" t="s">
        <v>346</v>
      </c>
      <c r="C14">
        <v>8</v>
      </c>
      <c r="D14" s="1" t="s">
        <v>1</v>
      </c>
      <c r="E14" t="s">
        <v>302</v>
      </c>
      <c r="J14" s="16"/>
      <c r="K14" s="16" t="s">
        <v>347</v>
      </c>
      <c r="L14">
        <v>5</v>
      </c>
      <c r="M14" t="s">
        <v>308</v>
      </c>
      <c r="N14" s="22">
        <v>800000</v>
      </c>
      <c r="O14" s="1">
        <v>800000</v>
      </c>
      <c r="P14" s="17">
        <v>0.5</v>
      </c>
      <c r="Q14" s="1">
        <v>400000</v>
      </c>
      <c r="S14" s="1">
        <f t="shared" si="1"/>
        <v>800000</v>
      </c>
      <c r="W14" s="54"/>
      <c r="X14" s="55">
        <f t="shared" si="2"/>
        <v>800000</v>
      </c>
    </row>
    <row r="15" spans="1:24" x14ac:dyDescent="0.35">
      <c r="B15" t="s">
        <v>346</v>
      </c>
      <c r="C15">
        <v>8</v>
      </c>
      <c r="D15" s="1" t="s">
        <v>1</v>
      </c>
      <c r="E15" t="s">
        <v>302</v>
      </c>
      <c r="J15" s="16"/>
      <c r="K15" s="16" t="s">
        <v>347</v>
      </c>
      <c r="L15">
        <v>5</v>
      </c>
      <c r="M15" t="s">
        <v>308</v>
      </c>
      <c r="N15" s="22">
        <v>800000</v>
      </c>
      <c r="O15" s="1">
        <v>800000</v>
      </c>
      <c r="P15" s="17">
        <v>0.5</v>
      </c>
      <c r="Q15" s="1">
        <v>400000</v>
      </c>
      <c r="S15" s="1">
        <f t="shared" si="1"/>
        <v>800000</v>
      </c>
      <c r="W15" s="54"/>
      <c r="X15" s="55">
        <f t="shared" si="2"/>
        <v>800000</v>
      </c>
    </row>
    <row r="16" spans="1:24" x14ac:dyDescent="0.35">
      <c r="B16" t="s">
        <v>346</v>
      </c>
      <c r="C16">
        <v>9</v>
      </c>
      <c r="D16" s="1" t="s">
        <v>1</v>
      </c>
      <c r="E16" t="s">
        <v>348</v>
      </c>
      <c r="J16" s="16"/>
      <c r="K16" s="16" t="s">
        <v>347</v>
      </c>
      <c r="L16">
        <v>5</v>
      </c>
      <c r="M16" t="s">
        <v>308</v>
      </c>
      <c r="N16" s="22">
        <v>1000000</v>
      </c>
      <c r="O16" s="1">
        <v>1000000</v>
      </c>
      <c r="P16" s="17">
        <v>0.5</v>
      </c>
      <c r="Q16" s="1">
        <v>500000</v>
      </c>
      <c r="S16" s="1">
        <f t="shared" si="1"/>
        <v>1000000</v>
      </c>
      <c r="W16" s="54"/>
      <c r="X16" s="55">
        <f t="shared" si="2"/>
        <v>1000000</v>
      </c>
    </row>
    <row r="17" spans="2:24" x14ac:dyDescent="0.35">
      <c r="B17" t="s">
        <v>346</v>
      </c>
      <c r="C17">
        <v>9</v>
      </c>
      <c r="D17" s="1" t="s">
        <v>1</v>
      </c>
      <c r="E17" t="s">
        <v>348</v>
      </c>
      <c r="J17" s="16"/>
      <c r="K17" s="16" t="s">
        <v>347</v>
      </c>
      <c r="L17">
        <v>5</v>
      </c>
      <c r="M17" t="s">
        <v>308</v>
      </c>
      <c r="N17" s="22">
        <v>1000000</v>
      </c>
      <c r="O17" s="1">
        <v>1000000</v>
      </c>
      <c r="P17" s="17">
        <v>0.5</v>
      </c>
      <c r="Q17" s="1">
        <v>500000</v>
      </c>
      <c r="S17" s="1">
        <f t="shared" si="1"/>
        <v>1000000</v>
      </c>
      <c r="W17" s="54"/>
      <c r="X17" s="55">
        <f t="shared" si="2"/>
        <v>1000000</v>
      </c>
    </row>
    <row r="18" spans="2:24" x14ac:dyDescent="0.35">
      <c r="B18" t="s">
        <v>346</v>
      </c>
      <c r="C18">
        <v>9</v>
      </c>
      <c r="D18" s="1" t="s">
        <v>1</v>
      </c>
      <c r="E18" t="s">
        <v>348</v>
      </c>
      <c r="J18" s="16"/>
      <c r="K18" s="16" t="s">
        <v>347</v>
      </c>
      <c r="L18">
        <v>5</v>
      </c>
      <c r="M18" t="s">
        <v>308</v>
      </c>
      <c r="N18" s="22">
        <v>1000000</v>
      </c>
      <c r="O18" s="1">
        <v>1000000</v>
      </c>
      <c r="P18" s="17">
        <v>0.5</v>
      </c>
      <c r="Q18" s="1">
        <v>500000</v>
      </c>
      <c r="S18" s="1">
        <f t="shared" si="1"/>
        <v>1000000</v>
      </c>
      <c r="W18" s="54"/>
      <c r="X18" s="55">
        <f t="shared" si="2"/>
        <v>1000000</v>
      </c>
    </row>
    <row r="19" spans="2:24" x14ac:dyDescent="0.35">
      <c r="B19" t="s">
        <v>346</v>
      </c>
      <c r="C19">
        <v>10</v>
      </c>
      <c r="D19" s="1" t="s">
        <v>1</v>
      </c>
      <c r="E19" t="s">
        <v>349</v>
      </c>
      <c r="J19" s="16"/>
      <c r="K19" s="16" t="s">
        <v>347</v>
      </c>
      <c r="L19">
        <v>4</v>
      </c>
      <c r="M19" t="s">
        <v>350</v>
      </c>
      <c r="N19" s="22">
        <v>1600000</v>
      </c>
      <c r="O19" s="1">
        <v>1600000</v>
      </c>
      <c r="P19" s="17">
        <v>0.5</v>
      </c>
      <c r="Q19" s="1">
        <v>800000</v>
      </c>
      <c r="S19" s="1">
        <f t="shared" si="1"/>
        <v>1600000</v>
      </c>
      <c r="U19" t="s">
        <v>3</v>
      </c>
      <c r="V19">
        <f>_xlfn.XLOOKUP(U19,Monitoring!Q:Q,Monitoring!A:A)</f>
        <v>40001261</v>
      </c>
      <c r="W19" s="22">
        <f>_xlfn.XLOOKUP(U19,Monitoring!Q:Q,Monitoring!R:R)</f>
        <v>1828571.43</v>
      </c>
      <c r="X19" s="55">
        <f t="shared" si="2"/>
        <v>-228571.42999999993</v>
      </c>
    </row>
    <row r="20" spans="2:24" x14ac:dyDescent="0.35">
      <c r="B20" t="s">
        <v>346</v>
      </c>
      <c r="C20">
        <v>11</v>
      </c>
      <c r="D20" s="1" t="s">
        <v>1</v>
      </c>
      <c r="E20" t="s">
        <v>315</v>
      </c>
      <c r="J20" s="16"/>
      <c r="K20" s="16" t="s">
        <v>347</v>
      </c>
      <c r="L20">
        <v>3</v>
      </c>
      <c r="M20" t="s">
        <v>318</v>
      </c>
      <c r="N20" s="22">
        <v>1800000</v>
      </c>
      <c r="O20" s="1">
        <v>1800000</v>
      </c>
      <c r="P20" s="17">
        <v>0.5</v>
      </c>
      <c r="Q20" s="1">
        <v>900000</v>
      </c>
      <c r="S20" s="1">
        <f t="shared" si="1"/>
        <v>1800000</v>
      </c>
      <c r="U20" t="s">
        <v>1828</v>
      </c>
      <c r="W20" s="54"/>
      <c r="X20" s="55">
        <f t="shared" si="2"/>
        <v>1800000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09F14-E122-4013-B061-8F645D58A5A6}">
  <sheetPr>
    <tabColor theme="9" tint="0.79998168889431442"/>
  </sheetPr>
  <dimension ref="A1:H3"/>
  <sheetViews>
    <sheetView zoomScale="70" zoomScaleNormal="70" workbookViewId="0">
      <selection activeCell="G23" sqref="G23"/>
    </sheetView>
  </sheetViews>
  <sheetFormatPr defaultRowHeight="14.5" x14ac:dyDescent="0.35"/>
  <cols>
    <col min="1" max="1" width="17.08984375" bestFit="1" customWidth="1"/>
    <col min="2" max="2" width="39.1796875" bestFit="1" customWidth="1"/>
    <col min="3" max="3" width="20.54296875" bestFit="1" customWidth="1"/>
    <col min="4" max="5" width="12.1796875" bestFit="1" customWidth="1"/>
    <col min="6" max="6" width="13.1796875" bestFit="1" customWidth="1"/>
    <col min="7" max="7" width="12.26953125" bestFit="1" customWidth="1"/>
    <col min="8" max="8" width="12.453125" bestFit="1" customWidth="1"/>
  </cols>
  <sheetData>
    <row r="1" spans="1:8" x14ac:dyDescent="0.35">
      <c r="C1" s="6">
        <f>SUBTOTAL(9,C3:C1048576)</f>
        <v>2337486</v>
      </c>
    </row>
    <row r="2" spans="1:8" x14ac:dyDescent="0.35">
      <c r="A2" s="18" t="s">
        <v>129</v>
      </c>
      <c r="B2" s="18" t="s">
        <v>100</v>
      </c>
      <c r="C2" s="18" t="s">
        <v>101</v>
      </c>
      <c r="D2" s="18" t="s">
        <v>104</v>
      </c>
      <c r="E2" s="18" t="s">
        <v>105</v>
      </c>
      <c r="F2" s="19" t="s">
        <v>106</v>
      </c>
      <c r="G2" s="19" t="s">
        <v>107</v>
      </c>
      <c r="H2" s="19" t="s">
        <v>108</v>
      </c>
    </row>
    <row r="3" spans="1:8" x14ac:dyDescent="0.35">
      <c r="A3" t="s">
        <v>3439</v>
      </c>
      <c r="B3" t="s">
        <v>351</v>
      </c>
      <c r="C3" s="1">
        <v>2337486</v>
      </c>
      <c r="D3" t="s">
        <v>352</v>
      </c>
      <c r="E3" t="s">
        <v>352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53094-1F59-4235-981B-82877FDDA320}">
  <sheetPr>
    <tabColor theme="9" tint="0.79998168889431442"/>
  </sheetPr>
  <dimension ref="A1:I12"/>
  <sheetViews>
    <sheetView zoomScale="70" zoomScaleNormal="70" workbookViewId="0">
      <selection activeCell="A3" sqref="A3"/>
    </sheetView>
  </sheetViews>
  <sheetFormatPr defaultRowHeight="14.5" x14ac:dyDescent="0.35"/>
  <cols>
    <col min="1" max="1" width="17.54296875" bestFit="1" customWidth="1"/>
    <col min="2" max="2" width="16.36328125" bestFit="1" customWidth="1"/>
    <col min="3" max="3" width="29.1796875" bestFit="1" customWidth="1"/>
    <col min="4" max="4" width="21" bestFit="1" customWidth="1"/>
    <col min="5" max="6" width="22" bestFit="1" customWidth="1"/>
    <col min="7" max="7" width="13.7265625" bestFit="1" customWidth="1"/>
    <col min="8" max="8" width="12.6328125" bestFit="1" customWidth="1"/>
    <col min="9" max="9" width="12.90625" bestFit="1" customWidth="1"/>
  </cols>
  <sheetData>
    <row r="1" spans="1:9" x14ac:dyDescent="0.35">
      <c r="D1" s="6">
        <f>SUBTOTAL(9,D3:D1048576)</f>
        <v>51000000</v>
      </c>
    </row>
    <row r="2" spans="1:9" s="8" customFormat="1" x14ac:dyDescent="0.35">
      <c r="A2" s="18" t="s">
        <v>129</v>
      </c>
      <c r="B2" s="7" t="s">
        <v>99</v>
      </c>
      <c r="C2" s="7" t="s">
        <v>100</v>
      </c>
      <c r="D2" s="7" t="s">
        <v>83</v>
      </c>
      <c r="E2" s="7" t="s">
        <v>104</v>
      </c>
      <c r="F2" s="7" t="s">
        <v>105</v>
      </c>
      <c r="G2" s="7" t="s">
        <v>106</v>
      </c>
      <c r="H2" s="7" t="s">
        <v>107</v>
      </c>
      <c r="I2" s="7" t="s">
        <v>108</v>
      </c>
    </row>
    <row r="3" spans="1:9" x14ac:dyDescent="0.35">
      <c r="A3" t="s">
        <v>1821</v>
      </c>
      <c r="B3" t="s">
        <v>353</v>
      </c>
      <c r="C3" t="s">
        <v>354</v>
      </c>
      <c r="D3" s="1">
        <v>36000000</v>
      </c>
      <c r="E3" t="s">
        <v>355</v>
      </c>
      <c r="F3" t="s">
        <v>355</v>
      </c>
    </row>
    <row r="4" spans="1:9" x14ac:dyDescent="0.35">
      <c r="A4" t="s">
        <v>1822</v>
      </c>
      <c r="C4" t="s">
        <v>356</v>
      </c>
      <c r="D4" s="1">
        <v>3000000</v>
      </c>
      <c r="E4" t="s">
        <v>357</v>
      </c>
      <c r="F4" t="s">
        <v>357</v>
      </c>
    </row>
    <row r="5" spans="1:9" x14ac:dyDescent="0.35">
      <c r="A5" t="s">
        <v>1823</v>
      </c>
      <c r="C5" t="s">
        <v>358</v>
      </c>
      <c r="D5" s="1">
        <v>12000000</v>
      </c>
      <c r="E5" t="s">
        <v>359</v>
      </c>
      <c r="F5" t="s">
        <v>359</v>
      </c>
    </row>
    <row r="12" spans="1:9" x14ac:dyDescent="0.35">
      <c r="E12" s="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9DBDF-EF24-416C-8E6C-2FC419D26869}">
  <dimension ref="A3:C10"/>
  <sheetViews>
    <sheetView zoomScale="90" zoomScaleNormal="90" workbookViewId="0">
      <selection activeCell="F9" sqref="F9"/>
    </sheetView>
  </sheetViews>
  <sheetFormatPr defaultRowHeight="14.5" x14ac:dyDescent="0.35"/>
  <cols>
    <col min="1" max="1" width="18.1796875" bestFit="1" customWidth="1"/>
    <col min="2" max="3" width="13.7265625" customWidth="1"/>
  </cols>
  <sheetData>
    <row r="3" spans="1:3" x14ac:dyDescent="0.35">
      <c r="A3" s="4" t="s">
        <v>65</v>
      </c>
      <c r="B3" s="4" t="s">
        <v>1811</v>
      </c>
      <c r="C3" s="4" t="s">
        <v>83</v>
      </c>
    </row>
    <row r="4" spans="1:3" x14ac:dyDescent="0.35">
      <c r="A4" t="s">
        <v>858</v>
      </c>
    </row>
    <row r="5" spans="1:3" x14ac:dyDescent="0.35">
      <c r="A5" t="s">
        <v>859</v>
      </c>
    </row>
    <row r="6" spans="1:3" x14ac:dyDescent="0.35">
      <c r="A6" t="s">
        <v>860</v>
      </c>
    </row>
    <row r="7" spans="1:3" x14ac:dyDescent="0.35">
      <c r="A7" t="s">
        <v>766</v>
      </c>
    </row>
    <row r="8" spans="1:3" x14ac:dyDescent="0.35">
      <c r="A8" t="s">
        <v>9</v>
      </c>
    </row>
    <row r="9" spans="1:3" x14ac:dyDescent="0.35">
      <c r="A9" t="s">
        <v>93</v>
      </c>
    </row>
    <row r="10" spans="1:3" x14ac:dyDescent="0.35">
      <c r="A10" t="s">
        <v>861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BABAE5EFB27D4EBC035B99C78D0C1D" ma:contentTypeVersion="16" ma:contentTypeDescription="Create a new document." ma:contentTypeScope="" ma:versionID="cc982aab57aca97511ddfd26c35a0ac3">
  <xsd:schema xmlns:xsd="http://www.w3.org/2001/XMLSchema" xmlns:xs="http://www.w3.org/2001/XMLSchema" xmlns:p="http://schemas.microsoft.com/office/2006/metadata/properties" xmlns:ns2="3505a81d-3d84-4f34-aa24-18a57e0c8d9a" xmlns:ns3="bf1365c5-5314-489f-940b-111ad7fb5c37" targetNamespace="http://schemas.microsoft.com/office/2006/metadata/properties" ma:root="true" ma:fieldsID="c047a3f8c7a6975c279e125198549a15" ns2:_="" ns3:_="">
    <xsd:import namespace="3505a81d-3d84-4f34-aa24-18a57e0c8d9a"/>
    <xsd:import namespace="bf1365c5-5314-489f-940b-111ad7fb5c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05a81d-3d84-4f34-aa24-18a57e0c8d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e4dcf2d-41b1-4ced-811f-56ab9f248b1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1365c5-5314-489f-940b-111ad7fb5c3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f7254c2-fff4-400d-84ad-dd41a89fc6d0}" ma:internalName="TaxCatchAll" ma:showField="CatchAllData" ma:web="bf1365c5-5314-489f-940b-111ad7fb5c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f1365c5-5314-489f-940b-111ad7fb5c37" xsi:nil="true"/>
    <lcf76f155ced4ddcb4097134ff3c332f xmlns="3505a81d-3d84-4f34-aa24-18a57e0c8d9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3FD1F61-8418-48AA-9981-FA949B5F09E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D4C51DC-C5FE-41B7-8A6B-9790375A32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05a81d-3d84-4f34-aa24-18a57e0c8d9a"/>
    <ds:schemaRef ds:uri="bf1365c5-5314-489f-940b-111ad7fb5c3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35C166A-E343-4E38-8631-037D701D66BF}">
  <ds:schemaRefs>
    <ds:schemaRef ds:uri="bf1365c5-5314-489f-940b-111ad7fb5c37"/>
    <ds:schemaRef ds:uri="3505a81d-3d84-4f34-aa24-18a57e0c8d9a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3</vt:i4>
      </vt:variant>
    </vt:vector>
  </HeadingPairs>
  <TitlesOfParts>
    <vt:vector size="16" baseType="lpstr">
      <vt:lpstr>Summary</vt:lpstr>
      <vt:lpstr>SAP Report</vt:lpstr>
      <vt:lpstr>Actual</vt:lpstr>
      <vt:lpstr>Open PR PO</vt:lpstr>
      <vt:lpstr>Monitoring</vt:lpstr>
      <vt:lpstr>Malls</vt:lpstr>
      <vt:lpstr>Estates</vt:lpstr>
      <vt:lpstr>Offices</vt:lpstr>
      <vt:lpstr>IT</vt:lpstr>
      <vt:lpstr>HR</vt:lpstr>
      <vt:lpstr>Admin</vt:lpstr>
      <vt:lpstr>Residential</vt:lpstr>
      <vt:lpstr>Additional Budget</vt:lpstr>
      <vt:lpstr>HR</vt:lpstr>
      <vt:lpstr>Monitoring</vt:lpstr>
      <vt:lpstr>SAP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Princess Vera P. Jumalon</dc:creator>
  <cp:lastModifiedBy>Princess Vera P. Jumalon</cp:lastModifiedBy>
  <dcterms:created xsi:type="dcterms:W3CDTF">2026-02-12T01:44:01Z</dcterms:created>
  <dcterms:modified xsi:type="dcterms:W3CDTF">2026-10-04T07:34:39Z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0x01010083BABAE5EFB27D4EBC035B99C78D0C1D</vt:lpwstr>
  </property>
  <property fmtid="{D5CDD505-2E9C-101B-9397-08002B2CF9AE}" pid="3" name="MediaServiceImageTags">
    <vt:lpwstr/>
  </property>
</Properties>
</file>