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E" state="visible" r:id="rId4"/>
  </sheets>
  <calcPr calcId="171027"/>
</workbook>
</file>

<file path=xl/sharedStrings.xml><?xml version="1.0" encoding="utf-8"?>
<sst xmlns="http://schemas.openxmlformats.org/spreadsheetml/2006/main" count="85" uniqueCount="64">
  <si>
    <t>Calendar Year</t>
  </si>
  <si>
    <t>SBU</t>
  </si>
  <si>
    <t>Corporate</t>
  </si>
  <si>
    <t>Actual</t>
  </si>
  <si>
    <t>Remaining Months Forecast</t>
  </si>
  <si>
    <t>Budget Code</t>
  </si>
  <si>
    <t>Expense Category</t>
  </si>
  <si>
    <t>Expense Line Item</t>
  </si>
  <si>
    <t>CC</t>
  </si>
  <si>
    <t>GL</t>
  </si>
  <si>
    <t>Approved Budget</t>
  </si>
  <si>
    <t>Jan</t>
  </si>
  <si>
    <t>Feb</t>
  </si>
  <si>
    <t>Mar</t>
  </si>
  <si>
    <t>Apr</t>
  </si>
  <si>
    <t>May</t>
  </si>
  <si>
    <t>Jun</t>
  </si>
  <si>
    <t>Jul</t>
  </si>
  <si>
    <t>Aug</t>
  </si>
  <si>
    <t>YTD Actuals</t>
  </si>
  <si>
    <t>Available Budget</t>
  </si>
  <si>
    <t>Oct</t>
  </si>
  <si>
    <t>Nov</t>
  </si>
  <si>
    <t>Dec</t>
  </si>
  <si>
    <t>AS-27-24</t>
  </si>
  <si>
    <t>Repairs &amp; Maintenance - HQ</t>
  </si>
  <si>
    <t>Building</t>
  </si>
  <si>
    <t>81123102</t>
  </si>
  <si>
    <t>52061103</t>
  </si>
  <si>
    <t>AS-27-25</t>
  </si>
  <si>
    <t>Cleaning Supplies</t>
  </si>
  <si>
    <t>52061111</t>
  </si>
  <si>
    <t>AS-27-9</t>
  </si>
  <si>
    <t>Drivers' Meal Allowance</t>
  </si>
  <si>
    <t>52081103</t>
  </si>
  <si>
    <t>AS-27-12</t>
  </si>
  <si>
    <t>Electricity &amp; Water</t>
  </si>
  <si>
    <t>80123102</t>
  </si>
  <si>
    <t>61041101</t>
  </si>
  <si>
    <t>Fuel &amp; Lubricants - Fleet</t>
  </si>
  <si>
    <t>61111201</t>
  </si>
  <si>
    <t>AS-27-13</t>
  </si>
  <si>
    <t>Fuel &amp; Lubricants</t>
  </si>
  <si>
    <t>AS-27-14</t>
  </si>
  <si>
    <t>Fuel &amp; Lubricants - Messenger</t>
  </si>
  <si>
    <t>52119101</t>
  </si>
  <si>
    <t>AS-27-15</t>
  </si>
  <si>
    <t>Janitorial</t>
  </si>
  <si>
    <t>52041405</t>
  </si>
  <si>
    <t>AS-27-4</t>
  </si>
  <si>
    <t>Communication</t>
  </si>
  <si>
    <t>Mobile Phone</t>
  </si>
  <si>
    <t>52951101</t>
  </si>
  <si>
    <t>Office Supplies - Toner</t>
  </si>
  <si>
    <t>52111101</t>
  </si>
  <si>
    <t>AS-27-21</t>
  </si>
  <si>
    <t>Postal</t>
  </si>
  <si>
    <t>61721103</t>
  </si>
  <si>
    <t>AS-27-22</t>
  </si>
  <si>
    <t>Property Appraisal</t>
  </si>
  <si>
    <t>61071099</t>
  </si>
  <si>
    <t>AS-27-29</t>
  </si>
  <si>
    <t>Security Services</t>
  </si>
  <si>
    <t>52041401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</si>
</sst>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FormatPr defaultRowHeight="15" outlineLevelRow="0" outlineLevelCol="0" x14ac:dyDescent="55"/>
  <cols>
    <col min="1" max="1" width="12.5" customWidth="1"/>
    <col min="2" max="2" width="15.5" customWidth="1"/>
    <col min="3" max="4" width="16.2" customWidth="1"/>
    <col min="5" max="5" width="12" customWidth="1"/>
    <col min="6" max="6" width="19.9" customWidth="1"/>
    <col min="7" max="14" width="10" customWidth="1"/>
    <col min="15" max="15" width="15.5" customWidth="1"/>
    <col min="16" max="16" width="19.5" customWidth="1"/>
    <col min="17" max="19" width="10" customWidth="1"/>
  </cols>
  <sheetData>
    <row r="1" spans="1:2" x14ac:dyDescent="0.25">
      <c r="A1" s="1" t="s">
        <v>0</v>
      </c>
      <c r="B1">
        <v>2026</v>
      </c>
    </row>
    <row r="2" spans="1:2" x14ac:dyDescent="0.25">
      <c r="A2" s="1" t="s">
        <v>1</v>
      </c>
      <c r="B2" t="s">
        <v>2</v>
      </c>
    </row>
    <row r="3" spans="7:19" x14ac:dyDescent="0.25">
      <c r="G3" s="2" t="s">
        <v>3</v>
      </c>
      <c r="H3" s="2"/>
      <c r="I3" s="2"/>
      <c r="J3" s="2"/>
      <c r="K3" s="2"/>
      <c r="L3" s="2"/>
      <c r="M3" s="2"/>
      <c r="N3" s="2"/>
      <c r="O3" s="2"/>
      <c r="Q3" s="3" t="s">
        <v>4</v>
      </c>
      <c r="R3" s="3"/>
      <c r="S3" s="3"/>
    </row>
    <row r="4" spans="1:19" s="1" customForma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1:19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0</v>
      </c>
      <c r="O5">
        <v>1024642.87</v>
      </c>
      <c r="P5">
        <f>F5-O5</f>
      </c>
      <c r="Q5">
        <v>0</v>
      </c>
      <c r="R5">
        <v>0</v>
      </c>
      <c r="S5">
        <v>0</v>
      </c>
    </row>
    <row r="6" spans="1:19" x14ac:dyDescent="0.25">
      <c r="A6" t="s">
        <v>29</v>
      </c>
      <c r="B6" t="s">
        <v>25</v>
      </c>
      <c r="C6" t="s">
        <v>30</v>
      </c>
      <c r="D6" t="s">
        <v>27</v>
      </c>
      <c r="E6" t="s">
        <v>31</v>
      </c>
      <c r="F6">
        <v>0</v>
      </c>
      <c r="O6">
        <v>218742.34</v>
      </c>
      <c r="P6">
        <f>F6-O6</f>
      </c>
      <c r="Q6">
        <v>0</v>
      </c>
      <c r="R6">
        <v>14</v>
      </c>
    </row>
    <row r="7" spans="1:19" x14ac:dyDescent="0.25">
      <c r="A7" t="s">
        <v>32</v>
      </c>
      <c r="B7" t="s">
        <v>33</v>
      </c>
      <c r="C7" t="s">
        <v>33</v>
      </c>
      <c r="D7" t="s">
        <v>27</v>
      </c>
      <c r="E7" t="s">
        <v>34</v>
      </c>
      <c r="F7">
        <v>0</v>
      </c>
      <c r="O7">
        <v>6220</v>
      </c>
      <c r="P7">
        <f>F7-O7</f>
      </c>
      <c r="Q7">
        <v>0</v>
      </c>
    </row>
    <row r="8" spans="1:19" x14ac:dyDescent="0.25">
      <c r="A8" t="s">
        <v>35</v>
      </c>
      <c r="B8" t="s">
        <v>36</v>
      </c>
      <c r="C8" t="s">
        <v>36</v>
      </c>
      <c r="D8" t="s">
        <v>37</v>
      </c>
      <c r="E8" t="s">
        <v>38</v>
      </c>
      <c r="F8">
        <v>0</v>
      </c>
      <c r="O8">
        <v>1897806.1</v>
      </c>
      <c r="P8">
        <f>F8-O8</f>
      </c>
      <c r="Q8">
        <v>0</v>
      </c>
    </row>
    <row r="9" spans="1:19" x14ac:dyDescent="0.25">
      <c r="C9" t="s">
        <v>39</v>
      </c>
      <c r="D9" t="s">
        <v>37</v>
      </c>
      <c r="E9" t="s">
        <v>40</v>
      </c>
      <c r="F9">
        <v>500000</v>
      </c>
      <c r="O9">
        <v>480000</v>
      </c>
      <c r="P9">
        <f>F9-O9</f>
      </c>
      <c r="Q9">
        <v>0</v>
      </c>
      <c r="R9">
        <v>0</v>
      </c>
      <c r="S9">
        <v>0</v>
      </c>
    </row>
    <row r="10" spans="1:19" x14ac:dyDescent="0.25">
      <c r="A10" t="s">
        <v>41</v>
      </c>
      <c r="B10" t="s">
        <v>42</v>
      </c>
      <c r="C10" t="s">
        <v>39</v>
      </c>
      <c r="D10" t="s">
        <v>37</v>
      </c>
      <c r="E10" t="s">
        <v>40</v>
      </c>
      <c r="F10">
        <v>0</v>
      </c>
      <c r="O10">
        <v>755533.6400000002</v>
      </c>
      <c r="P10">
        <f>F10-O10</f>
      </c>
      <c r="Q10">
        <v>0</v>
      </c>
    </row>
    <row r="11" spans="1:19" x14ac:dyDescent="0.25">
      <c r="A11" t="s">
        <v>43</v>
      </c>
      <c r="B11" t="s">
        <v>42</v>
      </c>
      <c r="C11" t="s">
        <v>44</v>
      </c>
      <c r="D11" t="s">
        <v>27</v>
      </c>
      <c r="E11" t="s">
        <v>45</v>
      </c>
      <c r="F11">
        <v>0</v>
      </c>
      <c r="O11">
        <v>64715.86</v>
      </c>
      <c r="P11">
        <f>F11-O11</f>
      </c>
      <c r="Q11">
        <v>0</v>
      </c>
    </row>
    <row r="12" spans="1:19" x14ac:dyDescent="0.25">
      <c r="A12" t="s">
        <v>46</v>
      </c>
      <c r="B12" t="s">
        <v>47</v>
      </c>
      <c r="C12" t="s">
        <v>47</v>
      </c>
      <c r="D12" t="s">
        <v>27</v>
      </c>
      <c r="E12" t="s">
        <v>48</v>
      </c>
      <c r="F12">
        <v>0</v>
      </c>
      <c r="O12">
        <v>1873979.28</v>
      </c>
      <c r="P12">
        <f>F12-O12</f>
      </c>
      <c r="Q12">
        <v>0</v>
      </c>
    </row>
    <row r="13" spans="1:19" x14ac:dyDescent="0.25">
      <c r="A13" t="s">
        <v>49</v>
      </c>
      <c r="B13" t="s">
        <v>50</v>
      </c>
      <c r="C13" t="s">
        <v>51</v>
      </c>
      <c r="D13" t="s">
        <v>27</v>
      </c>
      <c r="E13" t="s">
        <v>52</v>
      </c>
      <c r="F13">
        <v>0</v>
      </c>
      <c r="O13">
        <v>1215760.889999994</v>
      </c>
      <c r="P13">
        <f>F13-O13</f>
      </c>
      <c r="Q13">
        <v>0</v>
      </c>
    </row>
    <row r="14" spans="1:19" x14ac:dyDescent="0.25">
      <c r="C14" t="s">
        <v>53</v>
      </c>
      <c r="D14" t="s">
        <v>27</v>
      </c>
      <c r="E14" t="s">
        <v>54</v>
      </c>
      <c r="F14">
        <v>320000</v>
      </c>
      <c r="O14">
        <v>250000</v>
      </c>
      <c r="P14">
        <f>F14-O14</f>
      </c>
      <c r="Q14">
        <v>0</v>
      </c>
      <c r="R14">
        <v>0</v>
      </c>
      <c r="S14">
        <v>0</v>
      </c>
    </row>
    <row r="15" spans="1:19" x14ac:dyDescent="0.25">
      <c r="A15" t="s">
        <v>55</v>
      </c>
      <c r="B15" t="s">
        <v>56</v>
      </c>
      <c r="C15" t="s">
        <v>56</v>
      </c>
      <c r="D15" t="s">
        <v>37</v>
      </c>
      <c r="E15" t="s">
        <v>57</v>
      </c>
      <c r="F15">
        <v>0</v>
      </c>
      <c r="O15">
        <v>6267</v>
      </c>
      <c r="P15">
        <f>F15-O15</f>
      </c>
      <c r="Q15">
        <v>0</v>
      </c>
    </row>
    <row r="16" spans="1:19" x14ac:dyDescent="0.25">
      <c r="A16" t="s">
        <v>58</v>
      </c>
      <c r="B16" t="s">
        <v>59</v>
      </c>
      <c r="C16" t="s">
        <v>59</v>
      </c>
      <c r="D16" t="s">
        <v>37</v>
      </c>
      <c r="E16" t="s">
        <v>60</v>
      </c>
      <c r="F16">
        <v>0</v>
      </c>
      <c r="O16">
        <v>289285.71</v>
      </c>
      <c r="P16">
        <f>F16-O16</f>
      </c>
      <c r="Q16">
        <v>0</v>
      </c>
    </row>
    <row r="17" spans="1:19" x14ac:dyDescent="0.25">
      <c r="A17" t="s">
        <v>61</v>
      </c>
      <c r="B17" t="s">
        <v>62</v>
      </c>
      <c r="C17" t="s">
        <v>62</v>
      </c>
      <c r="D17" t="s">
        <v>27</v>
      </c>
      <c r="E17" t="s">
        <v>63</v>
      </c>
      <c r="F17">
        <v>0</v>
      </c>
      <c r="O17">
        <v>1145914.33</v>
      </c>
      <c r="P17">
        <f>F17-O17</f>
      </c>
      <c r="Q17">
        <v>0</v>
      </c>
    </row>
  </sheetData>
  <mergeCells count="2">
    <mergeCell ref="G3:O3"/>
    <mergeCell ref="Q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2026-09-29T00:08:17Z</dcterms:created>
  <dcterms:modified xsi:type="dcterms:W3CDTF">2026-09-29T00:08:17Z</dcterms:modified>
</cp:coreProperties>
</file>